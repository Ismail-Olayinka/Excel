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20" yWindow="-120" windowWidth="20730" windowHeight="11160" firstSheet="2" activeTab="2"/>
  </bookViews>
  <sheets>
    <sheet name="Raw Data" sheetId="1" r:id="rId1"/>
    <sheet name="Understanding the Data" sheetId="2" r:id="rId2"/>
    <sheet name="Cleaning the Data" sheetId="3" r:id="rId3"/>
    <sheet name="Incorrect Sequence" sheetId="4" r:id="rId4"/>
    <sheet name="Fixing Incorrect Sequence" sheetId="7" r:id="rId5"/>
    <sheet name="Corrected Sequence" sheetId="8" r:id="rId6"/>
    <sheet name="Pivot Table" sheetId="12" r:id="rId7"/>
    <sheet name="Dashboard" sheetId="14" r:id="rId8"/>
  </sheets>
  <definedNames>
    <definedName name="_xlnm._FilterDatabase" localSheetId="2" hidden="1">'Cleaning the Data'!$AQ$1:$AQ$133</definedName>
    <definedName name="_xlnm._FilterDatabase" localSheetId="1" hidden="1">'Understanding the Data'!$O$1:$O$133</definedName>
    <definedName name="Slicer_Admission_Year">#N/A</definedName>
    <definedName name="Slicer_Age">#N/A</definedName>
    <definedName name="Slicer_Gender">#N/A</definedName>
    <definedName name="Slicer_Total_Journey">#N/A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19" i="8" l="1"/>
  <c r="M2" i="8"/>
  <c r="M3" i="8"/>
  <c r="M4" i="8"/>
  <c r="M5" i="8"/>
  <c r="M6" i="8"/>
  <c r="M7" i="8"/>
  <c r="M8" i="8"/>
  <c r="M9" i="8"/>
  <c r="M10" i="8"/>
  <c r="M11" i="8"/>
  <c r="M12" i="8"/>
  <c r="M13" i="8"/>
  <c r="M14" i="8"/>
  <c r="M15" i="8"/>
  <c r="M16" i="8"/>
  <c r="M17" i="8"/>
  <c r="M18"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O4" i="7"/>
  <c r="P4" i="7"/>
  <c r="Q4" i="7"/>
  <c r="R4" i="7"/>
  <c r="S4" i="7"/>
  <c r="T4" i="7"/>
  <c r="O5" i="7"/>
  <c r="P5" i="7"/>
  <c r="Q5" i="7"/>
  <c r="R5" i="7"/>
  <c r="S5" i="7"/>
  <c r="T5" i="7"/>
  <c r="O6" i="7"/>
  <c r="P6" i="7"/>
  <c r="Q6" i="7"/>
  <c r="R6" i="7"/>
  <c r="S6" i="7"/>
  <c r="T6" i="7"/>
  <c r="O7" i="7"/>
  <c r="P7" i="7"/>
  <c r="Q7" i="7"/>
  <c r="R7" i="7"/>
  <c r="S7" i="7"/>
  <c r="T7" i="7"/>
  <c r="O8" i="7"/>
  <c r="P8" i="7"/>
  <c r="Q8" i="7"/>
  <c r="R8" i="7"/>
  <c r="S8" i="7"/>
  <c r="T8" i="7"/>
  <c r="O9" i="7"/>
  <c r="P9" i="7"/>
  <c r="Q9" i="7"/>
  <c r="R9" i="7"/>
  <c r="S9" i="7"/>
  <c r="T9" i="7"/>
  <c r="O10" i="7"/>
  <c r="P10" i="7"/>
  <c r="Q10" i="7"/>
  <c r="R10" i="7"/>
  <c r="S10" i="7"/>
  <c r="T10" i="7"/>
  <c r="O11" i="7"/>
  <c r="P11" i="7"/>
  <c r="Q11" i="7"/>
  <c r="R11" i="7"/>
  <c r="S11" i="7"/>
  <c r="T11" i="7"/>
  <c r="O12" i="7"/>
  <c r="P12" i="7"/>
  <c r="Q12" i="7"/>
  <c r="R12" i="7"/>
  <c r="S12" i="7"/>
  <c r="T12" i="7"/>
  <c r="O13" i="7"/>
  <c r="P13" i="7"/>
  <c r="Q13" i="7"/>
  <c r="R13" i="7"/>
  <c r="S13" i="7"/>
  <c r="T13" i="7"/>
  <c r="O14" i="7"/>
  <c r="P14" i="7"/>
  <c r="Q14" i="7"/>
  <c r="R14" i="7"/>
  <c r="S14" i="7"/>
  <c r="T14" i="7"/>
  <c r="O15" i="7"/>
  <c r="P15" i="7"/>
  <c r="Q15" i="7"/>
  <c r="R15" i="7"/>
  <c r="S15" i="7"/>
  <c r="T15" i="7"/>
  <c r="O16" i="7"/>
  <c r="P16" i="7"/>
  <c r="Q16" i="7"/>
  <c r="R16" i="7"/>
  <c r="S16" i="7"/>
  <c r="T16" i="7"/>
  <c r="O17" i="7"/>
  <c r="P17" i="7"/>
  <c r="Q17" i="7"/>
  <c r="R17" i="7"/>
  <c r="S17" i="7"/>
  <c r="T17" i="7"/>
  <c r="O18" i="7"/>
  <c r="P18" i="7"/>
  <c r="Q18" i="7"/>
  <c r="R18" i="7"/>
  <c r="S18" i="7"/>
  <c r="T18" i="7"/>
  <c r="O19" i="7"/>
  <c r="P19" i="7"/>
  <c r="Q19" i="7"/>
  <c r="R19" i="7"/>
  <c r="S19" i="7"/>
  <c r="T19" i="7"/>
  <c r="O20" i="7"/>
  <c r="P20" i="7"/>
  <c r="Q20" i="7"/>
  <c r="R20" i="7"/>
  <c r="S20" i="7"/>
  <c r="T20" i="7"/>
  <c r="O21" i="7"/>
  <c r="P21" i="7"/>
  <c r="Q21" i="7"/>
  <c r="R21" i="7"/>
  <c r="S21" i="7"/>
  <c r="T21" i="7"/>
  <c r="O22" i="7"/>
  <c r="P22" i="7"/>
  <c r="Q22" i="7"/>
  <c r="R22" i="7"/>
  <c r="S22" i="7"/>
  <c r="T22" i="7"/>
  <c r="O23" i="7"/>
  <c r="P23" i="7"/>
  <c r="Q23" i="7"/>
  <c r="R23" i="7"/>
  <c r="S23" i="7"/>
  <c r="T23" i="7"/>
  <c r="O24" i="7"/>
  <c r="P24" i="7"/>
  <c r="Q24" i="7"/>
  <c r="R24" i="7"/>
  <c r="S24" i="7"/>
  <c r="T24" i="7"/>
  <c r="O25" i="7"/>
  <c r="P25" i="7"/>
  <c r="Q25" i="7"/>
  <c r="R25" i="7"/>
  <c r="S25" i="7"/>
  <c r="T25" i="7"/>
  <c r="O26" i="7"/>
  <c r="P26" i="7"/>
  <c r="Q26" i="7"/>
  <c r="R26" i="7"/>
  <c r="S26" i="7"/>
  <c r="T26" i="7"/>
  <c r="O27" i="7"/>
  <c r="P27" i="7"/>
  <c r="Q27" i="7"/>
  <c r="R27" i="7"/>
  <c r="S27" i="7"/>
  <c r="T27" i="7"/>
  <c r="O28" i="7"/>
  <c r="P28" i="7"/>
  <c r="Q28" i="7"/>
  <c r="R28" i="7"/>
  <c r="S28" i="7"/>
  <c r="T28" i="7"/>
  <c r="O29" i="7"/>
  <c r="P29" i="7"/>
  <c r="Q29" i="7"/>
  <c r="R29" i="7"/>
  <c r="S29" i="7"/>
  <c r="T29" i="7"/>
  <c r="O30" i="7"/>
  <c r="P30" i="7"/>
  <c r="Q30" i="7"/>
  <c r="R30" i="7"/>
  <c r="S30" i="7"/>
  <c r="T30" i="7"/>
  <c r="O31" i="7"/>
  <c r="P31" i="7"/>
  <c r="Q31" i="7"/>
  <c r="R31" i="7"/>
  <c r="S31" i="7"/>
  <c r="T31" i="7"/>
  <c r="O32" i="7"/>
  <c r="P32" i="7"/>
  <c r="Q32" i="7"/>
  <c r="R32" i="7"/>
  <c r="S32" i="7"/>
  <c r="T32" i="7"/>
  <c r="O33" i="7"/>
  <c r="P33" i="7"/>
  <c r="Q33" i="7"/>
  <c r="R33" i="7"/>
  <c r="S33" i="7"/>
  <c r="T33" i="7"/>
  <c r="O34" i="7"/>
  <c r="P34" i="7"/>
  <c r="Q34" i="7"/>
  <c r="R34" i="7"/>
  <c r="S34" i="7"/>
  <c r="T34" i="7"/>
  <c r="O35" i="7"/>
  <c r="P35" i="7"/>
  <c r="Q35" i="7"/>
  <c r="R35" i="7"/>
  <c r="S35" i="7"/>
  <c r="T35" i="7"/>
  <c r="O36" i="7"/>
  <c r="P36" i="7"/>
  <c r="Q36" i="7"/>
  <c r="R36" i="7"/>
  <c r="S36" i="7"/>
  <c r="T36" i="7"/>
  <c r="O37" i="7"/>
  <c r="P37" i="7"/>
  <c r="Q37" i="7"/>
  <c r="R37" i="7"/>
  <c r="S37" i="7"/>
  <c r="T37" i="7"/>
  <c r="O38" i="7"/>
  <c r="P38" i="7"/>
  <c r="Q38" i="7"/>
  <c r="R38" i="7"/>
  <c r="S38" i="7"/>
  <c r="T38" i="7"/>
  <c r="O39" i="7"/>
  <c r="P39" i="7"/>
  <c r="Q39" i="7"/>
  <c r="R39" i="7"/>
  <c r="S39" i="7"/>
  <c r="T39" i="7"/>
  <c r="O40" i="7"/>
  <c r="P40" i="7"/>
  <c r="Q40" i="7"/>
  <c r="R40" i="7"/>
  <c r="S40" i="7"/>
  <c r="T40" i="7"/>
  <c r="O41" i="7"/>
  <c r="P41" i="7"/>
  <c r="Q41" i="7"/>
  <c r="R41" i="7"/>
  <c r="S41" i="7"/>
  <c r="T41" i="7"/>
  <c r="O42" i="7"/>
  <c r="P42" i="7"/>
  <c r="Q42" i="7"/>
  <c r="R42" i="7"/>
  <c r="S42" i="7"/>
  <c r="T42" i="7"/>
  <c r="O43" i="7"/>
  <c r="P43" i="7"/>
  <c r="Q43" i="7"/>
  <c r="R43" i="7"/>
  <c r="S43" i="7"/>
  <c r="T43" i="7"/>
  <c r="O44" i="7"/>
  <c r="P44" i="7"/>
  <c r="Q44" i="7"/>
  <c r="R44" i="7"/>
  <c r="S44" i="7"/>
  <c r="T44" i="7"/>
  <c r="O45" i="7"/>
  <c r="P45" i="7"/>
  <c r="Q45" i="7"/>
  <c r="R45" i="7"/>
  <c r="S45" i="7"/>
  <c r="T45" i="7"/>
  <c r="O46" i="7"/>
  <c r="P46" i="7"/>
  <c r="Q46" i="7"/>
  <c r="R46" i="7"/>
  <c r="S46" i="7"/>
  <c r="T46" i="7"/>
  <c r="O47" i="7"/>
  <c r="P47" i="7"/>
  <c r="Q47" i="7"/>
  <c r="R47" i="7"/>
  <c r="S47" i="7"/>
  <c r="T47" i="7"/>
  <c r="O48" i="7"/>
  <c r="P48" i="7"/>
  <c r="Q48" i="7"/>
  <c r="R48" i="7"/>
  <c r="S48" i="7"/>
  <c r="T48" i="7"/>
  <c r="O49" i="7"/>
  <c r="P49" i="7"/>
  <c r="Q49" i="7"/>
  <c r="R49" i="7"/>
  <c r="S49" i="7"/>
  <c r="T49" i="7"/>
  <c r="O50" i="7"/>
  <c r="P50" i="7"/>
  <c r="Q50" i="7"/>
  <c r="R50" i="7"/>
  <c r="S50" i="7"/>
  <c r="T50" i="7"/>
  <c r="O51" i="7"/>
  <c r="P51" i="7"/>
  <c r="Q51" i="7"/>
  <c r="R51" i="7"/>
  <c r="S51" i="7"/>
  <c r="T51" i="7"/>
  <c r="O52" i="7"/>
  <c r="P52" i="7"/>
  <c r="Q52" i="7"/>
  <c r="R52" i="7"/>
  <c r="S52" i="7"/>
  <c r="T52" i="7"/>
  <c r="O53" i="7"/>
  <c r="P53" i="7"/>
  <c r="Q53" i="7"/>
  <c r="R53" i="7"/>
  <c r="S53" i="7"/>
  <c r="T53" i="7"/>
  <c r="O54" i="7"/>
  <c r="P54" i="7"/>
  <c r="Q54" i="7"/>
  <c r="R54" i="7"/>
  <c r="S54" i="7"/>
  <c r="T54" i="7"/>
  <c r="O55" i="7"/>
  <c r="P55" i="7"/>
  <c r="Q55" i="7"/>
  <c r="R55" i="7"/>
  <c r="S55" i="7"/>
  <c r="T55" i="7"/>
  <c r="O56" i="7"/>
  <c r="P56" i="7"/>
  <c r="Q56" i="7"/>
  <c r="R56" i="7"/>
  <c r="S56" i="7"/>
  <c r="T56" i="7"/>
  <c r="O57" i="7"/>
  <c r="P57" i="7"/>
  <c r="Q57" i="7"/>
  <c r="R57" i="7"/>
  <c r="S57" i="7"/>
  <c r="T57" i="7"/>
  <c r="O58" i="7"/>
  <c r="P58" i="7"/>
  <c r="Q58" i="7"/>
  <c r="R58" i="7"/>
  <c r="S58" i="7"/>
  <c r="T58" i="7"/>
  <c r="O59" i="7"/>
  <c r="P59" i="7"/>
  <c r="Q59" i="7"/>
  <c r="R59" i="7"/>
  <c r="S59" i="7"/>
  <c r="T59" i="7"/>
  <c r="O60" i="7"/>
  <c r="P60" i="7"/>
  <c r="Q60" i="7"/>
  <c r="R60" i="7"/>
  <c r="S60" i="7"/>
  <c r="T60" i="7"/>
  <c r="O61" i="7"/>
  <c r="P61" i="7"/>
  <c r="Q61" i="7"/>
  <c r="R61" i="7"/>
  <c r="S61" i="7"/>
  <c r="T61" i="7"/>
  <c r="O62" i="7"/>
  <c r="P62" i="7"/>
  <c r="Q62" i="7"/>
  <c r="R62" i="7"/>
  <c r="S62" i="7"/>
  <c r="T62" i="7"/>
  <c r="O63" i="7"/>
  <c r="P63" i="7"/>
  <c r="Q63" i="7"/>
  <c r="R63" i="7"/>
  <c r="S63" i="7"/>
  <c r="T63" i="7"/>
  <c r="O64" i="7"/>
  <c r="P64" i="7"/>
  <c r="Q64" i="7"/>
  <c r="R64" i="7"/>
  <c r="S64" i="7"/>
  <c r="T64" i="7"/>
  <c r="O65" i="7"/>
  <c r="P65" i="7"/>
  <c r="Q65" i="7"/>
  <c r="R65" i="7"/>
  <c r="S65" i="7"/>
  <c r="T65" i="7"/>
  <c r="O66" i="7"/>
  <c r="P66" i="7"/>
  <c r="Q66" i="7"/>
  <c r="R66" i="7"/>
  <c r="S66" i="7"/>
  <c r="T66" i="7"/>
  <c r="O67" i="7"/>
  <c r="P67" i="7"/>
  <c r="Q67" i="7"/>
  <c r="R67" i="7"/>
  <c r="S67" i="7"/>
  <c r="T67" i="7"/>
  <c r="O68" i="7"/>
  <c r="P68" i="7"/>
  <c r="Q68" i="7"/>
  <c r="R68" i="7"/>
  <c r="S68" i="7"/>
  <c r="T68" i="7"/>
  <c r="O69" i="7"/>
  <c r="P69" i="7"/>
  <c r="Q69" i="7"/>
  <c r="R69" i="7"/>
  <c r="S69" i="7"/>
  <c r="T69" i="7"/>
  <c r="O70" i="7"/>
  <c r="P70" i="7"/>
  <c r="Q70" i="7"/>
  <c r="R70" i="7"/>
  <c r="S70" i="7"/>
  <c r="T70" i="7"/>
  <c r="O71" i="7"/>
  <c r="P71" i="7"/>
  <c r="Q71" i="7"/>
  <c r="R71" i="7"/>
  <c r="S71" i="7"/>
  <c r="T71" i="7"/>
  <c r="O72" i="7"/>
  <c r="P72" i="7"/>
  <c r="Q72" i="7"/>
  <c r="R72" i="7"/>
  <c r="S72" i="7"/>
  <c r="T72" i="7"/>
  <c r="O73" i="7"/>
  <c r="P73" i="7"/>
  <c r="Q73" i="7"/>
  <c r="R73" i="7"/>
  <c r="S73" i="7"/>
  <c r="T73" i="7"/>
  <c r="O74" i="7"/>
  <c r="P74" i="7"/>
  <c r="Q74" i="7"/>
  <c r="R74" i="7"/>
  <c r="S74" i="7"/>
  <c r="T74" i="7"/>
  <c r="O75" i="7"/>
  <c r="P75" i="7"/>
  <c r="Q75" i="7"/>
  <c r="R75" i="7"/>
  <c r="S75" i="7"/>
  <c r="T75" i="7"/>
  <c r="O76" i="7"/>
  <c r="P76" i="7"/>
  <c r="Q76" i="7"/>
  <c r="R76" i="7"/>
  <c r="S76" i="7"/>
  <c r="T76" i="7"/>
  <c r="O77" i="7"/>
  <c r="P77" i="7"/>
  <c r="Q77" i="7"/>
  <c r="R77" i="7"/>
  <c r="S77" i="7"/>
  <c r="T77" i="7"/>
  <c r="O78" i="7"/>
  <c r="P78" i="7"/>
  <c r="Q78" i="7"/>
  <c r="R78" i="7"/>
  <c r="S78" i="7"/>
  <c r="T78" i="7"/>
  <c r="O79" i="7"/>
  <c r="P79" i="7"/>
  <c r="Q79" i="7"/>
  <c r="R79" i="7"/>
  <c r="S79" i="7"/>
  <c r="T79" i="7"/>
  <c r="O80" i="7"/>
  <c r="P80" i="7"/>
  <c r="Q80" i="7"/>
  <c r="R80" i="7"/>
  <c r="S80" i="7"/>
  <c r="T80" i="7"/>
  <c r="O81" i="7"/>
  <c r="P81" i="7"/>
  <c r="Q81" i="7"/>
  <c r="R81" i="7"/>
  <c r="S81" i="7"/>
  <c r="T81" i="7"/>
  <c r="O82" i="7"/>
  <c r="P82" i="7"/>
  <c r="Q82" i="7"/>
  <c r="R82" i="7"/>
  <c r="S82" i="7"/>
  <c r="T82" i="7"/>
  <c r="O83" i="7"/>
  <c r="P83" i="7"/>
  <c r="Q83" i="7"/>
  <c r="R83" i="7"/>
  <c r="S83" i="7"/>
  <c r="T83" i="7"/>
  <c r="O84" i="7"/>
  <c r="P84" i="7"/>
  <c r="Q84" i="7"/>
  <c r="R84" i="7"/>
  <c r="S84" i="7"/>
  <c r="T84" i="7"/>
  <c r="O85" i="7"/>
  <c r="P85" i="7"/>
  <c r="Q85" i="7"/>
  <c r="R85" i="7"/>
  <c r="S85" i="7"/>
  <c r="T85" i="7"/>
  <c r="O86" i="7"/>
  <c r="P86" i="7"/>
  <c r="Q86" i="7"/>
  <c r="R86" i="7"/>
  <c r="S86" i="7"/>
  <c r="T86" i="7"/>
  <c r="O87" i="7"/>
  <c r="P87" i="7"/>
  <c r="Q87" i="7"/>
  <c r="R87" i="7"/>
  <c r="S87" i="7"/>
  <c r="T87" i="7"/>
  <c r="O88" i="7"/>
  <c r="P88" i="7"/>
  <c r="Q88" i="7"/>
  <c r="R88" i="7"/>
  <c r="S88" i="7"/>
  <c r="T88" i="7"/>
  <c r="O89" i="7"/>
  <c r="P89" i="7"/>
  <c r="Q89" i="7"/>
  <c r="R89" i="7"/>
  <c r="S89" i="7"/>
  <c r="T89" i="7"/>
  <c r="O90" i="7"/>
  <c r="P90" i="7"/>
  <c r="Q90" i="7"/>
  <c r="R90" i="7"/>
  <c r="S90" i="7"/>
  <c r="T90" i="7"/>
  <c r="O91" i="7"/>
  <c r="P91" i="7"/>
  <c r="Q91" i="7"/>
  <c r="R91" i="7"/>
  <c r="S91" i="7"/>
  <c r="T91" i="7"/>
  <c r="O92" i="7"/>
  <c r="P92" i="7"/>
  <c r="Q92" i="7"/>
  <c r="R92" i="7"/>
  <c r="S92" i="7"/>
  <c r="T92" i="7"/>
  <c r="O93" i="7"/>
  <c r="P93" i="7"/>
  <c r="Q93" i="7"/>
  <c r="R93" i="7"/>
  <c r="S93" i="7"/>
  <c r="T93" i="7"/>
  <c r="O94" i="7"/>
  <c r="P94" i="7"/>
  <c r="Q94" i="7"/>
  <c r="R94" i="7"/>
  <c r="S94" i="7"/>
  <c r="T94" i="7"/>
  <c r="O95" i="7"/>
  <c r="P95" i="7"/>
  <c r="Q95" i="7"/>
  <c r="R95" i="7"/>
  <c r="S95" i="7"/>
  <c r="T95" i="7"/>
  <c r="O96" i="7"/>
  <c r="P96" i="7"/>
  <c r="Q96" i="7"/>
  <c r="R96" i="7"/>
  <c r="S96" i="7"/>
  <c r="T96" i="7"/>
  <c r="O97" i="7"/>
  <c r="P97" i="7"/>
  <c r="Q97" i="7"/>
  <c r="R97" i="7"/>
  <c r="S97" i="7"/>
  <c r="T97" i="7"/>
  <c r="O98" i="7"/>
  <c r="P98" i="7"/>
  <c r="Q98" i="7"/>
  <c r="R98" i="7"/>
  <c r="S98" i="7"/>
  <c r="T98" i="7"/>
  <c r="O99" i="7"/>
  <c r="P99" i="7"/>
  <c r="Q99" i="7"/>
  <c r="R99" i="7"/>
  <c r="S99" i="7"/>
  <c r="T99" i="7"/>
  <c r="O100" i="7"/>
  <c r="P100" i="7"/>
  <c r="Q100" i="7"/>
  <c r="R100" i="7"/>
  <c r="S100" i="7"/>
  <c r="T100" i="7"/>
  <c r="O101" i="7"/>
  <c r="P101" i="7"/>
  <c r="Q101" i="7"/>
  <c r="R101" i="7"/>
  <c r="S101" i="7"/>
  <c r="T101" i="7"/>
  <c r="O102" i="7"/>
  <c r="P102" i="7"/>
  <c r="Q102" i="7"/>
  <c r="R102" i="7"/>
  <c r="S102" i="7"/>
  <c r="T102" i="7"/>
  <c r="O103" i="7"/>
  <c r="P103" i="7"/>
  <c r="Q103" i="7"/>
  <c r="R103" i="7"/>
  <c r="S103" i="7"/>
  <c r="T103" i="7"/>
  <c r="O104" i="7"/>
  <c r="P104" i="7"/>
  <c r="Q104" i="7"/>
  <c r="R104" i="7"/>
  <c r="S104" i="7"/>
  <c r="T104" i="7"/>
  <c r="O105" i="7"/>
  <c r="P105" i="7"/>
  <c r="Q105" i="7"/>
  <c r="R105" i="7"/>
  <c r="S105" i="7"/>
  <c r="T105" i="7"/>
  <c r="O106" i="7"/>
  <c r="P106" i="7"/>
  <c r="Q106" i="7"/>
  <c r="R106" i="7"/>
  <c r="S106" i="7"/>
  <c r="T106" i="7"/>
  <c r="O107" i="7"/>
  <c r="P107" i="7"/>
  <c r="Q107" i="7"/>
  <c r="R107" i="7"/>
  <c r="S107" i="7"/>
  <c r="T107" i="7"/>
  <c r="O108" i="7"/>
  <c r="P108" i="7"/>
  <c r="Q108" i="7"/>
  <c r="R108" i="7"/>
  <c r="S108" i="7"/>
  <c r="T108" i="7"/>
  <c r="O109" i="7"/>
  <c r="P109" i="7"/>
  <c r="Q109" i="7"/>
  <c r="R109" i="7"/>
  <c r="S109" i="7"/>
  <c r="T109" i="7"/>
  <c r="O110" i="7"/>
  <c r="P110" i="7"/>
  <c r="Q110" i="7"/>
  <c r="R110" i="7"/>
  <c r="S110" i="7"/>
  <c r="T110" i="7"/>
  <c r="O111" i="7"/>
  <c r="P111" i="7"/>
  <c r="Q111" i="7"/>
  <c r="R111" i="7"/>
  <c r="S111" i="7"/>
  <c r="T111" i="7"/>
  <c r="O112" i="7"/>
  <c r="P112" i="7"/>
  <c r="Q112" i="7"/>
  <c r="R112" i="7"/>
  <c r="S112" i="7"/>
  <c r="T112" i="7"/>
  <c r="O113" i="7"/>
  <c r="P113" i="7"/>
  <c r="Q113" i="7"/>
  <c r="R113" i="7"/>
  <c r="S113" i="7"/>
  <c r="T113" i="7"/>
  <c r="O114" i="7"/>
  <c r="P114" i="7"/>
  <c r="Q114" i="7"/>
  <c r="R114" i="7"/>
  <c r="S114" i="7"/>
  <c r="T114" i="7"/>
  <c r="O115" i="7"/>
  <c r="P115" i="7"/>
  <c r="Q115" i="7"/>
  <c r="R115" i="7"/>
  <c r="S115" i="7"/>
  <c r="T115" i="7"/>
  <c r="O116" i="7"/>
  <c r="P116" i="7"/>
  <c r="Q116" i="7"/>
  <c r="R116" i="7"/>
  <c r="S116" i="7"/>
  <c r="T116" i="7"/>
  <c r="O117" i="7"/>
  <c r="P117" i="7"/>
  <c r="Q117" i="7"/>
  <c r="R117" i="7"/>
  <c r="S117" i="7"/>
  <c r="T117" i="7"/>
  <c r="O118" i="7"/>
  <c r="P118" i="7"/>
  <c r="Q118" i="7"/>
  <c r="R118" i="7"/>
  <c r="S118" i="7"/>
  <c r="T118" i="7"/>
  <c r="O119" i="7"/>
  <c r="P119" i="7"/>
  <c r="Q119" i="7"/>
  <c r="R119" i="7"/>
  <c r="S119" i="7"/>
  <c r="T119" i="7"/>
  <c r="O120" i="7"/>
  <c r="P120" i="7"/>
  <c r="Q120" i="7"/>
  <c r="R120" i="7"/>
  <c r="S120" i="7"/>
  <c r="T120" i="7"/>
  <c r="O121" i="7"/>
  <c r="P121" i="7"/>
  <c r="Q121" i="7"/>
  <c r="R121" i="7"/>
  <c r="S121" i="7"/>
  <c r="T121" i="7"/>
  <c r="O122" i="7"/>
  <c r="P122" i="7"/>
  <c r="Q122" i="7"/>
  <c r="R122" i="7"/>
  <c r="S122" i="7"/>
  <c r="T122" i="7"/>
  <c r="O123" i="7"/>
  <c r="P123" i="7"/>
  <c r="Q123" i="7"/>
  <c r="R123" i="7"/>
  <c r="S123" i="7"/>
  <c r="T123" i="7"/>
  <c r="O124" i="7"/>
  <c r="P124" i="7"/>
  <c r="Q124" i="7"/>
  <c r="R124" i="7"/>
  <c r="S124" i="7"/>
  <c r="T124" i="7"/>
  <c r="O125" i="7"/>
  <c r="P125" i="7"/>
  <c r="Q125" i="7"/>
  <c r="R125" i="7"/>
  <c r="S125" i="7"/>
  <c r="T125" i="7"/>
  <c r="O126" i="7"/>
  <c r="P126" i="7"/>
  <c r="Q126" i="7"/>
  <c r="R126" i="7"/>
  <c r="S126" i="7"/>
  <c r="T126" i="7"/>
  <c r="O127" i="7"/>
  <c r="P127" i="7"/>
  <c r="Q127" i="7"/>
  <c r="R127" i="7"/>
  <c r="S127" i="7"/>
  <c r="T127" i="7"/>
  <c r="O128" i="7"/>
  <c r="P128" i="7"/>
  <c r="Q128" i="7"/>
  <c r="R128" i="7"/>
  <c r="S128" i="7"/>
  <c r="T128" i="7"/>
  <c r="O129" i="7"/>
  <c r="P129" i="7"/>
  <c r="Q129" i="7"/>
  <c r="R129" i="7"/>
  <c r="S129" i="7"/>
  <c r="T129" i="7"/>
  <c r="O130" i="7"/>
  <c r="P130" i="7"/>
  <c r="Q130" i="7"/>
  <c r="R130" i="7"/>
  <c r="S130" i="7"/>
  <c r="T130" i="7"/>
  <c r="O131" i="7"/>
  <c r="P131" i="7"/>
  <c r="Q131" i="7"/>
  <c r="R131" i="7"/>
  <c r="S131" i="7"/>
  <c r="T131" i="7"/>
  <c r="O132" i="7"/>
  <c r="P132" i="7"/>
  <c r="Q132" i="7"/>
  <c r="R132" i="7"/>
  <c r="S132" i="7"/>
  <c r="T132" i="7"/>
  <c r="O133" i="7"/>
  <c r="P133" i="7"/>
  <c r="Q133" i="7"/>
  <c r="R133" i="7"/>
  <c r="S133" i="7"/>
  <c r="T133" i="7"/>
  <c r="O134" i="7"/>
  <c r="P134" i="7"/>
  <c r="Q134" i="7"/>
  <c r="R134" i="7"/>
  <c r="S134" i="7"/>
  <c r="T134" i="7"/>
  <c r="T3" i="7"/>
  <c r="S3" i="7"/>
  <c r="R3" i="7"/>
  <c r="Q3" i="7"/>
  <c r="P3" i="7"/>
  <c r="O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3" i="7"/>
  <c r="M5" i="7" s="1"/>
  <c r="M2" i="2"/>
  <c r="N2" i="2"/>
  <c r="O2" i="2"/>
  <c r="P2" i="2" s="1"/>
  <c r="Q2" i="2"/>
  <c r="R2" i="2"/>
  <c r="S2" i="2"/>
  <c r="T2" i="2"/>
  <c r="U2" i="2"/>
  <c r="V2" i="2"/>
  <c r="W2" i="2"/>
  <c r="Z2" i="2"/>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E8" i="2"/>
  <c r="AP2" i="3"/>
  <c r="AQ2" i="3" s="1"/>
  <c r="AP3" i="3"/>
  <c r="AQ3" i="3" s="1"/>
  <c r="AP4" i="3"/>
  <c r="AQ4" i="3" s="1"/>
  <c r="AP5" i="3"/>
  <c r="AQ5" i="3" s="1"/>
  <c r="AP6" i="3"/>
  <c r="AQ6" i="3" s="1"/>
  <c r="AP7" i="3"/>
  <c r="AQ7" i="3" s="1"/>
  <c r="AP8" i="3"/>
  <c r="AQ8" i="3" s="1"/>
  <c r="AP9" i="3"/>
  <c r="AQ9" i="3" s="1"/>
  <c r="AP10" i="3"/>
  <c r="AQ10" i="3" s="1"/>
  <c r="AP11" i="3"/>
  <c r="AQ11" i="3" s="1"/>
  <c r="AP12" i="3"/>
  <c r="AQ12" i="3" s="1"/>
  <c r="AP13" i="3"/>
  <c r="AQ13" i="3" s="1"/>
  <c r="AP14" i="3"/>
  <c r="AQ14" i="3" s="1"/>
  <c r="AP15" i="3"/>
  <c r="AQ15" i="3" s="1"/>
  <c r="AP16" i="3"/>
  <c r="AQ16" i="3" s="1"/>
  <c r="AP17" i="3"/>
  <c r="AQ17" i="3" s="1"/>
  <c r="AP18" i="3"/>
  <c r="AQ18" i="3" s="1"/>
  <c r="AP19" i="3"/>
  <c r="AQ19" i="3" s="1"/>
  <c r="AP20" i="3"/>
  <c r="AQ20" i="3" s="1"/>
  <c r="AP21" i="3"/>
  <c r="AQ21" i="3" s="1"/>
  <c r="AP22" i="3"/>
  <c r="AQ22" i="3" s="1"/>
  <c r="AP23" i="3"/>
  <c r="AQ23" i="3" s="1"/>
  <c r="AP24" i="3"/>
  <c r="AQ24" i="3" s="1"/>
  <c r="AP25" i="3"/>
  <c r="AQ25" i="3" s="1"/>
  <c r="AP26" i="3"/>
  <c r="AQ26" i="3" s="1"/>
  <c r="AP27" i="3"/>
  <c r="AQ27" i="3" s="1"/>
  <c r="AP28" i="3"/>
  <c r="AQ28" i="3" s="1"/>
  <c r="AP29" i="3"/>
  <c r="AQ29" i="3" s="1"/>
  <c r="AP30" i="3"/>
  <c r="AQ30" i="3" s="1"/>
  <c r="AP31" i="3"/>
  <c r="AQ31" i="3" s="1"/>
  <c r="AP32" i="3"/>
  <c r="AQ32" i="3" s="1"/>
  <c r="AP33" i="3"/>
  <c r="AQ33" i="3" s="1"/>
  <c r="AP34" i="3"/>
  <c r="AQ34" i="3" s="1"/>
  <c r="AP35" i="3"/>
  <c r="AQ35" i="3" s="1"/>
  <c r="AP36" i="3"/>
  <c r="AQ36" i="3" s="1"/>
  <c r="AP37" i="3"/>
  <c r="AQ37" i="3" s="1"/>
  <c r="AP38" i="3"/>
  <c r="AQ38" i="3" s="1"/>
  <c r="AP39" i="3"/>
  <c r="AQ39" i="3" s="1"/>
  <c r="AP40" i="3"/>
  <c r="AQ40" i="3" s="1"/>
  <c r="AP41" i="3"/>
  <c r="AQ41" i="3" s="1"/>
  <c r="AP42" i="3"/>
  <c r="AQ42" i="3" s="1"/>
  <c r="AP43" i="3"/>
  <c r="AQ43" i="3" s="1"/>
  <c r="AP44" i="3"/>
  <c r="AQ44" i="3" s="1"/>
  <c r="AP45" i="3"/>
  <c r="AQ45" i="3" s="1"/>
  <c r="AP46" i="3"/>
  <c r="AQ46" i="3" s="1"/>
  <c r="AP47" i="3"/>
  <c r="AQ47" i="3" s="1"/>
  <c r="AP48" i="3"/>
  <c r="AQ48" i="3" s="1"/>
  <c r="AP49" i="3"/>
  <c r="AQ49" i="3" s="1"/>
  <c r="AP50" i="3"/>
  <c r="AQ50" i="3" s="1"/>
  <c r="AP51" i="3"/>
  <c r="AQ51" i="3" s="1"/>
  <c r="AP52" i="3"/>
  <c r="AQ52" i="3" s="1"/>
  <c r="AP53" i="3"/>
  <c r="AQ53" i="3" s="1"/>
  <c r="AP54" i="3"/>
  <c r="AQ54" i="3" s="1"/>
  <c r="AP55" i="3"/>
  <c r="AQ55" i="3" s="1"/>
  <c r="AP56" i="3"/>
  <c r="AQ56" i="3" s="1"/>
  <c r="AP57" i="3"/>
  <c r="AQ57" i="3" s="1"/>
  <c r="AP58" i="3"/>
  <c r="AQ58" i="3" s="1"/>
  <c r="AP59" i="3"/>
  <c r="AQ59" i="3" s="1"/>
  <c r="AP60" i="3"/>
  <c r="AQ60" i="3" s="1"/>
  <c r="AP61" i="3"/>
  <c r="AQ61" i="3" s="1"/>
  <c r="AP62" i="3"/>
  <c r="AQ62" i="3" s="1"/>
  <c r="AP63" i="3"/>
  <c r="AQ63" i="3" s="1"/>
  <c r="AP64" i="3"/>
  <c r="AQ64" i="3" s="1"/>
  <c r="AP65" i="3"/>
  <c r="AQ65" i="3" s="1"/>
  <c r="AP66" i="3"/>
  <c r="AQ66" i="3" s="1"/>
  <c r="AP67" i="3"/>
  <c r="AQ67" i="3" s="1"/>
  <c r="AP68" i="3"/>
  <c r="AQ68" i="3" s="1"/>
  <c r="AP69" i="3"/>
  <c r="AQ69" i="3" s="1"/>
  <c r="AP70" i="3"/>
  <c r="AQ70" i="3" s="1"/>
  <c r="AP71" i="3"/>
  <c r="AQ71" i="3" s="1"/>
  <c r="AP72" i="3"/>
  <c r="AQ72" i="3" s="1"/>
  <c r="AP73" i="3"/>
  <c r="AQ73" i="3" s="1"/>
  <c r="AP74" i="3"/>
  <c r="AQ74" i="3" s="1"/>
  <c r="AP75" i="3"/>
  <c r="AQ75" i="3" s="1"/>
  <c r="AP76" i="3"/>
  <c r="AQ76" i="3" s="1"/>
  <c r="AP77" i="3"/>
  <c r="AQ77" i="3" s="1"/>
  <c r="AP78" i="3"/>
  <c r="AQ78" i="3" s="1"/>
  <c r="AP79" i="3"/>
  <c r="AQ79" i="3" s="1"/>
  <c r="AP80" i="3"/>
  <c r="AQ80" i="3" s="1"/>
  <c r="AP81" i="3"/>
  <c r="AQ81" i="3" s="1"/>
  <c r="AP82" i="3"/>
  <c r="AQ82" i="3" s="1"/>
  <c r="AP83" i="3"/>
  <c r="AQ83" i="3" s="1"/>
  <c r="AP84" i="3"/>
  <c r="AQ84" i="3" s="1"/>
  <c r="AP85" i="3"/>
  <c r="AQ85" i="3" s="1"/>
  <c r="AP86" i="3"/>
  <c r="AQ86" i="3" s="1"/>
  <c r="AP87" i="3"/>
  <c r="AQ87" i="3" s="1"/>
  <c r="AP88" i="3"/>
  <c r="AQ88" i="3" s="1"/>
  <c r="AP89" i="3"/>
  <c r="AQ89" i="3" s="1"/>
  <c r="AP90" i="3"/>
  <c r="AQ90" i="3" s="1"/>
  <c r="AP91" i="3"/>
  <c r="AQ91" i="3" s="1"/>
  <c r="AP92" i="3"/>
  <c r="AQ92" i="3" s="1"/>
  <c r="AP93" i="3"/>
  <c r="AQ93" i="3" s="1"/>
  <c r="AP94" i="3"/>
  <c r="AQ94" i="3" s="1"/>
  <c r="AP95" i="3"/>
  <c r="AQ95" i="3" s="1"/>
  <c r="AP96" i="3"/>
  <c r="AQ96" i="3" s="1"/>
  <c r="AP97" i="3"/>
  <c r="AQ97" i="3" s="1"/>
  <c r="AP98" i="3"/>
  <c r="AQ98" i="3" s="1"/>
  <c r="AP99" i="3"/>
  <c r="AQ99" i="3" s="1"/>
  <c r="AP100" i="3"/>
  <c r="AQ100" i="3" s="1"/>
  <c r="AP101" i="3"/>
  <c r="AQ101" i="3" s="1"/>
  <c r="AP102" i="3"/>
  <c r="AQ102" i="3" s="1"/>
  <c r="AP103" i="3"/>
  <c r="AQ103" i="3" s="1"/>
  <c r="AP104" i="3"/>
  <c r="AQ104" i="3" s="1"/>
  <c r="AP105" i="3"/>
  <c r="AQ105" i="3" s="1"/>
  <c r="AP106" i="3"/>
  <c r="AQ106" i="3" s="1"/>
  <c r="AP107" i="3"/>
  <c r="AQ107" i="3" s="1"/>
  <c r="AP108" i="3"/>
  <c r="AQ108" i="3" s="1"/>
  <c r="AP109" i="3"/>
  <c r="AQ109" i="3" s="1"/>
  <c r="AP110" i="3"/>
  <c r="AQ110" i="3" s="1"/>
  <c r="AP111" i="3"/>
  <c r="AQ111" i="3" s="1"/>
  <c r="AP112" i="3"/>
  <c r="AQ112" i="3" s="1"/>
  <c r="AP113" i="3"/>
  <c r="AQ113" i="3" s="1"/>
  <c r="AP114" i="3"/>
  <c r="AQ114" i="3" s="1"/>
  <c r="AP115" i="3"/>
  <c r="AQ115" i="3" s="1"/>
  <c r="AP116" i="3"/>
  <c r="AQ116" i="3" s="1"/>
  <c r="AP117" i="3"/>
  <c r="AQ117" i="3" s="1"/>
  <c r="AP118" i="3"/>
  <c r="AQ118" i="3" s="1"/>
  <c r="AP119" i="3"/>
  <c r="AQ119" i="3" s="1"/>
  <c r="AP120" i="3"/>
  <c r="AQ120" i="3" s="1"/>
  <c r="AP121" i="3"/>
  <c r="AQ121" i="3" s="1"/>
  <c r="AP122" i="3"/>
  <c r="AQ122" i="3" s="1"/>
  <c r="AP123" i="3"/>
  <c r="AQ123" i="3" s="1"/>
  <c r="AP124" i="3"/>
  <c r="AQ124" i="3" s="1"/>
  <c r="AP125" i="3"/>
  <c r="AQ125" i="3" s="1"/>
  <c r="AP126" i="3"/>
  <c r="AQ126" i="3" s="1"/>
  <c r="AP127" i="3"/>
  <c r="AQ127" i="3" s="1"/>
  <c r="AP128" i="3"/>
  <c r="AQ128" i="3" s="1"/>
  <c r="AP129" i="3"/>
  <c r="AQ129" i="3" s="1"/>
  <c r="AP130" i="3"/>
  <c r="AQ130" i="3" s="1"/>
  <c r="AP131" i="3"/>
  <c r="AQ131" i="3" s="1"/>
  <c r="AP132" i="3"/>
  <c r="AQ132" i="3" s="1"/>
  <c r="AP133" i="3"/>
  <c r="AQ133" i="3" s="1"/>
  <c r="AI3" i="3"/>
  <c r="AJ3" i="3" s="1"/>
  <c r="AK3" i="3" s="1"/>
  <c r="AL3" i="3" s="1"/>
  <c r="AM3" i="3" s="1"/>
  <c r="AN3" i="3" s="1"/>
  <c r="AI4" i="3"/>
  <c r="AJ4" i="3" s="1"/>
  <c r="AK4" i="3" s="1"/>
  <c r="AL4" i="3" s="1"/>
  <c r="AM4" i="3" s="1"/>
  <c r="AN4" i="3" s="1"/>
  <c r="AI5" i="3"/>
  <c r="AJ5" i="3" s="1"/>
  <c r="AI6" i="3"/>
  <c r="AJ6" i="3" s="1"/>
  <c r="AK6" i="3" s="1"/>
  <c r="AL6" i="3" s="1"/>
  <c r="AM6" i="3" s="1"/>
  <c r="AN6" i="3" s="1"/>
  <c r="AI7" i="3"/>
  <c r="AJ7" i="3" s="1"/>
  <c r="AK7" i="3" s="1"/>
  <c r="AL7" i="3" s="1"/>
  <c r="AM7" i="3" s="1"/>
  <c r="AN7" i="3" s="1"/>
  <c r="AI8" i="3"/>
  <c r="AJ8" i="3" s="1"/>
  <c r="AK8" i="3" s="1"/>
  <c r="AL8" i="3" s="1"/>
  <c r="AM8" i="3" s="1"/>
  <c r="AN8" i="3" s="1"/>
  <c r="AI9" i="3"/>
  <c r="AJ9" i="3" s="1"/>
  <c r="AI10" i="3"/>
  <c r="AJ10" i="3" s="1"/>
  <c r="AK10" i="3" s="1"/>
  <c r="AL10" i="3" s="1"/>
  <c r="AM10" i="3" s="1"/>
  <c r="AN10" i="3" s="1"/>
  <c r="AI11" i="3"/>
  <c r="AJ11" i="3" s="1"/>
  <c r="AK11" i="3" s="1"/>
  <c r="AL11" i="3" s="1"/>
  <c r="AM11" i="3" s="1"/>
  <c r="AN11" i="3" s="1"/>
  <c r="AI12" i="3"/>
  <c r="AJ12" i="3" s="1"/>
  <c r="AK12" i="3" s="1"/>
  <c r="AL12" i="3" s="1"/>
  <c r="AM12" i="3" s="1"/>
  <c r="AN12" i="3" s="1"/>
  <c r="AI13" i="3"/>
  <c r="AJ13" i="3" s="1"/>
  <c r="AI14" i="3"/>
  <c r="AJ14" i="3" s="1"/>
  <c r="AK14" i="3" s="1"/>
  <c r="AL14" i="3" s="1"/>
  <c r="AM14" i="3" s="1"/>
  <c r="AN14" i="3" s="1"/>
  <c r="AI15" i="3"/>
  <c r="AJ15" i="3" s="1"/>
  <c r="AK15" i="3" s="1"/>
  <c r="AL15" i="3" s="1"/>
  <c r="AM15" i="3" s="1"/>
  <c r="AN15" i="3" s="1"/>
  <c r="AI16" i="3"/>
  <c r="AJ16" i="3" s="1"/>
  <c r="AK16" i="3" s="1"/>
  <c r="AL16" i="3" s="1"/>
  <c r="AM16" i="3" s="1"/>
  <c r="AN16" i="3" s="1"/>
  <c r="AI17" i="3"/>
  <c r="AJ17" i="3" s="1"/>
  <c r="AI18" i="3"/>
  <c r="AJ18" i="3" s="1"/>
  <c r="AK18" i="3" s="1"/>
  <c r="AL18" i="3" s="1"/>
  <c r="AM18" i="3" s="1"/>
  <c r="AN18" i="3" s="1"/>
  <c r="AI19" i="3"/>
  <c r="AJ19" i="3" s="1"/>
  <c r="AK19" i="3" s="1"/>
  <c r="AL19" i="3" s="1"/>
  <c r="AM19" i="3" s="1"/>
  <c r="AN19" i="3" s="1"/>
  <c r="AI20" i="3"/>
  <c r="AJ20" i="3" s="1"/>
  <c r="AK20" i="3" s="1"/>
  <c r="AL20" i="3" s="1"/>
  <c r="AM20" i="3" s="1"/>
  <c r="AN20" i="3" s="1"/>
  <c r="AI21" i="3"/>
  <c r="AJ21" i="3" s="1"/>
  <c r="AI22" i="3"/>
  <c r="AJ22" i="3" s="1"/>
  <c r="AK22" i="3" s="1"/>
  <c r="AL22" i="3" s="1"/>
  <c r="AM22" i="3" s="1"/>
  <c r="AN22" i="3" s="1"/>
  <c r="AI23" i="3"/>
  <c r="AJ23" i="3" s="1"/>
  <c r="AK23" i="3" s="1"/>
  <c r="AL23" i="3" s="1"/>
  <c r="AM23" i="3" s="1"/>
  <c r="AN23" i="3" s="1"/>
  <c r="AI24" i="3"/>
  <c r="AJ24" i="3" s="1"/>
  <c r="AK24" i="3" s="1"/>
  <c r="AL24" i="3" s="1"/>
  <c r="AM24" i="3" s="1"/>
  <c r="AN24" i="3" s="1"/>
  <c r="AI25" i="3"/>
  <c r="AJ25" i="3" s="1"/>
  <c r="AI26" i="3"/>
  <c r="AJ26" i="3" s="1"/>
  <c r="AK26" i="3" s="1"/>
  <c r="AL26" i="3" s="1"/>
  <c r="AM26" i="3" s="1"/>
  <c r="AN26" i="3" s="1"/>
  <c r="AI27" i="3"/>
  <c r="AJ27" i="3" s="1"/>
  <c r="AK27" i="3" s="1"/>
  <c r="AL27" i="3" s="1"/>
  <c r="AM27" i="3" s="1"/>
  <c r="AN27" i="3" s="1"/>
  <c r="AI28" i="3"/>
  <c r="AJ28" i="3" s="1"/>
  <c r="AK28" i="3" s="1"/>
  <c r="AL28" i="3" s="1"/>
  <c r="AM28" i="3" s="1"/>
  <c r="AN28" i="3" s="1"/>
  <c r="AI29" i="3"/>
  <c r="AJ29" i="3" s="1"/>
  <c r="AI30" i="3"/>
  <c r="AJ30" i="3" s="1"/>
  <c r="AK30" i="3" s="1"/>
  <c r="AL30" i="3" s="1"/>
  <c r="AM30" i="3" s="1"/>
  <c r="AN30" i="3" s="1"/>
  <c r="AI31" i="3"/>
  <c r="AJ31" i="3" s="1"/>
  <c r="AK31" i="3" s="1"/>
  <c r="AL31" i="3" s="1"/>
  <c r="AM31" i="3" s="1"/>
  <c r="AN31" i="3" s="1"/>
  <c r="AI32" i="3"/>
  <c r="AJ32" i="3" s="1"/>
  <c r="AK32" i="3" s="1"/>
  <c r="AL32" i="3" s="1"/>
  <c r="AM32" i="3" s="1"/>
  <c r="AN32" i="3" s="1"/>
  <c r="AI33" i="3"/>
  <c r="AJ33" i="3" s="1"/>
  <c r="AI34" i="3"/>
  <c r="AJ34" i="3" s="1"/>
  <c r="AK34" i="3" s="1"/>
  <c r="AL34" i="3" s="1"/>
  <c r="AM34" i="3" s="1"/>
  <c r="AN34" i="3" s="1"/>
  <c r="AI35" i="3"/>
  <c r="AJ35" i="3" s="1"/>
  <c r="AK35" i="3" s="1"/>
  <c r="AL35" i="3" s="1"/>
  <c r="AM35" i="3" s="1"/>
  <c r="AN35" i="3" s="1"/>
  <c r="AI36" i="3"/>
  <c r="AJ36" i="3" s="1"/>
  <c r="AK36" i="3" s="1"/>
  <c r="AL36" i="3" s="1"/>
  <c r="AM36" i="3" s="1"/>
  <c r="AN36" i="3" s="1"/>
  <c r="AI37" i="3"/>
  <c r="AJ37" i="3" s="1"/>
  <c r="AI38" i="3"/>
  <c r="AJ38" i="3" s="1"/>
  <c r="AK38" i="3" s="1"/>
  <c r="AL38" i="3" s="1"/>
  <c r="AM38" i="3" s="1"/>
  <c r="AN38" i="3" s="1"/>
  <c r="AI39" i="3"/>
  <c r="AJ39" i="3" s="1"/>
  <c r="AK39" i="3" s="1"/>
  <c r="AL39" i="3" s="1"/>
  <c r="AM39" i="3" s="1"/>
  <c r="AN39" i="3" s="1"/>
  <c r="AI40" i="3"/>
  <c r="AJ40" i="3" s="1"/>
  <c r="AK40" i="3" s="1"/>
  <c r="AL40" i="3" s="1"/>
  <c r="AM40" i="3" s="1"/>
  <c r="AN40" i="3" s="1"/>
  <c r="AI41" i="3"/>
  <c r="AJ41" i="3" s="1"/>
  <c r="AI42" i="3"/>
  <c r="AJ42" i="3" s="1"/>
  <c r="AK42" i="3" s="1"/>
  <c r="AL42" i="3" s="1"/>
  <c r="AM42" i="3" s="1"/>
  <c r="AN42" i="3" s="1"/>
  <c r="AI43" i="3"/>
  <c r="AJ43" i="3" s="1"/>
  <c r="AK43" i="3" s="1"/>
  <c r="AL43" i="3" s="1"/>
  <c r="AM43" i="3" s="1"/>
  <c r="AN43" i="3" s="1"/>
  <c r="AI44" i="3"/>
  <c r="AJ44" i="3" s="1"/>
  <c r="AK44" i="3" s="1"/>
  <c r="AL44" i="3" s="1"/>
  <c r="AM44" i="3" s="1"/>
  <c r="AN44" i="3" s="1"/>
  <c r="AI45" i="3"/>
  <c r="AJ45" i="3" s="1"/>
  <c r="AI46" i="3"/>
  <c r="AJ46" i="3" s="1"/>
  <c r="AK46" i="3" s="1"/>
  <c r="AL46" i="3" s="1"/>
  <c r="AM46" i="3" s="1"/>
  <c r="AN46" i="3" s="1"/>
  <c r="AI47" i="3"/>
  <c r="AJ47" i="3" s="1"/>
  <c r="AK47" i="3" s="1"/>
  <c r="AL47" i="3" s="1"/>
  <c r="AM47" i="3" s="1"/>
  <c r="AN47" i="3" s="1"/>
  <c r="AI48" i="3"/>
  <c r="AJ48" i="3" s="1"/>
  <c r="AK48" i="3" s="1"/>
  <c r="AL48" i="3" s="1"/>
  <c r="AM48" i="3" s="1"/>
  <c r="AN48" i="3" s="1"/>
  <c r="AI49" i="3"/>
  <c r="AJ49" i="3" s="1"/>
  <c r="AI50" i="3"/>
  <c r="AJ50" i="3" s="1"/>
  <c r="AK50" i="3" s="1"/>
  <c r="AL50" i="3" s="1"/>
  <c r="AM50" i="3" s="1"/>
  <c r="AN50" i="3" s="1"/>
  <c r="AI51" i="3"/>
  <c r="AJ51" i="3" s="1"/>
  <c r="AK51" i="3" s="1"/>
  <c r="AL51" i="3" s="1"/>
  <c r="AM51" i="3" s="1"/>
  <c r="AN51" i="3" s="1"/>
  <c r="AI52" i="3"/>
  <c r="AJ52" i="3" s="1"/>
  <c r="AK52" i="3" s="1"/>
  <c r="AL52" i="3" s="1"/>
  <c r="AM52" i="3" s="1"/>
  <c r="AN52" i="3" s="1"/>
  <c r="AI53" i="3"/>
  <c r="AJ53" i="3" s="1"/>
  <c r="AI54" i="3"/>
  <c r="AJ54" i="3" s="1"/>
  <c r="AK54" i="3" s="1"/>
  <c r="AL54" i="3" s="1"/>
  <c r="AM54" i="3" s="1"/>
  <c r="AN54" i="3" s="1"/>
  <c r="AI55" i="3"/>
  <c r="AJ55" i="3" s="1"/>
  <c r="AK55" i="3" s="1"/>
  <c r="AL55" i="3" s="1"/>
  <c r="AM55" i="3" s="1"/>
  <c r="AN55" i="3" s="1"/>
  <c r="AI56" i="3"/>
  <c r="AJ56" i="3" s="1"/>
  <c r="AK56" i="3" s="1"/>
  <c r="AL56" i="3" s="1"/>
  <c r="AM56" i="3" s="1"/>
  <c r="AN56" i="3" s="1"/>
  <c r="AI57" i="3"/>
  <c r="AJ57" i="3" s="1"/>
  <c r="AI58" i="3"/>
  <c r="AJ58" i="3" s="1"/>
  <c r="AK58" i="3" s="1"/>
  <c r="AL58" i="3" s="1"/>
  <c r="AM58" i="3" s="1"/>
  <c r="AN58" i="3" s="1"/>
  <c r="AI59" i="3"/>
  <c r="AJ59" i="3" s="1"/>
  <c r="AK59" i="3" s="1"/>
  <c r="AL59" i="3" s="1"/>
  <c r="AM59" i="3" s="1"/>
  <c r="AN59" i="3" s="1"/>
  <c r="AI60" i="3"/>
  <c r="AJ60" i="3" s="1"/>
  <c r="AK60" i="3" s="1"/>
  <c r="AL60" i="3" s="1"/>
  <c r="AM60" i="3" s="1"/>
  <c r="AN60" i="3" s="1"/>
  <c r="AI61" i="3"/>
  <c r="AJ61" i="3" s="1"/>
  <c r="AI62" i="3"/>
  <c r="AJ62" i="3" s="1"/>
  <c r="AK62" i="3" s="1"/>
  <c r="AL62" i="3" s="1"/>
  <c r="AM62" i="3" s="1"/>
  <c r="AN62" i="3" s="1"/>
  <c r="AI63" i="3"/>
  <c r="AJ63" i="3" s="1"/>
  <c r="AK63" i="3" s="1"/>
  <c r="AL63" i="3" s="1"/>
  <c r="AM63" i="3" s="1"/>
  <c r="AN63" i="3" s="1"/>
  <c r="AI64" i="3"/>
  <c r="AJ64" i="3" s="1"/>
  <c r="AK64" i="3" s="1"/>
  <c r="AL64" i="3" s="1"/>
  <c r="AM64" i="3" s="1"/>
  <c r="AN64" i="3" s="1"/>
  <c r="AI65" i="3"/>
  <c r="AJ65" i="3" s="1"/>
  <c r="AI66" i="3"/>
  <c r="AJ66" i="3" s="1"/>
  <c r="AK66" i="3" s="1"/>
  <c r="AL66" i="3" s="1"/>
  <c r="AM66" i="3" s="1"/>
  <c r="AN66" i="3" s="1"/>
  <c r="AI67" i="3"/>
  <c r="AJ67" i="3" s="1"/>
  <c r="AK67" i="3" s="1"/>
  <c r="AL67" i="3" s="1"/>
  <c r="AM67" i="3" s="1"/>
  <c r="AN67" i="3" s="1"/>
  <c r="AI68" i="3"/>
  <c r="AJ68" i="3" s="1"/>
  <c r="AK68" i="3" s="1"/>
  <c r="AL68" i="3" s="1"/>
  <c r="AM68" i="3" s="1"/>
  <c r="AN68" i="3" s="1"/>
  <c r="AI69" i="3"/>
  <c r="AJ69" i="3" s="1"/>
  <c r="AI70" i="3"/>
  <c r="AJ70" i="3" s="1"/>
  <c r="AK70" i="3" s="1"/>
  <c r="AL70" i="3" s="1"/>
  <c r="AM70" i="3" s="1"/>
  <c r="AN70" i="3" s="1"/>
  <c r="AI71" i="3"/>
  <c r="AJ71" i="3" s="1"/>
  <c r="AK71" i="3" s="1"/>
  <c r="AL71" i="3" s="1"/>
  <c r="AM71" i="3" s="1"/>
  <c r="AN71" i="3" s="1"/>
  <c r="AI72" i="3"/>
  <c r="AJ72" i="3" s="1"/>
  <c r="AK72" i="3" s="1"/>
  <c r="AL72" i="3" s="1"/>
  <c r="AM72" i="3" s="1"/>
  <c r="AN72" i="3" s="1"/>
  <c r="AI73" i="3"/>
  <c r="AJ73" i="3" s="1"/>
  <c r="AI74" i="3"/>
  <c r="AJ74" i="3" s="1"/>
  <c r="AK74" i="3" s="1"/>
  <c r="AL74" i="3" s="1"/>
  <c r="AM74" i="3" s="1"/>
  <c r="AN74" i="3" s="1"/>
  <c r="AI75" i="3"/>
  <c r="AJ75" i="3" s="1"/>
  <c r="AK75" i="3" s="1"/>
  <c r="AL75" i="3" s="1"/>
  <c r="AM75" i="3" s="1"/>
  <c r="AN75" i="3" s="1"/>
  <c r="AI76" i="3"/>
  <c r="AJ76" i="3" s="1"/>
  <c r="AK76" i="3" s="1"/>
  <c r="AL76" i="3" s="1"/>
  <c r="AM76" i="3" s="1"/>
  <c r="AN76" i="3" s="1"/>
  <c r="AI77" i="3"/>
  <c r="AJ77" i="3" s="1"/>
  <c r="AI78" i="3"/>
  <c r="AJ78" i="3" s="1"/>
  <c r="AK78" i="3" s="1"/>
  <c r="AL78" i="3" s="1"/>
  <c r="AM78" i="3" s="1"/>
  <c r="AN78" i="3" s="1"/>
  <c r="AI79" i="3"/>
  <c r="AJ79" i="3" s="1"/>
  <c r="AK79" i="3" s="1"/>
  <c r="AL79" i="3" s="1"/>
  <c r="AM79" i="3" s="1"/>
  <c r="AN79" i="3" s="1"/>
  <c r="AI80" i="3"/>
  <c r="AJ80" i="3" s="1"/>
  <c r="AK80" i="3" s="1"/>
  <c r="AL80" i="3" s="1"/>
  <c r="AM80" i="3" s="1"/>
  <c r="AN80" i="3" s="1"/>
  <c r="AI81" i="3"/>
  <c r="AJ81" i="3" s="1"/>
  <c r="AI82" i="3"/>
  <c r="AJ82" i="3" s="1"/>
  <c r="AK82" i="3" s="1"/>
  <c r="AL82" i="3" s="1"/>
  <c r="AM82" i="3" s="1"/>
  <c r="AN82" i="3" s="1"/>
  <c r="AI83" i="3"/>
  <c r="AJ83" i="3" s="1"/>
  <c r="AK83" i="3" s="1"/>
  <c r="AL83" i="3" s="1"/>
  <c r="AM83" i="3" s="1"/>
  <c r="AN83" i="3" s="1"/>
  <c r="AI84" i="3"/>
  <c r="AJ84" i="3" s="1"/>
  <c r="AK84" i="3" s="1"/>
  <c r="AL84" i="3" s="1"/>
  <c r="AM84" i="3" s="1"/>
  <c r="AN84" i="3" s="1"/>
  <c r="AI85" i="3"/>
  <c r="AJ85" i="3" s="1"/>
  <c r="AI86" i="3"/>
  <c r="AJ86" i="3" s="1"/>
  <c r="AK86" i="3" s="1"/>
  <c r="AL86" i="3" s="1"/>
  <c r="AM86" i="3" s="1"/>
  <c r="AN86" i="3" s="1"/>
  <c r="AI87" i="3"/>
  <c r="AJ87" i="3" s="1"/>
  <c r="AK87" i="3" s="1"/>
  <c r="AL87" i="3" s="1"/>
  <c r="AM87" i="3" s="1"/>
  <c r="AN87" i="3" s="1"/>
  <c r="AI88" i="3"/>
  <c r="AJ88" i="3" s="1"/>
  <c r="AK88" i="3" s="1"/>
  <c r="AL88" i="3" s="1"/>
  <c r="AM88" i="3" s="1"/>
  <c r="AN88" i="3" s="1"/>
  <c r="AI89" i="3"/>
  <c r="AJ89" i="3" s="1"/>
  <c r="AK89" i="3" s="1"/>
  <c r="AL89" i="3" s="1"/>
  <c r="AM89" i="3" s="1"/>
  <c r="AN89" i="3" s="1"/>
  <c r="AI90" i="3"/>
  <c r="AJ90" i="3" s="1"/>
  <c r="AK90" i="3" s="1"/>
  <c r="AL90" i="3" s="1"/>
  <c r="AM90" i="3" s="1"/>
  <c r="AN90" i="3" s="1"/>
  <c r="AI91" i="3"/>
  <c r="AJ91" i="3" s="1"/>
  <c r="AK91" i="3" s="1"/>
  <c r="AL91" i="3" s="1"/>
  <c r="AM91" i="3" s="1"/>
  <c r="AN91" i="3" s="1"/>
  <c r="AI92" i="3"/>
  <c r="AJ92" i="3" s="1"/>
  <c r="AK92" i="3" s="1"/>
  <c r="AL92" i="3" s="1"/>
  <c r="AM92" i="3" s="1"/>
  <c r="AN92" i="3" s="1"/>
  <c r="AI93" i="3"/>
  <c r="AJ93" i="3" s="1"/>
  <c r="AK93" i="3" s="1"/>
  <c r="AL93" i="3" s="1"/>
  <c r="AM93" i="3" s="1"/>
  <c r="AN93" i="3" s="1"/>
  <c r="AI94" i="3"/>
  <c r="AJ94" i="3" s="1"/>
  <c r="AK94" i="3" s="1"/>
  <c r="AL94" i="3" s="1"/>
  <c r="AM94" i="3" s="1"/>
  <c r="AN94" i="3" s="1"/>
  <c r="AI95" i="3"/>
  <c r="AJ95" i="3" s="1"/>
  <c r="AK95" i="3" s="1"/>
  <c r="AL95" i="3" s="1"/>
  <c r="AM95" i="3" s="1"/>
  <c r="AN95" i="3" s="1"/>
  <c r="AI96" i="3"/>
  <c r="AJ96" i="3" s="1"/>
  <c r="AK96" i="3" s="1"/>
  <c r="AL96" i="3" s="1"/>
  <c r="AM96" i="3" s="1"/>
  <c r="AN96" i="3" s="1"/>
  <c r="AI97" i="3"/>
  <c r="AJ97" i="3" s="1"/>
  <c r="AI98" i="3"/>
  <c r="AJ98" i="3" s="1"/>
  <c r="AK98" i="3" s="1"/>
  <c r="AL98" i="3" s="1"/>
  <c r="AM98" i="3" s="1"/>
  <c r="AN98" i="3" s="1"/>
  <c r="AI99" i="3"/>
  <c r="AJ99" i="3" s="1"/>
  <c r="AK99" i="3" s="1"/>
  <c r="AL99" i="3" s="1"/>
  <c r="AM99" i="3" s="1"/>
  <c r="AN99" i="3" s="1"/>
  <c r="AI100" i="3"/>
  <c r="AJ100" i="3" s="1"/>
  <c r="AK100" i="3" s="1"/>
  <c r="AL100" i="3" s="1"/>
  <c r="AM100" i="3" s="1"/>
  <c r="AN100" i="3" s="1"/>
  <c r="AI101" i="3"/>
  <c r="AJ101" i="3" s="1"/>
  <c r="AI102" i="3"/>
  <c r="AJ102" i="3" s="1"/>
  <c r="AK102" i="3" s="1"/>
  <c r="AL102" i="3" s="1"/>
  <c r="AM102" i="3" s="1"/>
  <c r="AN102" i="3" s="1"/>
  <c r="AI103" i="3"/>
  <c r="AJ103" i="3" s="1"/>
  <c r="AK103" i="3" s="1"/>
  <c r="AL103" i="3" s="1"/>
  <c r="AM103" i="3" s="1"/>
  <c r="AN103" i="3" s="1"/>
  <c r="AI104" i="3"/>
  <c r="AJ104" i="3" s="1"/>
  <c r="AK104" i="3" s="1"/>
  <c r="AL104" i="3" s="1"/>
  <c r="AM104" i="3" s="1"/>
  <c r="AN104" i="3" s="1"/>
  <c r="AI105" i="3"/>
  <c r="AJ105" i="3" s="1"/>
  <c r="AK105" i="3" s="1"/>
  <c r="AL105" i="3" s="1"/>
  <c r="AM105" i="3" s="1"/>
  <c r="AN105" i="3" s="1"/>
  <c r="AI106" i="3"/>
  <c r="AJ106" i="3" s="1"/>
  <c r="AK106" i="3" s="1"/>
  <c r="AL106" i="3" s="1"/>
  <c r="AM106" i="3" s="1"/>
  <c r="AN106" i="3" s="1"/>
  <c r="AI107" i="3"/>
  <c r="AJ107" i="3" s="1"/>
  <c r="AK107" i="3" s="1"/>
  <c r="AL107" i="3" s="1"/>
  <c r="AM107" i="3" s="1"/>
  <c r="AN107" i="3" s="1"/>
  <c r="AI108" i="3"/>
  <c r="AJ108" i="3" s="1"/>
  <c r="AK108" i="3" s="1"/>
  <c r="AL108" i="3" s="1"/>
  <c r="AM108" i="3" s="1"/>
  <c r="AN108" i="3" s="1"/>
  <c r="AI109" i="3"/>
  <c r="AJ109" i="3" s="1"/>
  <c r="AK109" i="3" s="1"/>
  <c r="AL109" i="3" s="1"/>
  <c r="AM109" i="3" s="1"/>
  <c r="AN109" i="3" s="1"/>
  <c r="AI110" i="3"/>
  <c r="AJ110" i="3" s="1"/>
  <c r="AK110" i="3" s="1"/>
  <c r="AL110" i="3" s="1"/>
  <c r="AM110" i="3" s="1"/>
  <c r="AN110" i="3" s="1"/>
  <c r="AI111" i="3"/>
  <c r="AJ111" i="3" s="1"/>
  <c r="AK111" i="3" s="1"/>
  <c r="AL111" i="3" s="1"/>
  <c r="AM111" i="3" s="1"/>
  <c r="AN111" i="3" s="1"/>
  <c r="AI112" i="3"/>
  <c r="AJ112" i="3" s="1"/>
  <c r="AK112" i="3" s="1"/>
  <c r="AL112" i="3" s="1"/>
  <c r="AM112" i="3" s="1"/>
  <c r="AN112" i="3" s="1"/>
  <c r="AI113" i="3"/>
  <c r="AJ113" i="3" s="1"/>
  <c r="AI114" i="3"/>
  <c r="AJ114" i="3" s="1"/>
  <c r="AK114" i="3" s="1"/>
  <c r="AL114" i="3" s="1"/>
  <c r="AM114" i="3" s="1"/>
  <c r="AN114" i="3" s="1"/>
  <c r="AI115" i="3"/>
  <c r="AJ115" i="3" s="1"/>
  <c r="AK115" i="3" s="1"/>
  <c r="AL115" i="3" s="1"/>
  <c r="AM115" i="3" s="1"/>
  <c r="AN115" i="3" s="1"/>
  <c r="AI116" i="3"/>
  <c r="AJ116" i="3" s="1"/>
  <c r="AK116" i="3" s="1"/>
  <c r="AL116" i="3" s="1"/>
  <c r="AM116" i="3" s="1"/>
  <c r="AN116" i="3" s="1"/>
  <c r="AI117" i="3"/>
  <c r="AJ117" i="3" s="1"/>
  <c r="AI118" i="3"/>
  <c r="AJ118" i="3" s="1"/>
  <c r="AK118" i="3" s="1"/>
  <c r="AL118" i="3" s="1"/>
  <c r="AM118" i="3" s="1"/>
  <c r="AN118" i="3" s="1"/>
  <c r="AI119" i="3"/>
  <c r="AJ119" i="3" s="1"/>
  <c r="AK119" i="3" s="1"/>
  <c r="AL119" i="3" s="1"/>
  <c r="AM119" i="3" s="1"/>
  <c r="AN119" i="3" s="1"/>
  <c r="AI120" i="3"/>
  <c r="AJ120" i="3" s="1"/>
  <c r="AK120" i="3" s="1"/>
  <c r="AL120" i="3" s="1"/>
  <c r="AM120" i="3" s="1"/>
  <c r="AN120" i="3" s="1"/>
  <c r="AI121" i="3"/>
  <c r="AJ121" i="3" s="1"/>
  <c r="AK121" i="3" s="1"/>
  <c r="AL121" i="3" s="1"/>
  <c r="AM121" i="3" s="1"/>
  <c r="AN121" i="3" s="1"/>
  <c r="AI122" i="3"/>
  <c r="AJ122" i="3" s="1"/>
  <c r="AK122" i="3" s="1"/>
  <c r="AL122" i="3" s="1"/>
  <c r="AM122" i="3" s="1"/>
  <c r="AN122" i="3" s="1"/>
  <c r="AI123" i="3"/>
  <c r="AJ123" i="3" s="1"/>
  <c r="AK123" i="3" s="1"/>
  <c r="AL123" i="3" s="1"/>
  <c r="AM123" i="3" s="1"/>
  <c r="AN123" i="3" s="1"/>
  <c r="AI124" i="3"/>
  <c r="AJ124" i="3" s="1"/>
  <c r="AK124" i="3" s="1"/>
  <c r="AL124" i="3" s="1"/>
  <c r="AM124" i="3" s="1"/>
  <c r="AN124" i="3" s="1"/>
  <c r="AI125" i="3"/>
  <c r="AJ125" i="3" s="1"/>
  <c r="AK125" i="3" s="1"/>
  <c r="AL125" i="3" s="1"/>
  <c r="AM125" i="3" s="1"/>
  <c r="AN125" i="3" s="1"/>
  <c r="AI126" i="3"/>
  <c r="AJ126" i="3" s="1"/>
  <c r="AK126" i="3" s="1"/>
  <c r="AL126" i="3" s="1"/>
  <c r="AM126" i="3" s="1"/>
  <c r="AN126" i="3" s="1"/>
  <c r="AI127" i="3"/>
  <c r="AJ127" i="3" s="1"/>
  <c r="AK127" i="3" s="1"/>
  <c r="AL127" i="3" s="1"/>
  <c r="AM127" i="3" s="1"/>
  <c r="AN127" i="3" s="1"/>
  <c r="AI128" i="3"/>
  <c r="AJ128" i="3" s="1"/>
  <c r="AK128" i="3" s="1"/>
  <c r="AL128" i="3" s="1"/>
  <c r="AM128" i="3" s="1"/>
  <c r="AN128" i="3" s="1"/>
  <c r="AI129" i="3"/>
  <c r="AJ129" i="3" s="1"/>
  <c r="AI130" i="3"/>
  <c r="AJ130" i="3" s="1"/>
  <c r="AK130" i="3" s="1"/>
  <c r="AL130" i="3" s="1"/>
  <c r="AM130" i="3" s="1"/>
  <c r="AN130" i="3" s="1"/>
  <c r="AI131" i="3"/>
  <c r="AJ131" i="3" s="1"/>
  <c r="AK131" i="3" s="1"/>
  <c r="AL131" i="3" s="1"/>
  <c r="AM131" i="3" s="1"/>
  <c r="AN131" i="3" s="1"/>
  <c r="AI132" i="3"/>
  <c r="AJ132" i="3" s="1"/>
  <c r="AK132" i="3" s="1"/>
  <c r="AL132" i="3" s="1"/>
  <c r="AM132" i="3" s="1"/>
  <c r="AN132" i="3" s="1"/>
  <c r="AI133" i="3"/>
  <c r="AJ133" i="3" s="1"/>
  <c r="AI2" i="3"/>
  <c r="AJ2" i="3" s="1"/>
  <c r="Z3" i="3"/>
  <c r="AA3" i="3" s="1"/>
  <c r="AB3" i="3" s="1"/>
  <c r="AC3" i="3" s="1"/>
  <c r="AD3" i="3" s="1"/>
  <c r="AE3" i="3" s="1"/>
  <c r="AF3" i="3" s="1"/>
  <c r="AG3" i="3" s="1"/>
  <c r="Z4" i="3"/>
  <c r="AA4" i="3" s="1"/>
  <c r="AB4" i="3" s="1"/>
  <c r="AC4" i="3" s="1"/>
  <c r="AD4" i="3" s="1"/>
  <c r="AE4" i="3" s="1"/>
  <c r="AF4" i="3" s="1"/>
  <c r="AG4" i="3" s="1"/>
  <c r="Z5" i="3"/>
  <c r="AA5" i="3" s="1"/>
  <c r="AB5" i="3" s="1"/>
  <c r="AC5" i="3" s="1"/>
  <c r="AD5" i="3" s="1"/>
  <c r="AE5" i="3" s="1"/>
  <c r="AF5" i="3" s="1"/>
  <c r="AG5" i="3" s="1"/>
  <c r="Z6" i="3"/>
  <c r="AA6" i="3" s="1"/>
  <c r="AB6" i="3" s="1"/>
  <c r="AC6" i="3" s="1"/>
  <c r="AD6" i="3" s="1"/>
  <c r="AE6" i="3" s="1"/>
  <c r="AF6" i="3" s="1"/>
  <c r="AG6" i="3" s="1"/>
  <c r="Z7" i="3"/>
  <c r="AA7" i="3" s="1"/>
  <c r="AB7" i="3" s="1"/>
  <c r="AC7" i="3" s="1"/>
  <c r="AD7" i="3" s="1"/>
  <c r="AE7" i="3" s="1"/>
  <c r="AF7" i="3" s="1"/>
  <c r="AG7" i="3" s="1"/>
  <c r="Z8" i="3"/>
  <c r="AA8" i="3" s="1"/>
  <c r="AB8" i="3" s="1"/>
  <c r="AC8" i="3" s="1"/>
  <c r="AD8" i="3" s="1"/>
  <c r="AE8" i="3" s="1"/>
  <c r="AF8" i="3" s="1"/>
  <c r="AG8" i="3" s="1"/>
  <c r="Z9" i="3"/>
  <c r="AA9" i="3" s="1"/>
  <c r="AB9" i="3" s="1"/>
  <c r="AC9" i="3" s="1"/>
  <c r="AD9" i="3" s="1"/>
  <c r="AE9" i="3" s="1"/>
  <c r="AF9" i="3" s="1"/>
  <c r="AG9" i="3" s="1"/>
  <c r="Z10" i="3"/>
  <c r="AA10" i="3" s="1"/>
  <c r="AB10" i="3" s="1"/>
  <c r="AC10" i="3" s="1"/>
  <c r="AD10" i="3" s="1"/>
  <c r="AE10" i="3" s="1"/>
  <c r="AF10" i="3" s="1"/>
  <c r="AG10" i="3" s="1"/>
  <c r="Z11" i="3"/>
  <c r="AA11" i="3" s="1"/>
  <c r="AB11" i="3" s="1"/>
  <c r="AC11" i="3" s="1"/>
  <c r="AD11" i="3" s="1"/>
  <c r="AE11" i="3" s="1"/>
  <c r="AF11" i="3" s="1"/>
  <c r="AG11" i="3" s="1"/>
  <c r="Z12" i="3"/>
  <c r="AA12" i="3" s="1"/>
  <c r="AB12" i="3" s="1"/>
  <c r="AC12" i="3" s="1"/>
  <c r="AD12" i="3" s="1"/>
  <c r="AE12" i="3" s="1"/>
  <c r="AF12" i="3" s="1"/>
  <c r="AG12" i="3" s="1"/>
  <c r="Z13" i="3"/>
  <c r="AA13" i="3" s="1"/>
  <c r="AB13" i="3" s="1"/>
  <c r="AC13" i="3" s="1"/>
  <c r="AD13" i="3" s="1"/>
  <c r="AE13" i="3" s="1"/>
  <c r="AF13" i="3" s="1"/>
  <c r="AG13" i="3" s="1"/>
  <c r="Z14" i="3"/>
  <c r="AA14" i="3" s="1"/>
  <c r="AB14" i="3" s="1"/>
  <c r="AC14" i="3" s="1"/>
  <c r="AD14" i="3" s="1"/>
  <c r="AE14" i="3" s="1"/>
  <c r="AF14" i="3" s="1"/>
  <c r="AG14" i="3" s="1"/>
  <c r="Z15" i="3"/>
  <c r="AA15" i="3" s="1"/>
  <c r="AB15" i="3" s="1"/>
  <c r="AC15" i="3" s="1"/>
  <c r="AD15" i="3" s="1"/>
  <c r="AE15" i="3" s="1"/>
  <c r="AF15" i="3" s="1"/>
  <c r="AG15" i="3" s="1"/>
  <c r="Z16" i="3"/>
  <c r="AA16" i="3" s="1"/>
  <c r="AB16" i="3" s="1"/>
  <c r="AC16" i="3" s="1"/>
  <c r="AD16" i="3" s="1"/>
  <c r="AE16" i="3" s="1"/>
  <c r="AF16" i="3" s="1"/>
  <c r="AG16" i="3" s="1"/>
  <c r="Z17" i="3"/>
  <c r="AA17" i="3" s="1"/>
  <c r="AB17" i="3" s="1"/>
  <c r="AC17" i="3" s="1"/>
  <c r="AD17" i="3" s="1"/>
  <c r="AE17" i="3" s="1"/>
  <c r="AF17" i="3" s="1"/>
  <c r="AG17" i="3" s="1"/>
  <c r="Z18" i="3"/>
  <c r="AA18" i="3" s="1"/>
  <c r="AB18" i="3" s="1"/>
  <c r="AC18" i="3" s="1"/>
  <c r="AD18" i="3" s="1"/>
  <c r="AE18" i="3" s="1"/>
  <c r="AF18" i="3" s="1"/>
  <c r="AG18" i="3" s="1"/>
  <c r="Z19" i="3"/>
  <c r="AA19" i="3" s="1"/>
  <c r="AB19" i="3" s="1"/>
  <c r="AC19" i="3" s="1"/>
  <c r="AD19" i="3" s="1"/>
  <c r="AE19" i="3" s="1"/>
  <c r="AF19" i="3" s="1"/>
  <c r="AG19" i="3" s="1"/>
  <c r="Z20" i="3"/>
  <c r="AA20" i="3" s="1"/>
  <c r="AB20" i="3" s="1"/>
  <c r="AC20" i="3" s="1"/>
  <c r="AD20" i="3" s="1"/>
  <c r="AE20" i="3" s="1"/>
  <c r="AF20" i="3" s="1"/>
  <c r="AG20" i="3" s="1"/>
  <c r="Z21" i="3"/>
  <c r="AA21" i="3" s="1"/>
  <c r="AB21" i="3" s="1"/>
  <c r="AC21" i="3" s="1"/>
  <c r="AD21" i="3" s="1"/>
  <c r="AE21" i="3" s="1"/>
  <c r="AF21" i="3" s="1"/>
  <c r="AG21" i="3" s="1"/>
  <c r="Z22" i="3"/>
  <c r="AA22" i="3" s="1"/>
  <c r="AB22" i="3" s="1"/>
  <c r="AC22" i="3" s="1"/>
  <c r="AD22" i="3" s="1"/>
  <c r="AE22" i="3" s="1"/>
  <c r="AF22" i="3" s="1"/>
  <c r="AG22" i="3" s="1"/>
  <c r="Z23" i="3"/>
  <c r="AA23" i="3" s="1"/>
  <c r="AB23" i="3" s="1"/>
  <c r="AC23" i="3" s="1"/>
  <c r="AD23" i="3" s="1"/>
  <c r="AE23" i="3" s="1"/>
  <c r="AF23" i="3" s="1"/>
  <c r="AG23" i="3" s="1"/>
  <c r="Z24" i="3"/>
  <c r="AA24" i="3" s="1"/>
  <c r="AB24" i="3" s="1"/>
  <c r="AC24" i="3" s="1"/>
  <c r="AD24" i="3" s="1"/>
  <c r="AE24" i="3" s="1"/>
  <c r="AF24" i="3" s="1"/>
  <c r="AG24" i="3" s="1"/>
  <c r="Z25" i="3"/>
  <c r="AA25" i="3" s="1"/>
  <c r="AB25" i="3" s="1"/>
  <c r="AC25" i="3" s="1"/>
  <c r="AD25" i="3" s="1"/>
  <c r="AE25" i="3" s="1"/>
  <c r="AF25" i="3" s="1"/>
  <c r="AG25" i="3" s="1"/>
  <c r="Z26" i="3"/>
  <c r="AA26" i="3" s="1"/>
  <c r="AB26" i="3" s="1"/>
  <c r="AC26" i="3" s="1"/>
  <c r="AD26" i="3" s="1"/>
  <c r="AE26" i="3" s="1"/>
  <c r="AF26" i="3" s="1"/>
  <c r="AG26" i="3" s="1"/>
  <c r="Z27" i="3"/>
  <c r="AA27" i="3" s="1"/>
  <c r="AB27" i="3" s="1"/>
  <c r="AC27" i="3" s="1"/>
  <c r="AD27" i="3" s="1"/>
  <c r="AE27" i="3" s="1"/>
  <c r="AF27" i="3" s="1"/>
  <c r="AG27" i="3" s="1"/>
  <c r="Z28" i="3"/>
  <c r="AA28" i="3" s="1"/>
  <c r="AB28" i="3" s="1"/>
  <c r="AC28" i="3" s="1"/>
  <c r="AD28" i="3" s="1"/>
  <c r="AE28" i="3" s="1"/>
  <c r="AF28" i="3" s="1"/>
  <c r="AG28" i="3" s="1"/>
  <c r="Z29" i="3"/>
  <c r="AA29" i="3" s="1"/>
  <c r="AB29" i="3" s="1"/>
  <c r="AC29" i="3" s="1"/>
  <c r="AD29" i="3" s="1"/>
  <c r="AE29" i="3" s="1"/>
  <c r="AF29" i="3" s="1"/>
  <c r="AG29" i="3" s="1"/>
  <c r="Z30" i="3"/>
  <c r="AA30" i="3" s="1"/>
  <c r="AB30" i="3" s="1"/>
  <c r="AC30" i="3" s="1"/>
  <c r="AD30" i="3" s="1"/>
  <c r="AE30" i="3" s="1"/>
  <c r="AF30" i="3" s="1"/>
  <c r="AG30" i="3" s="1"/>
  <c r="Z31" i="3"/>
  <c r="AA31" i="3" s="1"/>
  <c r="AB31" i="3" s="1"/>
  <c r="AC31" i="3" s="1"/>
  <c r="AD31" i="3" s="1"/>
  <c r="AE31" i="3" s="1"/>
  <c r="AF31" i="3" s="1"/>
  <c r="AG31" i="3" s="1"/>
  <c r="Z32" i="3"/>
  <c r="AA32" i="3" s="1"/>
  <c r="AB32" i="3" s="1"/>
  <c r="AC32" i="3" s="1"/>
  <c r="AD32" i="3" s="1"/>
  <c r="AE32" i="3" s="1"/>
  <c r="AF32" i="3" s="1"/>
  <c r="AG32" i="3" s="1"/>
  <c r="Z33" i="3"/>
  <c r="AA33" i="3" s="1"/>
  <c r="AB33" i="3" s="1"/>
  <c r="AC33" i="3" s="1"/>
  <c r="AD33" i="3" s="1"/>
  <c r="AE33" i="3" s="1"/>
  <c r="AF33" i="3" s="1"/>
  <c r="AG33" i="3" s="1"/>
  <c r="Z34" i="3"/>
  <c r="AA34" i="3" s="1"/>
  <c r="AB34" i="3" s="1"/>
  <c r="AC34" i="3" s="1"/>
  <c r="AD34" i="3" s="1"/>
  <c r="AE34" i="3" s="1"/>
  <c r="AF34" i="3" s="1"/>
  <c r="AG34" i="3" s="1"/>
  <c r="Z35" i="3"/>
  <c r="AA35" i="3" s="1"/>
  <c r="AB35" i="3" s="1"/>
  <c r="AC35" i="3" s="1"/>
  <c r="AD35" i="3" s="1"/>
  <c r="AE35" i="3" s="1"/>
  <c r="AF35" i="3" s="1"/>
  <c r="AG35" i="3" s="1"/>
  <c r="Z36" i="3"/>
  <c r="AA36" i="3" s="1"/>
  <c r="AB36" i="3" s="1"/>
  <c r="AC36" i="3" s="1"/>
  <c r="AD36" i="3" s="1"/>
  <c r="AE36" i="3" s="1"/>
  <c r="AF36" i="3" s="1"/>
  <c r="AG36" i="3" s="1"/>
  <c r="Z37" i="3"/>
  <c r="AA37" i="3" s="1"/>
  <c r="AB37" i="3" s="1"/>
  <c r="AC37" i="3" s="1"/>
  <c r="AD37" i="3" s="1"/>
  <c r="AE37" i="3" s="1"/>
  <c r="AF37" i="3" s="1"/>
  <c r="AG37" i="3" s="1"/>
  <c r="Z38" i="3"/>
  <c r="AA38" i="3" s="1"/>
  <c r="AB38" i="3" s="1"/>
  <c r="AC38" i="3" s="1"/>
  <c r="AD38" i="3" s="1"/>
  <c r="AE38" i="3" s="1"/>
  <c r="AF38" i="3" s="1"/>
  <c r="AG38" i="3" s="1"/>
  <c r="Z39" i="3"/>
  <c r="AA39" i="3" s="1"/>
  <c r="AB39" i="3" s="1"/>
  <c r="AC39" i="3" s="1"/>
  <c r="AD39" i="3" s="1"/>
  <c r="AE39" i="3" s="1"/>
  <c r="AF39" i="3" s="1"/>
  <c r="AG39" i="3" s="1"/>
  <c r="Z40" i="3"/>
  <c r="AA40" i="3" s="1"/>
  <c r="AB40" i="3" s="1"/>
  <c r="AC40" i="3" s="1"/>
  <c r="AD40" i="3" s="1"/>
  <c r="AE40" i="3" s="1"/>
  <c r="AF40" i="3" s="1"/>
  <c r="AG40" i="3" s="1"/>
  <c r="Z41" i="3"/>
  <c r="AA41" i="3" s="1"/>
  <c r="AB41" i="3" s="1"/>
  <c r="AC41" i="3" s="1"/>
  <c r="AD41" i="3" s="1"/>
  <c r="AE41" i="3" s="1"/>
  <c r="AF41" i="3" s="1"/>
  <c r="AG41" i="3" s="1"/>
  <c r="Z42" i="3"/>
  <c r="AA42" i="3" s="1"/>
  <c r="AB42" i="3" s="1"/>
  <c r="AC42" i="3" s="1"/>
  <c r="AD42" i="3" s="1"/>
  <c r="AE42" i="3" s="1"/>
  <c r="AF42" i="3" s="1"/>
  <c r="AG42" i="3" s="1"/>
  <c r="Z43" i="3"/>
  <c r="AA43" i="3" s="1"/>
  <c r="AB43" i="3" s="1"/>
  <c r="AC43" i="3" s="1"/>
  <c r="AD43" i="3" s="1"/>
  <c r="AE43" i="3" s="1"/>
  <c r="AF43" i="3" s="1"/>
  <c r="AG43" i="3" s="1"/>
  <c r="Z44" i="3"/>
  <c r="AA44" i="3" s="1"/>
  <c r="AB44" i="3" s="1"/>
  <c r="AC44" i="3" s="1"/>
  <c r="AD44" i="3" s="1"/>
  <c r="AE44" i="3" s="1"/>
  <c r="AF44" i="3" s="1"/>
  <c r="AG44" i="3" s="1"/>
  <c r="Z45" i="3"/>
  <c r="AA45" i="3" s="1"/>
  <c r="AB45" i="3" s="1"/>
  <c r="AC45" i="3" s="1"/>
  <c r="AD45" i="3" s="1"/>
  <c r="AE45" i="3" s="1"/>
  <c r="AF45" i="3" s="1"/>
  <c r="AG45" i="3" s="1"/>
  <c r="Z46" i="3"/>
  <c r="AA46" i="3" s="1"/>
  <c r="AB46" i="3" s="1"/>
  <c r="AC46" i="3" s="1"/>
  <c r="AD46" i="3" s="1"/>
  <c r="AE46" i="3" s="1"/>
  <c r="AF46" i="3" s="1"/>
  <c r="AG46" i="3" s="1"/>
  <c r="Z47" i="3"/>
  <c r="AA47" i="3" s="1"/>
  <c r="AB47" i="3" s="1"/>
  <c r="AC47" i="3" s="1"/>
  <c r="AD47" i="3" s="1"/>
  <c r="AE47" i="3" s="1"/>
  <c r="AF47" i="3" s="1"/>
  <c r="AG47" i="3" s="1"/>
  <c r="Z48" i="3"/>
  <c r="AA48" i="3" s="1"/>
  <c r="AB48" i="3" s="1"/>
  <c r="AC48" i="3" s="1"/>
  <c r="AD48" i="3" s="1"/>
  <c r="AE48" i="3" s="1"/>
  <c r="AF48" i="3" s="1"/>
  <c r="AG48" i="3" s="1"/>
  <c r="Z49" i="3"/>
  <c r="AA49" i="3" s="1"/>
  <c r="AB49" i="3" s="1"/>
  <c r="AC49" i="3" s="1"/>
  <c r="AD49" i="3" s="1"/>
  <c r="AE49" i="3" s="1"/>
  <c r="AF49" i="3" s="1"/>
  <c r="AG49" i="3" s="1"/>
  <c r="Z50" i="3"/>
  <c r="AA50" i="3" s="1"/>
  <c r="AB50" i="3" s="1"/>
  <c r="AC50" i="3" s="1"/>
  <c r="AD50" i="3" s="1"/>
  <c r="AE50" i="3" s="1"/>
  <c r="AF50" i="3" s="1"/>
  <c r="AG50" i="3" s="1"/>
  <c r="Z51" i="3"/>
  <c r="AA51" i="3" s="1"/>
  <c r="AB51" i="3" s="1"/>
  <c r="AC51" i="3" s="1"/>
  <c r="AD51" i="3" s="1"/>
  <c r="AE51" i="3" s="1"/>
  <c r="AF51" i="3" s="1"/>
  <c r="AG51" i="3" s="1"/>
  <c r="Z52" i="3"/>
  <c r="AA52" i="3" s="1"/>
  <c r="AB52" i="3" s="1"/>
  <c r="AC52" i="3" s="1"/>
  <c r="AD52" i="3" s="1"/>
  <c r="AE52" i="3" s="1"/>
  <c r="AF52" i="3" s="1"/>
  <c r="AG52" i="3" s="1"/>
  <c r="Z53" i="3"/>
  <c r="AA53" i="3" s="1"/>
  <c r="AB53" i="3" s="1"/>
  <c r="AC53" i="3" s="1"/>
  <c r="AD53" i="3" s="1"/>
  <c r="AE53" i="3" s="1"/>
  <c r="AF53" i="3" s="1"/>
  <c r="AG53" i="3" s="1"/>
  <c r="Z54" i="3"/>
  <c r="AA54" i="3" s="1"/>
  <c r="AB54" i="3" s="1"/>
  <c r="AC54" i="3" s="1"/>
  <c r="AD54" i="3" s="1"/>
  <c r="AE54" i="3" s="1"/>
  <c r="AF54" i="3" s="1"/>
  <c r="AG54" i="3" s="1"/>
  <c r="Z55" i="3"/>
  <c r="AA55" i="3" s="1"/>
  <c r="AB55" i="3" s="1"/>
  <c r="AC55" i="3" s="1"/>
  <c r="AD55" i="3" s="1"/>
  <c r="AE55" i="3" s="1"/>
  <c r="AF55" i="3" s="1"/>
  <c r="AG55" i="3" s="1"/>
  <c r="Z56" i="3"/>
  <c r="AA56" i="3" s="1"/>
  <c r="AB56" i="3" s="1"/>
  <c r="AC56" i="3" s="1"/>
  <c r="AD56" i="3" s="1"/>
  <c r="AE56" i="3" s="1"/>
  <c r="AF56" i="3" s="1"/>
  <c r="AG56" i="3" s="1"/>
  <c r="Z57" i="3"/>
  <c r="AA57" i="3" s="1"/>
  <c r="AB57" i="3" s="1"/>
  <c r="AC57" i="3" s="1"/>
  <c r="AD57" i="3" s="1"/>
  <c r="AE57" i="3" s="1"/>
  <c r="AF57" i="3" s="1"/>
  <c r="AG57" i="3" s="1"/>
  <c r="Z58" i="3"/>
  <c r="AA58" i="3" s="1"/>
  <c r="AB58" i="3" s="1"/>
  <c r="AC58" i="3" s="1"/>
  <c r="AD58" i="3" s="1"/>
  <c r="AE58" i="3" s="1"/>
  <c r="AF58" i="3" s="1"/>
  <c r="AG58" i="3" s="1"/>
  <c r="Z59" i="3"/>
  <c r="AA59" i="3" s="1"/>
  <c r="AB59" i="3" s="1"/>
  <c r="AC59" i="3" s="1"/>
  <c r="AD59" i="3" s="1"/>
  <c r="AE59" i="3" s="1"/>
  <c r="AF59" i="3" s="1"/>
  <c r="AG59" i="3" s="1"/>
  <c r="Z60" i="3"/>
  <c r="AA60" i="3" s="1"/>
  <c r="AB60" i="3" s="1"/>
  <c r="AC60" i="3" s="1"/>
  <c r="AD60" i="3" s="1"/>
  <c r="AE60" i="3" s="1"/>
  <c r="AF60" i="3" s="1"/>
  <c r="AG60" i="3" s="1"/>
  <c r="Z61" i="3"/>
  <c r="AA61" i="3" s="1"/>
  <c r="AB61" i="3" s="1"/>
  <c r="AC61" i="3" s="1"/>
  <c r="AD61" i="3" s="1"/>
  <c r="AE61" i="3" s="1"/>
  <c r="AF61" i="3" s="1"/>
  <c r="AG61" i="3" s="1"/>
  <c r="Z62" i="3"/>
  <c r="AA62" i="3" s="1"/>
  <c r="AB62" i="3" s="1"/>
  <c r="AC62" i="3" s="1"/>
  <c r="AD62" i="3" s="1"/>
  <c r="AE62" i="3" s="1"/>
  <c r="AF62" i="3" s="1"/>
  <c r="AG62" i="3" s="1"/>
  <c r="Z63" i="3"/>
  <c r="AA63" i="3" s="1"/>
  <c r="AB63" i="3" s="1"/>
  <c r="AC63" i="3" s="1"/>
  <c r="AD63" i="3" s="1"/>
  <c r="AE63" i="3" s="1"/>
  <c r="AF63" i="3" s="1"/>
  <c r="AG63" i="3" s="1"/>
  <c r="Z64" i="3"/>
  <c r="AA64" i="3" s="1"/>
  <c r="AB64" i="3" s="1"/>
  <c r="AC64" i="3" s="1"/>
  <c r="AD64" i="3" s="1"/>
  <c r="AE64" i="3" s="1"/>
  <c r="AF64" i="3" s="1"/>
  <c r="AG64" i="3" s="1"/>
  <c r="Z65" i="3"/>
  <c r="AA65" i="3" s="1"/>
  <c r="AB65" i="3" s="1"/>
  <c r="AC65" i="3" s="1"/>
  <c r="AD65" i="3" s="1"/>
  <c r="AE65" i="3" s="1"/>
  <c r="AF65" i="3" s="1"/>
  <c r="AG65" i="3" s="1"/>
  <c r="Z66" i="3"/>
  <c r="AA66" i="3" s="1"/>
  <c r="AB66" i="3" s="1"/>
  <c r="AC66" i="3" s="1"/>
  <c r="AD66" i="3" s="1"/>
  <c r="AE66" i="3" s="1"/>
  <c r="AF66" i="3" s="1"/>
  <c r="AG66" i="3" s="1"/>
  <c r="Z67" i="3"/>
  <c r="AA67" i="3" s="1"/>
  <c r="AB67" i="3" s="1"/>
  <c r="AC67" i="3" s="1"/>
  <c r="AD67" i="3" s="1"/>
  <c r="AE67" i="3" s="1"/>
  <c r="AF67" i="3" s="1"/>
  <c r="AG67" i="3" s="1"/>
  <c r="Z68" i="3"/>
  <c r="AA68" i="3" s="1"/>
  <c r="AB68" i="3" s="1"/>
  <c r="AC68" i="3" s="1"/>
  <c r="AD68" i="3" s="1"/>
  <c r="AE68" i="3" s="1"/>
  <c r="AF68" i="3" s="1"/>
  <c r="AG68" i="3" s="1"/>
  <c r="Z69" i="3"/>
  <c r="AA69" i="3" s="1"/>
  <c r="AB69" i="3" s="1"/>
  <c r="AC69" i="3" s="1"/>
  <c r="AD69" i="3" s="1"/>
  <c r="AE69" i="3" s="1"/>
  <c r="AF69" i="3" s="1"/>
  <c r="AG69" i="3" s="1"/>
  <c r="Z70" i="3"/>
  <c r="AA70" i="3" s="1"/>
  <c r="AB70" i="3" s="1"/>
  <c r="AC70" i="3" s="1"/>
  <c r="AD70" i="3" s="1"/>
  <c r="AE70" i="3" s="1"/>
  <c r="AF70" i="3" s="1"/>
  <c r="AG70" i="3" s="1"/>
  <c r="Z71" i="3"/>
  <c r="AA71" i="3" s="1"/>
  <c r="AB71" i="3" s="1"/>
  <c r="AC71" i="3" s="1"/>
  <c r="AD71" i="3" s="1"/>
  <c r="AE71" i="3" s="1"/>
  <c r="AF71" i="3" s="1"/>
  <c r="AG71" i="3" s="1"/>
  <c r="Z72" i="3"/>
  <c r="AA72" i="3" s="1"/>
  <c r="AB72" i="3" s="1"/>
  <c r="AC72" i="3" s="1"/>
  <c r="AD72" i="3" s="1"/>
  <c r="AE72" i="3" s="1"/>
  <c r="AF72" i="3" s="1"/>
  <c r="AG72" i="3" s="1"/>
  <c r="Z73" i="3"/>
  <c r="AA73" i="3" s="1"/>
  <c r="AB73" i="3" s="1"/>
  <c r="AC73" i="3" s="1"/>
  <c r="AD73" i="3" s="1"/>
  <c r="AE73" i="3" s="1"/>
  <c r="AF73" i="3" s="1"/>
  <c r="AG73" i="3" s="1"/>
  <c r="Z74" i="3"/>
  <c r="AA74" i="3" s="1"/>
  <c r="AB74" i="3" s="1"/>
  <c r="AC74" i="3" s="1"/>
  <c r="AD74" i="3" s="1"/>
  <c r="AE74" i="3" s="1"/>
  <c r="AF74" i="3" s="1"/>
  <c r="AG74" i="3" s="1"/>
  <c r="Z75" i="3"/>
  <c r="AA75" i="3" s="1"/>
  <c r="AB75" i="3" s="1"/>
  <c r="AC75" i="3" s="1"/>
  <c r="AD75" i="3" s="1"/>
  <c r="AE75" i="3" s="1"/>
  <c r="AF75" i="3" s="1"/>
  <c r="AG75" i="3" s="1"/>
  <c r="Z76" i="3"/>
  <c r="AA76" i="3" s="1"/>
  <c r="AB76" i="3" s="1"/>
  <c r="AC76" i="3" s="1"/>
  <c r="AD76" i="3" s="1"/>
  <c r="AE76" i="3" s="1"/>
  <c r="AF76" i="3" s="1"/>
  <c r="AG76" i="3" s="1"/>
  <c r="Z77" i="3"/>
  <c r="AA77" i="3" s="1"/>
  <c r="AB77" i="3" s="1"/>
  <c r="AC77" i="3" s="1"/>
  <c r="AD77" i="3" s="1"/>
  <c r="AE77" i="3" s="1"/>
  <c r="AF77" i="3" s="1"/>
  <c r="AG77" i="3" s="1"/>
  <c r="Z78" i="3"/>
  <c r="AA78" i="3" s="1"/>
  <c r="AB78" i="3" s="1"/>
  <c r="AC78" i="3" s="1"/>
  <c r="AD78" i="3" s="1"/>
  <c r="AE78" i="3" s="1"/>
  <c r="AF78" i="3" s="1"/>
  <c r="AG78" i="3" s="1"/>
  <c r="Z79" i="3"/>
  <c r="AA79" i="3" s="1"/>
  <c r="AB79" i="3" s="1"/>
  <c r="AC79" i="3" s="1"/>
  <c r="AD79" i="3" s="1"/>
  <c r="AE79" i="3" s="1"/>
  <c r="AF79" i="3" s="1"/>
  <c r="AG79" i="3" s="1"/>
  <c r="Z80" i="3"/>
  <c r="AA80" i="3" s="1"/>
  <c r="AB80" i="3" s="1"/>
  <c r="AC80" i="3" s="1"/>
  <c r="AD80" i="3" s="1"/>
  <c r="AE80" i="3" s="1"/>
  <c r="AF80" i="3" s="1"/>
  <c r="AG80" i="3" s="1"/>
  <c r="Z81" i="3"/>
  <c r="AA81" i="3" s="1"/>
  <c r="AB81" i="3" s="1"/>
  <c r="AC81" i="3" s="1"/>
  <c r="AD81" i="3" s="1"/>
  <c r="AE81" i="3" s="1"/>
  <c r="AF81" i="3" s="1"/>
  <c r="AG81" i="3" s="1"/>
  <c r="Z82" i="3"/>
  <c r="AA82" i="3" s="1"/>
  <c r="AB82" i="3" s="1"/>
  <c r="AC82" i="3" s="1"/>
  <c r="AD82" i="3" s="1"/>
  <c r="AE82" i="3" s="1"/>
  <c r="AF82" i="3" s="1"/>
  <c r="AG82" i="3" s="1"/>
  <c r="Z83" i="3"/>
  <c r="AA83" i="3" s="1"/>
  <c r="AB83" i="3" s="1"/>
  <c r="AC83" i="3" s="1"/>
  <c r="AD83" i="3" s="1"/>
  <c r="AE83" i="3" s="1"/>
  <c r="AF83" i="3" s="1"/>
  <c r="AG83" i="3" s="1"/>
  <c r="Z84" i="3"/>
  <c r="AA84" i="3" s="1"/>
  <c r="AB84" i="3" s="1"/>
  <c r="AC84" i="3" s="1"/>
  <c r="AD84" i="3" s="1"/>
  <c r="AE84" i="3" s="1"/>
  <c r="AF84" i="3" s="1"/>
  <c r="AG84" i="3" s="1"/>
  <c r="Z85" i="3"/>
  <c r="AA85" i="3" s="1"/>
  <c r="AB85" i="3" s="1"/>
  <c r="AC85" i="3" s="1"/>
  <c r="AD85" i="3" s="1"/>
  <c r="AE85" i="3" s="1"/>
  <c r="AF85" i="3" s="1"/>
  <c r="AG85" i="3" s="1"/>
  <c r="Z86" i="3"/>
  <c r="AA86" i="3" s="1"/>
  <c r="AB86" i="3" s="1"/>
  <c r="AC86" i="3" s="1"/>
  <c r="AD86" i="3" s="1"/>
  <c r="AE86" i="3" s="1"/>
  <c r="AF86" i="3" s="1"/>
  <c r="AG86" i="3" s="1"/>
  <c r="Z87" i="3"/>
  <c r="AA87" i="3" s="1"/>
  <c r="AB87" i="3" s="1"/>
  <c r="AC87" i="3" s="1"/>
  <c r="AD87" i="3" s="1"/>
  <c r="AE87" i="3" s="1"/>
  <c r="AF87" i="3" s="1"/>
  <c r="AG87" i="3" s="1"/>
  <c r="Z88" i="3"/>
  <c r="AA88" i="3" s="1"/>
  <c r="AB88" i="3" s="1"/>
  <c r="AC88" i="3" s="1"/>
  <c r="AD88" i="3" s="1"/>
  <c r="AE88" i="3" s="1"/>
  <c r="AF88" i="3" s="1"/>
  <c r="AG88" i="3" s="1"/>
  <c r="Z89" i="3"/>
  <c r="AA89" i="3" s="1"/>
  <c r="AB89" i="3" s="1"/>
  <c r="AC89" i="3" s="1"/>
  <c r="AD89" i="3" s="1"/>
  <c r="AE89" i="3" s="1"/>
  <c r="AF89" i="3" s="1"/>
  <c r="AG89" i="3" s="1"/>
  <c r="Z90" i="3"/>
  <c r="AA90" i="3" s="1"/>
  <c r="AB90" i="3" s="1"/>
  <c r="AC90" i="3" s="1"/>
  <c r="AD90" i="3" s="1"/>
  <c r="AE90" i="3" s="1"/>
  <c r="AF90" i="3" s="1"/>
  <c r="AG90" i="3" s="1"/>
  <c r="Z91" i="3"/>
  <c r="AA91" i="3" s="1"/>
  <c r="AB91" i="3" s="1"/>
  <c r="AC91" i="3" s="1"/>
  <c r="AD91" i="3" s="1"/>
  <c r="AE91" i="3" s="1"/>
  <c r="AF91" i="3" s="1"/>
  <c r="AG91" i="3" s="1"/>
  <c r="Z92" i="3"/>
  <c r="AA92" i="3" s="1"/>
  <c r="AB92" i="3" s="1"/>
  <c r="AC92" i="3" s="1"/>
  <c r="AD92" i="3" s="1"/>
  <c r="AE92" i="3" s="1"/>
  <c r="AF92" i="3" s="1"/>
  <c r="AG92" i="3" s="1"/>
  <c r="Z93" i="3"/>
  <c r="AA93" i="3" s="1"/>
  <c r="AB93" i="3" s="1"/>
  <c r="AC93" i="3" s="1"/>
  <c r="AD93" i="3" s="1"/>
  <c r="AE93" i="3" s="1"/>
  <c r="AF93" i="3" s="1"/>
  <c r="AG93" i="3" s="1"/>
  <c r="Z94" i="3"/>
  <c r="AA94" i="3" s="1"/>
  <c r="AB94" i="3" s="1"/>
  <c r="AC94" i="3" s="1"/>
  <c r="AD94" i="3" s="1"/>
  <c r="AE94" i="3" s="1"/>
  <c r="AF94" i="3" s="1"/>
  <c r="AG94" i="3" s="1"/>
  <c r="Z95" i="3"/>
  <c r="AA95" i="3" s="1"/>
  <c r="AB95" i="3" s="1"/>
  <c r="AC95" i="3" s="1"/>
  <c r="AD95" i="3" s="1"/>
  <c r="AE95" i="3" s="1"/>
  <c r="AF95" i="3" s="1"/>
  <c r="AG95" i="3" s="1"/>
  <c r="Z96" i="3"/>
  <c r="AA96" i="3" s="1"/>
  <c r="AB96" i="3" s="1"/>
  <c r="AC96" i="3" s="1"/>
  <c r="AD96" i="3" s="1"/>
  <c r="AE96" i="3" s="1"/>
  <c r="AF96" i="3" s="1"/>
  <c r="AG96" i="3" s="1"/>
  <c r="Z97" i="3"/>
  <c r="AA97" i="3" s="1"/>
  <c r="AB97" i="3" s="1"/>
  <c r="AC97" i="3" s="1"/>
  <c r="AD97" i="3" s="1"/>
  <c r="AE97" i="3" s="1"/>
  <c r="AF97" i="3" s="1"/>
  <c r="AG97" i="3" s="1"/>
  <c r="Z98" i="3"/>
  <c r="AA98" i="3" s="1"/>
  <c r="AB98" i="3" s="1"/>
  <c r="AC98" i="3" s="1"/>
  <c r="AD98" i="3" s="1"/>
  <c r="AE98" i="3" s="1"/>
  <c r="AF98" i="3" s="1"/>
  <c r="AG98" i="3" s="1"/>
  <c r="Z99" i="3"/>
  <c r="AA99" i="3" s="1"/>
  <c r="AB99" i="3" s="1"/>
  <c r="AC99" i="3" s="1"/>
  <c r="AD99" i="3" s="1"/>
  <c r="AE99" i="3" s="1"/>
  <c r="AF99" i="3" s="1"/>
  <c r="AG99" i="3" s="1"/>
  <c r="Z100" i="3"/>
  <c r="AA100" i="3" s="1"/>
  <c r="AB100" i="3" s="1"/>
  <c r="AC100" i="3" s="1"/>
  <c r="AD100" i="3" s="1"/>
  <c r="AE100" i="3" s="1"/>
  <c r="AF100" i="3" s="1"/>
  <c r="AG100" i="3" s="1"/>
  <c r="Z101" i="3"/>
  <c r="AA101" i="3" s="1"/>
  <c r="AB101" i="3" s="1"/>
  <c r="AC101" i="3" s="1"/>
  <c r="AD101" i="3" s="1"/>
  <c r="AE101" i="3" s="1"/>
  <c r="AF101" i="3" s="1"/>
  <c r="AG101" i="3" s="1"/>
  <c r="Z102" i="3"/>
  <c r="AA102" i="3" s="1"/>
  <c r="AB102" i="3" s="1"/>
  <c r="AC102" i="3" s="1"/>
  <c r="AD102" i="3" s="1"/>
  <c r="AE102" i="3" s="1"/>
  <c r="AF102" i="3" s="1"/>
  <c r="AG102" i="3" s="1"/>
  <c r="Z103" i="3"/>
  <c r="AA103" i="3" s="1"/>
  <c r="AB103" i="3" s="1"/>
  <c r="AC103" i="3" s="1"/>
  <c r="AD103" i="3" s="1"/>
  <c r="AE103" i="3" s="1"/>
  <c r="AF103" i="3" s="1"/>
  <c r="AG103" i="3" s="1"/>
  <c r="Z104" i="3"/>
  <c r="AA104" i="3" s="1"/>
  <c r="AB104" i="3" s="1"/>
  <c r="AC104" i="3" s="1"/>
  <c r="AD104" i="3" s="1"/>
  <c r="AE104" i="3" s="1"/>
  <c r="AF104" i="3" s="1"/>
  <c r="AG104" i="3" s="1"/>
  <c r="Z105" i="3"/>
  <c r="AA105" i="3" s="1"/>
  <c r="AB105" i="3" s="1"/>
  <c r="AC105" i="3" s="1"/>
  <c r="AD105" i="3" s="1"/>
  <c r="AE105" i="3" s="1"/>
  <c r="AF105" i="3" s="1"/>
  <c r="AG105" i="3" s="1"/>
  <c r="Z106" i="3"/>
  <c r="AA106" i="3" s="1"/>
  <c r="AB106" i="3" s="1"/>
  <c r="AC106" i="3" s="1"/>
  <c r="AD106" i="3" s="1"/>
  <c r="AE106" i="3" s="1"/>
  <c r="AF106" i="3" s="1"/>
  <c r="AG106" i="3" s="1"/>
  <c r="Z107" i="3"/>
  <c r="AA107" i="3" s="1"/>
  <c r="AB107" i="3" s="1"/>
  <c r="AC107" i="3" s="1"/>
  <c r="AD107" i="3" s="1"/>
  <c r="AE107" i="3" s="1"/>
  <c r="AF107" i="3" s="1"/>
  <c r="AG107" i="3" s="1"/>
  <c r="Z108" i="3"/>
  <c r="AA108" i="3" s="1"/>
  <c r="AB108" i="3" s="1"/>
  <c r="AC108" i="3" s="1"/>
  <c r="AD108" i="3" s="1"/>
  <c r="AE108" i="3" s="1"/>
  <c r="AF108" i="3" s="1"/>
  <c r="AG108" i="3" s="1"/>
  <c r="Z109" i="3"/>
  <c r="AA109" i="3" s="1"/>
  <c r="AB109" i="3" s="1"/>
  <c r="AC109" i="3" s="1"/>
  <c r="AD109" i="3" s="1"/>
  <c r="AE109" i="3" s="1"/>
  <c r="AF109" i="3" s="1"/>
  <c r="AG109" i="3" s="1"/>
  <c r="Z110" i="3"/>
  <c r="AA110" i="3" s="1"/>
  <c r="AB110" i="3" s="1"/>
  <c r="AC110" i="3" s="1"/>
  <c r="AD110" i="3" s="1"/>
  <c r="AE110" i="3" s="1"/>
  <c r="AF110" i="3" s="1"/>
  <c r="AG110" i="3" s="1"/>
  <c r="Z111" i="3"/>
  <c r="AA111" i="3" s="1"/>
  <c r="AB111" i="3" s="1"/>
  <c r="AC111" i="3" s="1"/>
  <c r="AD111" i="3" s="1"/>
  <c r="AE111" i="3" s="1"/>
  <c r="AF111" i="3" s="1"/>
  <c r="AG111" i="3" s="1"/>
  <c r="Z112" i="3"/>
  <c r="AA112" i="3" s="1"/>
  <c r="AB112" i="3" s="1"/>
  <c r="AC112" i="3" s="1"/>
  <c r="AD112" i="3" s="1"/>
  <c r="AE112" i="3" s="1"/>
  <c r="AF112" i="3" s="1"/>
  <c r="AG112" i="3" s="1"/>
  <c r="Z113" i="3"/>
  <c r="AA113" i="3" s="1"/>
  <c r="AB113" i="3" s="1"/>
  <c r="AC113" i="3" s="1"/>
  <c r="AD113" i="3" s="1"/>
  <c r="AE113" i="3" s="1"/>
  <c r="AF113" i="3" s="1"/>
  <c r="AG113" i="3" s="1"/>
  <c r="Z114" i="3"/>
  <c r="AA114" i="3" s="1"/>
  <c r="AB114" i="3" s="1"/>
  <c r="AC114" i="3" s="1"/>
  <c r="AD114" i="3" s="1"/>
  <c r="AE114" i="3" s="1"/>
  <c r="AF114" i="3" s="1"/>
  <c r="AG114" i="3" s="1"/>
  <c r="Z115" i="3"/>
  <c r="AA115" i="3" s="1"/>
  <c r="AB115" i="3" s="1"/>
  <c r="AC115" i="3" s="1"/>
  <c r="AD115" i="3" s="1"/>
  <c r="AE115" i="3" s="1"/>
  <c r="AF115" i="3" s="1"/>
  <c r="AG115" i="3" s="1"/>
  <c r="Z116" i="3"/>
  <c r="AA116" i="3" s="1"/>
  <c r="AB116" i="3" s="1"/>
  <c r="AC116" i="3" s="1"/>
  <c r="AD116" i="3" s="1"/>
  <c r="AE116" i="3" s="1"/>
  <c r="AF116" i="3" s="1"/>
  <c r="AG116" i="3" s="1"/>
  <c r="Z117" i="3"/>
  <c r="AA117" i="3" s="1"/>
  <c r="AB117" i="3" s="1"/>
  <c r="AC117" i="3" s="1"/>
  <c r="AD117" i="3" s="1"/>
  <c r="AE117" i="3" s="1"/>
  <c r="AF117" i="3" s="1"/>
  <c r="AG117" i="3" s="1"/>
  <c r="Z118" i="3"/>
  <c r="AA118" i="3" s="1"/>
  <c r="AB118" i="3" s="1"/>
  <c r="AC118" i="3" s="1"/>
  <c r="AD118" i="3" s="1"/>
  <c r="AE118" i="3" s="1"/>
  <c r="AF118" i="3" s="1"/>
  <c r="AG118" i="3" s="1"/>
  <c r="Z119" i="3"/>
  <c r="AA119" i="3" s="1"/>
  <c r="AB119" i="3" s="1"/>
  <c r="AC119" i="3" s="1"/>
  <c r="AD119" i="3" s="1"/>
  <c r="AE119" i="3" s="1"/>
  <c r="AF119" i="3" s="1"/>
  <c r="AG119" i="3" s="1"/>
  <c r="Z120" i="3"/>
  <c r="AA120" i="3" s="1"/>
  <c r="AB120" i="3" s="1"/>
  <c r="AC120" i="3" s="1"/>
  <c r="AD120" i="3" s="1"/>
  <c r="AE120" i="3" s="1"/>
  <c r="AF120" i="3" s="1"/>
  <c r="AG120" i="3" s="1"/>
  <c r="Z121" i="3"/>
  <c r="AA121" i="3" s="1"/>
  <c r="AB121" i="3" s="1"/>
  <c r="AC121" i="3" s="1"/>
  <c r="AD121" i="3" s="1"/>
  <c r="AE121" i="3" s="1"/>
  <c r="AF121" i="3" s="1"/>
  <c r="AG121" i="3" s="1"/>
  <c r="Z122" i="3"/>
  <c r="AA122" i="3" s="1"/>
  <c r="AB122" i="3" s="1"/>
  <c r="AC122" i="3" s="1"/>
  <c r="AD122" i="3" s="1"/>
  <c r="AE122" i="3" s="1"/>
  <c r="AF122" i="3" s="1"/>
  <c r="AG122" i="3" s="1"/>
  <c r="Z123" i="3"/>
  <c r="AA123" i="3" s="1"/>
  <c r="AB123" i="3" s="1"/>
  <c r="AC123" i="3" s="1"/>
  <c r="AD123" i="3" s="1"/>
  <c r="AE123" i="3" s="1"/>
  <c r="AF123" i="3" s="1"/>
  <c r="AG123" i="3" s="1"/>
  <c r="Z124" i="3"/>
  <c r="AA124" i="3" s="1"/>
  <c r="AB124" i="3" s="1"/>
  <c r="AC124" i="3" s="1"/>
  <c r="AD124" i="3" s="1"/>
  <c r="AE124" i="3" s="1"/>
  <c r="AF124" i="3" s="1"/>
  <c r="AG124" i="3" s="1"/>
  <c r="Z125" i="3"/>
  <c r="AA125" i="3" s="1"/>
  <c r="AB125" i="3" s="1"/>
  <c r="AC125" i="3" s="1"/>
  <c r="AD125" i="3" s="1"/>
  <c r="AE125" i="3" s="1"/>
  <c r="AF125" i="3" s="1"/>
  <c r="AG125" i="3" s="1"/>
  <c r="Z126" i="3"/>
  <c r="AA126" i="3" s="1"/>
  <c r="AB126" i="3" s="1"/>
  <c r="AC126" i="3" s="1"/>
  <c r="AD126" i="3" s="1"/>
  <c r="AE126" i="3" s="1"/>
  <c r="AF126" i="3" s="1"/>
  <c r="AG126" i="3" s="1"/>
  <c r="Z127" i="3"/>
  <c r="AA127" i="3" s="1"/>
  <c r="AB127" i="3" s="1"/>
  <c r="AC127" i="3" s="1"/>
  <c r="AD127" i="3" s="1"/>
  <c r="AE127" i="3" s="1"/>
  <c r="AF127" i="3" s="1"/>
  <c r="AG127" i="3" s="1"/>
  <c r="Z128" i="3"/>
  <c r="AA128" i="3" s="1"/>
  <c r="AB128" i="3" s="1"/>
  <c r="AC128" i="3" s="1"/>
  <c r="AD128" i="3" s="1"/>
  <c r="AE128" i="3" s="1"/>
  <c r="AF128" i="3" s="1"/>
  <c r="AG128" i="3" s="1"/>
  <c r="Z129" i="3"/>
  <c r="AA129" i="3" s="1"/>
  <c r="AB129" i="3" s="1"/>
  <c r="AC129" i="3" s="1"/>
  <c r="AD129" i="3" s="1"/>
  <c r="AE129" i="3" s="1"/>
  <c r="AF129" i="3" s="1"/>
  <c r="AG129" i="3" s="1"/>
  <c r="Z130" i="3"/>
  <c r="AA130" i="3" s="1"/>
  <c r="AB130" i="3" s="1"/>
  <c r="AC130" i="3" s="1"/>
  <c r="AD130" i="3" s="1"/>
  <c r="AE130" i="3" s="1"/>
  <c r="AF130" i="3" s="1"/>
  <c r="AG130" i="3" s="1"/>
  <c r="Z131" i="3"/>
  <c r="AA131" i="3" s="1"/>
  <c r="AB131" i="3" s="1"/>
  <c r="AC131" i="3" s="1"/>
  <c r="AD131" i="3" s="1"/>
  <c r="AE131" i="3" s="1"/>
  <c r="AF131" i="3" s="1"/>
  <c r="AG131" i="3" s="1"/>
  <c r="Z132" i="3"/>
  <c r="AA132" i="3" s="1"/>
  <c r="AB132" i="3" s="1"/>
  <c r="AC132" i="3" s="1"/>
  <c r="AD132" i="3" s="1"/>
  <c r="AE132" i="3" s="1"/>
  <c r="AF132" i="3" s="1"/>
  <c r="AG132" i="3" s="1"/>
  <c r="Z133" i="3"/>
  <c r="AA133" i="3" s="1"/>
  <c r="AB133" i="3" s="1"/>
  <c r="AC133" i="3" s="1"/>
  <c r="AD133" i="3" s="1"/>
  <c r="AE133" i="3" s="1"/>
  <c r="AF133" i="3" s="1"/>
  <c r="AG133" i="3" s="1"/>
  <c r="Z2" i="3"/>
  <c r="AA2" i="3" s="1"/>
  <c r="AB2" i="3" s="1"/>
  <c r="AC2" i="3" s="1"/>
  <c r="AD2" i="3" s="1"/>
  <c r="AE2" i="3" s="1"/>
  <c r="AF2" i="3" s="1"/>
  <c r="AG2" i="3" s="1"/>
  <c r="T3" i="3"/>
  <c r="U3" i="3" s="1"/>
  <c r="V3" i="3" s="1"/>
  <c r="W3" i="3" s="1"/>
  <c r="X3" i="3" s="1"/>
  <c r="T4" i="3"/>
  <c r="U4" i="3" s="1"/>
  <c r="V4" i="3" s="1"/>
  <c r="W4" i="3" s="1"/>
  <c r="X4" i="3" s="1"/>
  <c r="T5" i="3"/>
  <c r="U5" i="3" s="1"/>
  <c r="V5" i="3" s="1"/>
  <c r="W5" i="3" s="1"/>
  <c r="X5" i="3" s="1"/>
  <c r="T6" i="3"/>
  <c r="U6" i="3" s="1"/>
  <c r="V6" i="3" s="1"/>
  <c r="W6" i="3" s="1"/>
  <c r="X6" i="3" s="1"/>
  <c r="T7" i="3"/>
  <c r="U7" i="3" s="1"/>
  <c r="V7" i="3" s="1"/>
  <c r="W7" i="3" s="1"/>
  <c r="X7" i="3" s="1"/>
  <c r="T8" i="3"/>
  <c r="U8" i="3" s="1"/>
  <c r="V8" i="3" s="1"/>
  <c r="W8" i="3" s="1"/>
  <c r="X8" i="3" s="1"/>
  <c r="T9" i="3"/>
  <c r="U9" i="3" s="1"/>
  <c r="V9" i="3" s="1"/>
  <c r="W9" i="3" s="1"/>
  <c r="X9" i="3" s="1"/>
  <c r="T10" i="3"/>
  <c r="U10" i="3" s="1"/>
  <c r="V10" i="3" s="1"/>
  <c r="W10" i="3" s="1"/>
  <c r="X10" i="3" s="1"/>
  <c r="T11" i="3"/>
  <c r="U11" i="3" s="1"/>
  <c r="V11" i="3" s="1"/>
  <c r="W11" i="3" s="1"/>
  <c r="X11" i="3" s="1"/>
  <c r="T12" i="3"/>
  <c r="U12" i="3" s="1"/>
  <c r="V12" i="3" s="1"/>
  <c r="W12" i="3" s="1"/>
  <c r="X12" i="3" s="1"/>
  <c r="T13" i="3"/>
  <c r="U13" i="3" s="1"/>
  <c r="V13" i="3" s="1"/>
  <c r="W13" i="3" s="1"/>
  <c r="X13" i="3" s="1"/>
  <c r="T14" i="3"/>
  <c r="U14" i="3" s="1"/>
  <c r="V14" i="3" s="1"/>
  <c r="W14" i="3" s="1"/>
  <c r="X14" i="3" s="1"/>
  <c r="T15" i="3"/>
  <c r="U15" i="3" s="1"/>
  <c r="V15" i="3" s="1"/>
  <c r="W15" i="3" s="1"/>
  <c r="X15" i="3" s="1"/>
  <c r="T16" i="3"/>
  <c r="U16" i="3" s="1"/>
  <c r="V16" i="3" s="1"/>
  <c r="W16" i="3" s="1"/>
  <c r="X16" i="3" s="1"/>
  <c r="T17" i="3"/>
  <c r="U17" i="3" s="1"/>
  <c r="V17" i="3" s="1"/>
  <c r="W17" i="3" s="1"/>
  <c r="X17" i="3" s="1"/>
  <c r="T18" i="3"/>
  <c r="U18" i="3" s="1"/>
  <c r="V18" i="3" s="1"/>
  <c r="W18" i="3" s="1"/>
  <c r="X18" i="3" s="1"/>
  <c r="T19" i="3"/>
  <c r="U19" i="3" s="1"/>
  <c r="V19" i="3" s="1"/>
  <c r="W19" i="3" s="1"/>
  <c r="X19" i="3" s="1"/>
  <c r="T20" i="3"/>
  <c r="U20" i="3" s="1"/>
  <c r="V20" i="3" s="1"/>
  <c r="W20" i="3" s="1"/>
  <c r="X20" i="3" s="1"/>
  <c r="T21" i="3"/>
  <c r="U21" i="3" s="1"/>
  <c r="V21" i="3" s="1"/>
  <c r="W21" i="3" s="1"/>
  <c r="X21" i="3" s="1"/>
  <c r="T22" i="3"/>
  <c r="U22" i="3" s="1"/>
  <c r="V22" i="3" s="1"/>
  <c r="W22" i="3" s="1"/>
  <c r="X22" i="3" s="1"/>
  <c r="T23" i="3"/>
  <c r="U23" i="3" s="1"/>
  <c r="V23" i="3" s="1"/>
  <c r="W23" i="3" s="1"/>
  <c r="X23" i="3" s="1"/>
  <c r="T24" i="3"/>
  <c r="U24" i="3" s="1"/>
  <c r="V24" i="3" s="1"/>
  <c r="W24" i="3" s="1"/>
  <c r="X24" i="3" s="1"/>
  <c r="T25" i="3"/>
  <c r="U25" i="3" s="1"/>
  <c r="V25" i="3" s="1"/>
  <c r="W25" i="3" s="1"/>
  <c r="X25" i="3" s="1"/>
  <c r="T26" i="3"/>
  <c r="U26" i="3" s="1"/>
  <c r="V26" i="3" s="1"/>
  <c r="W26" i="3" s="1"/>
  <c r="X26" i="3" s="1"/>
  <c r="T27" i="3"/>
  <c r="U27" i="3" s="1"/>
  <c r="V27" i="3" s="1"/>
  <c r="W27" i="3" s="1"/>
  <c r="X27" i="3" s="1"/>
  <c r="T28" i="3"/>
  <c r="U28" i="3" s="1"/>
  <c r="V28" i="3" s="1"/>
  <c r="W28" i="3" s="1"/>
  <c r="X28" i="3" s="1"/>
  <c r="T29" i="3"/>
  <c r="U29" i="3" s="1"/>
  <c r="V29" i="3" s="1"/>
  <c r="W29" i="3" s="1"/>
  <c r="X29" i="3" s="1"/>
  <c r="T30" i="3"/>
  <c r="U30" i="3" s="1"/>
  <c r="V30" i="3" s="1"/>
  <c r="W30" i="3" s="1"/>
  <c r="X30" i="3" s="1"/>
  <c r="T31" i="3"/>
  <c r="U31" i="3" s="1"/>
  <c r="V31" i="3" s="1"/>
  <c r="W31" i="3" s="1"/>
  <c r="X31" i="3" s="1"/>
  <c r="T32" i="3"/>
  <c r="U32" i="3" s="1"/>
  <c r="V32" i="3" s="1"/>
  <c r="W32" i="3" s="1"/>
  <c r="X32" i="3" s="1"/>
  <c r="T33" i="3"/>
  <c r="U33" i="3" s="1"/>
  <c r="V33" i="3" s="1"/>
  <c r="W33" i="3" s="1"/>
  <c r="X33" i="3" s="1"/>
  <c r="T34" i="3"/>
  <c r="U34" i="3" s="1"/>
  <c r="V34" i="3" s="1"/>
  <c r="W34" i="3" s="1"/>
  <c r="X34" i="3" s="1"/>
  <c r="T35" i="3"/>
  <c r="U35" i="3" s="1"/>
  <c r="V35" i="3" s="1"/>
  <c r="W35" i="3" s="1"/>
  <c r="X35" i="3" s="1"/>
  <c r="T36" i="3"/>
  <c r="U36" i="3" s="1"/>
  <c r="V36" i="3" s="1"/>
  <c r="W36" i="3" s="1"/>
  <c r="X36" i="3" s="1"/>
  <c r="T37" i="3"/>
  <c r="U37" i="3" s="1"/>
  <c r="V37" i="3" s="1"/>
  <c r="W37" i="3" s="1"/>
  <c r="X37" i="3" s="1"/>
  <c r="T38" i="3"/>
  <c r="U38" i="3" s="1"/>
  <c r="V38" i="3" s="1"/>
  <c r="W38" i="3" s="1"/>
  <c r="X38" i="3" s="1"/>
  <c r="T39" i="3"/>
  <c r="U39" i="3" s="1"/>
  <c r="V39" i="3" s="1"/>
  <c r="W39" i="3" s="1"/>
  <c r="X39" i="3" s="1"/>
  <c r="T40" i="3"/>
  <c r="U40" i="3" s="1"/>
  <c r="V40" i="3" s="1"/>
  <c r="W40" i="3" s="1"/>
  <c r="X40" i="3" s="1"/>
  <c r="T41" i="3"/>
  <c r="U41" i="3" s="1"/>
  <c r="V41" i="3" s="1"/>
  <c r="W41" i="3" s="1"/>
  <c r="X41" i="3" s="1"/>
  <c r="T42" i="3"/>
  <c r="U42" i="3" s="1"/>
  <c r="V42" i="3" s="1"/>
  <c r="W42" i="3" s="1"/>
  <c r="X42" i="3" s="1"/>
  <c r="T43" i="3"/>
  <c r="U43" i="3" s="1"/>
  <c r="V43" i="3" s="1"/>
  <c r="W43" i="3" s="1"/>
  <c r="X43" i="3" s="1"/>
  <c r="T44" i="3"/>
  <c r="U44" i="3" s="1"/>
  <c r="V44" i="3" s="1"/>
  <c r="W44" i="3" s="1"/>
  <c r="X44" i="3" s="1"/>
  <c r="T45" i="3"/>
  <c r="U45" i="3" s="1"/>
  <c r="V45" i="3" s="1"/>
  <c r="W45" i="3" s="1"/>
  <c r="X45" i="3" s="1"/>
  <c r="T46" i="3"/>
  <c r="U46" i="3" s="1"/>
  <c r="V46" i="3" s="1"/>
  <c r="W46" i="3" s="1"/>
  <c r="X46" i="3" s="1"/>
  <c r="T47" i="3"/>
  <c r="U47" i="3" s="1"/>
  <c r="V47" i="3" s="1"/>
  <c r="W47" i="3" s="1"/>
  <c r="X47" i="3" s="1"/>
  <c r="T48" i="3"/>
  <c r="U48" i="3" s="1"/>
  <c r="V48" i="3" s="1"/>
  <c r="W48" i="3" s="1"/>
  <c r="X48" i="3" s="1"/>
  <c r="T49" i="3"/>
  <c r="U49" i="3" s="1"/>
  <c r="V49" i="3" s="1"/>
  <c r="W49" i="3" s="1"/>
  <c r="X49" i="3" s="1"/>
  <c r="T50" i="3"/>
  <c r="U50" i="3" s="1"/>
  <c r="V50" i="3" s="1"/>
  <c r="W50" i="3" s="1"/>
  <c r="X50" i="3" s="1"/>
  <c r="T51" i="3"/>
  <c r="U51" i="3" s="1"/>
  <c r="V51" i="3" s="1"/>
  <c r="W51" i="3" s="1"/>
  <c r="X51" i="3" s="1"/>
  <c r="T52" i="3"/>
  <c r="U52" i="3" s="1"/>
  <c r="V52" i="3" s="1"/>
  <c r="W52" i="3" s="1"/>
  <c r="X52" i="3" s="1"/>
  <c r="T53" i="3"/>
  <c r="U53" i="3" s="1"/>
  <c r="V53" i="3" s="1"/>
  <c r="W53" i="3" s="1"/>
  <c r="X53" i="3" s="1"/>
  <c r="T54" i="3"/>
  <c r="U54" i="3" s="1"/>
  <c r="V54" i="3" s="1"/>
  <c r="W54" i="3" s="1"/>
  <c r="X54" i="3" s="1"/>
  <c r="T55" i="3"/>
  <c r="U55" i="3" s="1"/>
  <c r="V55" i="3" s="1"/>
  <c r="W55" i="3" s="1"/>
  <c r="X55" i="3" s="1"/>
  <c r="T56" i="3"/>
  <c r="U56" i="3" s="1"/>
  <c r="V56" i="3" s="1"/>
  <c r="W56" i="3" s="1"/>
  <c r="X56" i="3" s="1"/>
  <c r="T57" i="3"/>
  <c r="U57" i="3" s="1"/>
  <c r="V57" i="3" s="1"/>
  <c r="W57" i="3" s="1"/>
  <c r="X57" i="3" s="1"/>
  <c r="T58" i="3"/>
  <c r="U58" i="3" s="1"/>
  <c r="V58" i="3" s="1"/>
  <c r="W58" i="3" s="1"/>
  <c r="X58" i="3" s="1"/>
  <c r="T59" i="3"/>
  <c r="U59" i="3" s="1"/>
  <c r="V59" i="3" s="1"/>
  <c r="W59" i="3" s="1"/>
  <c r="X59" i="3" s="1"/>
  <c r="T60" i="3"/>
  <c r="U60" i="3" s="1"/>
  <c r="V60" i="3" s="1"/>
  <c r="W60" i="3" s="1"/>
  <c r="X60" i="3" s="1"/>
  <c r="T61" i="3"/>
  <c r="U61" i="3" s="1"/>
  <c r="V61" i="3" s="1"/>
  <c r="W61" i="3" s="1"/>
  <c r="X61" i="3" s="1"/>
  <c r="T62" i="3"/>
  <c r="U62" i="3" s="1"/>
  <c r="V62" i="3" s="1"/>
  <c r="W62" i="3" s="1"/>
  <c r="X62" i="3" s="1"/>
  <c r="T63" i="3"/>
  <c r="U63" i="3" s="1"/>
  <c r="V63" i="3" s="1"/>
  <c r="W63" i="3" s="1"/>
  <c r="X63" i="3" s="1"/>
  <c r="T64" i="3"/>
  <c r="U64" i="3" s="1"/>
  <c r="V64" i="3" s="1"/>
  <c r="W64" i="3" s="1"/>
  <c r="X64" i="3" s="1"/>
  <c r="T65" i="3"/>
  <c r="U65" i="3" s="1"/>
  <c r="V65" i="3" s="1"/>
  <c r="W65" i="3" s="1"/>
  <c r="X65" i="3" s="1"/>
  <c r="T66" i="3"/>
  <c r="U66" i="3" s="1"/>
  <c r="V66" i="3" s="1"/>
  <c r="W66" i="3" s="1"/>
  <c r="X66" i="3" s="1"/>
  <c r="T67" i="3"/>
  <c r="U67" i="3" s="1"/>
  <c r="V67" i="3" s="1"/>
  <c r="W67" i="3" s="1"/>
  <c r="X67" i="3" s="1"/>
  <c r="T68" i="3"/>
  <c r="U68" i="3" s="1"/>
  <c r="V68" i="3" s="1"/>
  <c r="W68" i="3" s="1"/>
  <c r="X68" i="3" s="1"/>
  <c r="T69" i="3"/>
  <c r="U69" i="3" s="1"/>
  <c r="V69" i="3" s="1"/>
  <c r="W69" i="3" s="1"/>
  <c r="X69" i="3" s="1"/>
  <c r="T70" i="3"/>
  <c r="U70" i="3" s="1"/>
  <c r="V70" i="3" s="1"/>
  <c r="W70" i="3" s="1"/>
  <c r="X70" i="3" s="1"/>
  <c r="T71" i="3"/>
  <c r="U71" i="3" s="1"/>
  <c r="V71" i="3" s="1"/>
  <c r="W71" i="3" s="1"/>
  <c r="X71" i="3" s="1"/>
  <c r="T72" i="3"/>
  <c r="U72" i="3" s="1"/>
  <c r="V72" i="3" s="1"/>
  <c r="W72" i="3" s="1"/>
  <c r="X72" i="3" s="1"/>
  <c r="T73" i="3"/>
  <c r="U73" i="3" s="1"/>
  <c r="V73" i="3" s="1"/>
  <c r="W73" i="3" s="1"/>
  <c r="X73" i="3" s="1"/>
  <c r="T74" i="3"/>
  <c r="U74" i="3" s="1"/>
  <c r="V74" i="3" s="1"/>
  <c r="W74" i="3" s="1"/>
  <c r="X74" i="3" s="1"/>
  <c r="T75" i="3"/>
  <c r="U75" i="3" s="1"/>
  <c r="V75" i="3" s="1"/>
  <c r="W75" i="3" s="1"/>
  <c r="X75" i="3" s="1"/>
  <c r="T76" i="3"/>
  <c r="U76" i="3" s="1"/>
  <c r="V76" i="3" s="1"/>
  <c r="W76" i="3" s="1"/>
  <c r="X76" i="3" s="1"/>
  <c r="T77" i="3"/>
  <c r="U77" i="3" s="1"/>
  <c r="V77" i="3" s="1"/>
  <c r="W77" i="3" s="1"/>
  <c r="X77" i="3" s="1"/>
  <c r="T78" i="3"/>
  <c r="U78" i="3" s="1"/>
  <c r="V78" i="3" s="1"/>
  <c r="W78" i="3" s="1"/>
  <c r="X78" i="3" s="1"/>
  <c r="T79" i="3"/>
  <c r="U79" i="3" s="1"/>
  <c r="V79" i="3" s="1"/>
  <c r="W79" i="3" s="1"/>
  <c r="X79" i="3" s="1"/>
  <c r="T80" i="3"/>
  <c r="U80" i="3" s="1"/>
  <c r="V80" i="3" s="1"/>
  <c r="W80" i="3" s="1"/>
  <c r="X80" i="3" s="1"/>
  <c r="T81" i="3"/>
  <c r="U81" i="3" s="1"/>
  <c r="V81" i="3" s="1"/>
  <c r="W81" i="3" s="1"/>
  <c r="X81" i="3" s="1"/>
  <c r="T82" i="3"/>
  <c r="U82" i="3" s="1"/>
  <c r="V82" i="3" s="1"/>
  <c r="W82" i="3" s="1"/>
  <c r="X82" i="3" s="1"/>
  <c r="T83" i="3"/>
  <c r="U83" i="3" s="1"/>
  <c r="V83" i="3" s="1"/>
  <c r="W83" i="3" s="1"/>
  <c r="X83" i="3" s="1"/>
  <c r="T84" i="3"/>
  <c r="U84" i="3" s="1"/>
  <c r="V84" i="3" s="1"/>
  <c r="W84" i="3" s="1"/>
  <c r="X84" i="3" s="1"/>
  <c r="T85" i="3"/>
  <c r="U85" i="3" s="1"/>
  <c r="V85" i="3" s="1"/>
  <c r="W85" i="3" s="1"/>
  <c r="X85" i="3" s="1"/>
  <c r="T86" i="3"/>
  <c r="U86" i="3" s="1"/>
  <c r="V86" i="3" s="1"/>
  <c r="W86" i="3" s="1"/>
  <c r="X86" i="3" s="1"/>
  <c r="T87" i="3"/>
  <c r="U87" i="3" s="1"/>
  <c r="V87" i="3" s="1"/>
  <c r="W87" i="3" s="1"/>
  <c r="X87" i="3" s="1"/>
  <c r="T88" i="3"/>
  <c r="U88" i="3" s="1"/>
  <c r="V88" i="3" s="1"/>
  <c r="W88" i="3" s="1"/>
  <c r="X88" i="3" s="1"/>
  <c r="T89" i="3"/>
  <c r="U89" i="3" s="1"/>
  <c r="V89" i="3" s="1"/>
  <c r="W89" i="3" s="1"/>
  <c r="X89" i="3" s="1"/>
  <c r="T90" i="3"/>
  <c r="U90" i="3" s="1"/>
  <c r="V90" i="3" s="1"/>
  <c r="W90" i="3" s="1"/>
  <c r="X90" i="3" s="1"/>
  <c r="T91" i="3"/>
  <c r="U91" i="3" s="1"/>
  <c r="V91" i="3" s="1"/>
  <c r="W91" i="3" s="1"/>
  <c r="X91" i="3" s="1"/>
  <c r="T92" i="3"/>
  <c r="U92" i="3" s="1"/>
  <c r="V92" i="3" s="1"/>
  <c r="W92" i="3" s="1"/>
  <c r="X92" i="3" s="1"/>
  <c r="T93" i="3"/>
  <c r="U93" i="3" s="1"/>
  <c r="V93" i="3" s="1"/>
  <c r="W93" i="3" s="1"/>
  <c r="X93" i="3" s="1"/>
  <c r="T94" i="3"/>
  <c r="U94" i="3" s="1"/>
  <c r="V94" i="3" s="1"/>
  <c r="W94" i="3" s="1"/>
  <c r="X94" i="3" s="1"/>
  <c r="T95" i="3"/>
  <c r="U95" i="3" s="1"/>
  <c r="V95" i="3" s="1"/>
  <c r="W95" i="3" s="1"/>
  <c r="X95" i="3" s="1"/>
  <c r="T96" i="3"/>
  <c r="U96" i="3" s="1"/>
  <c r="V96" i="3" s="1"/>
  <c r="W96" i="3" s="1"/>
  <c r="X96" i="3" s="1"/>
  <c r="T97" i="3"/>
  <c r="U97" i="3" s="1"/>
  <c r="V97" i="3" s="1"/>
  <c r="W97" i="3" s="1"/>
  <c r="X97" i="3" s="1"/>
  <c r="T98" i="3"/>
  <c r="U98" i="3" s="1"/>
  <c r="V98" i="3" s="1"/>
  <c r="W98" i="3" s="1"/>
  <c r="X98" i="3" s="1"/>
  <c r="T99" i="3"/>
  <c r="U99" i="3" s="1"/>
  <c r="V99" i="3" s="1"/>
  <c r="W99" i="3" s="1"/>
  <c r="X99" i="3" s="1"/>
  <c r="T100" i="3"/>
  <c r="U100" i="3" s="1"/>
  <c r="V100" i="3" s="1"/>
  <c r="W100" i="3" s="1"/>
  <c r="X100" i="3" s="1"/>
  <c r="T101" i="3"/>
  <c r="U101" i="3" s="1"/>
  <c r="V101" i="3" s="1"/>
  <c r="W101" i="3" s="1"/>
  <c r="X101" i="3" s="1"/>
  <c r="T102" i="3"/>
  <c r="U102" i="3" s="1"/>
  <c r="V102" i="3" s="1"/>
  <c r="W102" i="3" s="1"/>
  <c r="X102" i="3" s="1"/>
  <c r="T103" i="3"/>
  <c r="U103" i="3" s="1"/>
  <c r="V103" i="3" s="1"/>
  <c r="W103" i="3" s="1"/>
  <c r="X103" i="3" s="1"/>
  <c r="T104" i="3"/>
  <c r="U104" i="3" s="1"/>
  <c r="V104" i="3" s="1"/>
  <c r="W104" i="3" s="1"/>
  <c r="X104" i="3" s="1"/>
  <c r="T105" i="3"/>
  <c r="U105" i="3" s="1"/>
  <c r="V105" i="3" s="1"/>
  <c r="W105" i="3" s="1"/>
  <c r="X105" i="3" s="1"/>
  <c r="T106" i="3"/>
  <c r="U106" i="3" s="1"/>
  <c r="V106" i="3" s="1"/>
  <c r="W106" i="3" s="1"/>
  <c r="X106" i="3" s="1"/>
  <c r="T107" i="3"/>
  <c r="U107" i="3" s="1"/>
  <c r="V107" i="3" s="1"/>
  <c r="W107" i="3" s="1"/>
  <c r="X107" i="3" s="1"/>
  <c r="T108" i="3"/>
  <c r="U108" i="3" s="1"/>
  <c r="V108" i="3" s="1"/>
  <c r="W108" i="3" s="1"/>
  <c r="X108" i="3" s="1"/>
  <c r="T109" i="3"/>
  <c r="U109" i="3" s="1"/>
  <c r="V109" i="3" s="1"/>
  <c r="W109" i="3" s="1"/>
  <c r="X109" i="3" s="1"/>
  <c r="T110" i="3"/>
  <c r="U110" i="3" s="1"/>
  <c r="V110" i="3" s="1"/>
  <c r="W110" i="3" s="1"/>
  <c r="X110" i="3" s="1"/>
  <c r="T111" i="3"/>
  <c r="U111" i="3" s="1"/>
  <c r="V111" i="3" s="1"/>
  <c r="W111" i="3" s="1"/>
  <c r="X111" i="3" s="1"/>
  <c r="T112" i="3"/>
  <c r="U112" i="3" s="1"/>
  <c r="V112" i="3" s="1"/>
  <c r="W112" i="3" s="1"/>
  <c r="X112" i="3" s="1"/>
  <c r="T113" i="3"/>
  <c r="U113" i="3" s="1"/>
  <c r="V113" i="3" s="1"/>
  <c r="W113" i="3" s="1"/>
  <c r="X113" i="3" s="1"/>
  <c r="T114" i="3"/>
  <c r="U114" i="3" s="1"/>
  <c r="V114" i="3" s="1"/>
  <c r="W114" i="3" s="1"/>
  <c r="X114" i="3" s="1"/>
  <c r="T115" i="3"/>
  <c r="U115" i="3" s="1"/>
  <c r="V115" i="3" s="1"/>
  <c r="W115" i="3" s="1"/>
  <c r="X115" i="3" s="1"/>
  <c r="T116" i="3"/>
  <c r="U116" i="3" s="1"/>
  <c r="V116" i="3" s="1"/>
  <c r="W116" i="3" s="1"/>
  <c r="X116" i="3" s="1"/>
  <c r="T117" i="3"/>
  <c r="U117" i="3" s="1"/>
  <c r="V117" i="3" s="1"/>
  <c r="W117" i="3" s="1"/>
  <c r="X117" i="3" s="1"/>
  <c r="T118" i="3"/>
  <c r="U118" i="3" s="1"/>
  <c r="V118" i="3" s="1"/>
  <c r="W118" i="3" s="1"/>
  <c r="X118" i="3" s="1"/>
  <c r="T119" i="3"/>
  <c r="U119" i="3" s="1"/>
  <c r="V119" i="3" s="1"/>
  <c r="W119" i="3" s="1"/>
  <c r="X119" i="3" s="1"/>
  <c r="T120" i="3"/>
  <c r="U120" i="3" s="1"/>
  <c r="V120" i="3" s="1"/>
  <c r="W120" i="3" s="1"/>
  <c r="X120" i="3" s="1"/>
  <c r="T121" i="3"/>
  <c r="U121" i="3" s="1"/>
  <c r="V121" i="3" s="1"/>
  <c r="W121" i="3" s="1"/>
  <c r="X121" i="3" s="1"/>
  <c r="T122" i="3"/>
  <c r="U122" i="3" s="1"/>
  <c r="V122" i="3" s="1"/>
  <c r="W122" i="3" s="1"/>
  <c r="X122" i="3" s="1"/>
  <c r="T123" i="3"/>
  <c r="U123" i="3" s="1"/>
  <c r="V123" i="3" s="1"/>
  <c r="W123" i="3" s="1"/>
  <c r="X123" i="3" s="1"/>
  <c r="T124" i="3"/>
  <c r="U124" i="3" s="1"/>
  <c r="V124" i="3" s="1"/>
  <c r="W124" i="3" s="1"/>
  <c r="X124" i="3" s="1"/>
  <c r="T125" i="3"/>
  <c r="U125" i="3" s="1"/>
  <c r="V125" i="3" s="1"/>
  <c r="W125" i="3" s="1"/>
  <c r="X125" i="3" s="1"/>
  <c r="T126" i="3"/>
  <c r="U126" i="3" s="1"/>
  <c r="V126" i="3" s="1"/>
  <c r="W126" i="3" s="1"/>
  <c r="X126" i="3" s="1"/>
  <c r="T127" i="3"/>
  <c r="U127" i="3" s="1"/>
  <c r="V127" i="3" s="1"/>
  <c r="W127" i="3" s="1"/>
  <c r="X127" i="3" s="1"/>
  <c r="T128" i="3"/>
  <c r="U128" i="3" s="1"/>
  <c r="V128" i="3" s="1"/>
  <c r="W128" i="3" s="1"/>
  <c r="X128" i="3" s="1"/>
  <c r="T129" i="3"/>
  <c r="U129" i="3" s="1"/>
  <c r="V129" i="3" s="1"/>
  <c r="W129" i="3" s="1"/>
  <c r="X129" i="3" s="1"/>
  <c r="T130" i="3"/>
  <c r="U130" i="3" s="1"/>
  <c r="V130" i="3" s="1"/>
  <c r="W130" i="3" s="1"/>
  <c r="X130" i="3" s="1"/>
  <c r="T131" i="3"/>
  <c r="U131" i="3" s="1"/>
  <c r="V131" i="3" s="1"/>
  <c r="W131" i="3" s="1"/>
  <c r="X131" i="3" s="1"/>
  <c r="T132" i="3"/>
  <c r="U132" i="3" s="1"/>
  <c r="V132" i="3" s="1"/>
  <c r="W132" i="3" s="1"/>
  <c r="X132" i="3" s="1"/>
  <c r="T133" i="3"/>
  <c r="U133" i="3" s="1"/>
  <c r="V133" i="3" s="1"/>
  <c r="W133" i="3" s="1"/>
  <c r="X133" i="3" s="1"/>
  <c r="T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O44" i="3" s="1"/>
  <c r="P44" i="3" s="1"/>
  <c r="Q44" i="3" s="1"/>
  <c r="R44" i="3" s="1"/>
  <c r="N45" i="3"/>
  <c r="O45" i="3" s="1"/>
  <c r="P45" i="3" s="1"/>
  <c r="Q45" i="3" s="1"/>
  <c r="R45" i="3" s="1"/>
  <c r="N46" i="3"/>
  <c r="O46" i="3" s="1"/>
  <c r="P46" i="3" s="1"/>
  <c r="Q46" i="3" s="1"/>
  <c r="R46" i="3" s="1"/>
  <c r="N47" i="3"/>
  <c r="O47" i="3" s="1"/>
  <c r="P47" i="3" s="1"/>
  <c r="Q47" i="3" s="1"/>
  <c r="R47" i="3" s="1"/>
  <c r="N48" i="3"/>
  <c r="O48" i="3" s="1"/>
  <c r="P48" i="3" s="1"/>
  <c r="Q48" i="3" s="1"/>
  <c r="R48" i="3" s="1"/>
  <c r="N49" i="3"/>
  <c r="O49" i="3" s="1"/>
  <c r="P49" i="3" s="1"/>
  <c r="Q49" i="3" s="1"/>
  <c r="R49" i="3" s="1"/>
  <c r="N50" i="3"/>
  <c r="O50" i="3" s="1"/>
  <c r="P50" i="3" s="1"/>
  <c r="Q50" i="3" s="1"/>
  <c r="R50" i="3" s="1"/>
  <c r="N51" i="3"/>
  <c r="O51" i="3" s="1"/>
  <c r="P51" i="3" s="1"/>
  <c r="Q51" i="3" s="1"/>
  <c r="R51" i="3" s="1"/>
  <c r="N52" i="3"/>
  <c r="O52" i="3" s="1"/>
  <c r="P52" i="3" s="1"/>
  <c r="Q52" i="3" s="1"/>
  <c r="R52" i="3" s="1"/>
  <c r="N53" i="3"/>
  <c r="O53" i="3" s="1"/>
  <c r="P53" i="3" s="1"/>
  <c r="Q53" i="3" s="1"/>
  <c r="R53" i="3" s="1"/>
  <c r="N54" i="3"/>
  <c r="O54" i="3" s="1"/>
  <c r="P54" i="3" s="1"/>
  <c r="Q54" i="3" s="1"/>
  <c r="R54" i="3" s="1"/>
  <c r="N55" i="3"/>
  <c r="O55" i="3" s="1"/>
  <c r="P55" i="3" s="1"/>
  <c r="Q55" i="3" s="1"/>
  <c r="R55" i="3" s="1"/>
  <c r="N56" i="3"/>
  <c r="O56" i="3" s="1"/>
  <c r="P56" i="3" s="1"/>
  <c r="Q56" i="3" s="1"/>
  <c r="R56" i="3" s="1"/>
  <c r="N57" i="3"/>
  <c r="O57" i="3" s="1"/>
  <c r="P57" i="3" s="1"/>
  <c r="Q57" i="3" s="1"/>
  <c r="R57" i="3" s="1"/>
  <c r="N58" i="3"/>
  <c r="O58" i="3" s="1"/>
  <c r="P58" i="3" s="1"/>
  <c r="Q58" i="3" s="1"/>
  <c r="R58" i="3" s="1"/>
  <c r="N59" i="3"/>
  <c r="O59" i="3" s="1"/>
  <c r="P59" i="3" s="1"/>
  <c r="Q59" i="3" s="1"/>
  <c r="R59" i="3" s="1"/>
  <c r="N60" i="3"/>
  <c r="O60" i="3" s="1"/>
  <c r="P60" i="3" s="1"/>
  <c r="Q60" i="3" s="1"/>
  <c r="R60" i="3" s="1"/>
  <c r="N61" i="3"/>
  <c r="O61" i="3" s="1"/>
  <c r="P61" i="3" s="1"/>
  <c r="Q61" i="3" s="1"/>
  <c r="R61" i="3" s="1"/>
  <c r="N62" i="3"/>
  <c r="O62" i="3" s="1"/>
  <c r="P62" i="3" s="1"/>
  <c r="Q62" i="3" s="1"/>
  <c r="R62" i="3" s="1"/>
  <c r="N63" i="3"/>
  <c r="O63" i="3" s="1"/>
  <c r="P63" i="3" s="1"/>
  <c r="Q63" i="3" s="1"/>
  <c r="R63" i="3" s="1"/>
  <c r="N64" i="3"/>
  <c r="O64" i="3" s="1"/>
  <c r="P64" i="3" s="1"/>
  <c r="Q64" i="3" s="1"/>
  <c r="R64" i="3" s="1"/>
  <c r="N65" i="3"/>
  <c r="O65" i="3" s="1"/>
  <c r="P65" i="3" s="1"/>
  <c r="Q65" i="3" s="1"/>
  <c r="R65" i="3" s="1"/>
  <c r="N66" i="3"/>
  <c r="O66" i="3" s="1"/>
  <c r="P66" i="3" s="1"/>
  <c r="Q66" i="3" s="1"/>
  <c r="R66" i="3" s="1"/>
  <c r="N67" i="3"/>
  <c r="O67" i="3" s="1"/>
  <c r="P67" i="3" s="1"/>
  <c r="Q67" i="3" s="1"/>
  <c r="R67" i="3" s="1"/>
  <c r="N68" i="3"/>
  <c r="O68" i="3" s="1"/>
  <c r="P68" i="3" s="1"/>
  <c r="Q68" i="3" s="1"/>
  <c r="R68" i="3" s="1"/>
  <c r="N69" i="3"/>
  <c r="O69" i="3" s="1"/>
  <c r="P69" i="3" s="1"/>
  <c r="Q69" i="3" s="1"/>
  <c r="R69" i="3" s="1"/>
  <c r="N70" i="3"/>
  <c r="O70" i="3" s="1"/>
  <c r="P70" i="3" s="1"/>
  <c r="Q70" i="3" s="1"/>
  <c r="R70" i="3" s="1"/>
  <c r="N71" i="3"/>
  <c r="O71" i="3" s="1"/>
  <c r="P71" i="3" s="1"/>
  <c r="Q71" i="3" s="1"/>
  <c r="R71" i="3" s="1"/>
  <c r="N72" i="3"/>
  <c r="O72" i="3" s="1"/>
  <c r="P72" i="3" s="1"/>
  <c r="Q72" i="3" s="1"/>
  <c r="R72" i="3" s="1"/>
  <c r="N73" i="3"/>
  <c r="O73" i="3" s="1"/>
  <c r="P73" i="3" s="1"/>
  <c r="Q73" i="3" s="1"/>
  <c r="R73" i="3" s="1"/>
  <c r="N74" i="3"/>
  <c r="O74" i="3" s="1"/>
  <c r="P74" i="3" s="1"/>
  <c r="Q74" i="3" s="1"/>
  <c r="R74" i="3" s="1"/>
  <c r="N75" i="3"/>
  <c r="O75" i="3" s="1"/>
  <c r="P75" i="3" s="1"/>
  <c r="Q75" i="3" s="1"/>
  <c r="R75" i="3" s="1"/>
  <c r="N76" i="3"/>
  <c r="O76" i="3" s="1"/>
  <c r="P76" i="3" s="1"/>
  <c r="Q76" i="3" s="1"/>
  <c r="R76" i="3" s="1"/>
  <c r="N77" i="3"/>
  <c r="O77" i="3" s="1"/>
  <c r="P77" i="3" s="1"/>
  <c r="Q77" i="3" s="1"/>
  <c r="R77" i="3" s="1"/>
  <c r="N78" i="3"/>
  <c r="O78" i="3" s="1"/>
  <c r="P78" i="3" s="1"/>
  <c r="Q78" i="3" s="1"/>
  <c r="R78" i="3" s="1"/>
  <c r="N79" i="3"/>
  <c r="O79" i="3" s="1"/>
  <c r="P79" i="3" s="1"/>
  <c r="Q79" i="3" s="1"/>
  <c r="R79" i="3" s="1"/>
  <c r="N80" i="3"/>
  <c r="O80" i="3" s="1"/>
  <c r="P80" i="3" s="1"/>
  <c r="Q80" i="3" s="1"/>
  <c r="R80" i="3" s="1"/>
  <c r="N81" i="3"/>
  <c r="O81" i="3" s="1"/>
  <c r="P81" i="3" s="1"/>
  <c r="Q81" i="3" s="1"/>
  <c r="R81" i="3" s="1"/>
  <c r="N82" i="3"/>
  <c r="O82" i="3" s="1"/>
  <c r="P82" i="3" s="1"/>
  <c r="Q82" i="3" s="1"/>
  <c r="R82" i="3" s="1"/>
  <c r="N83" i="3"/>
  <c r="O83" i="3" s="1"/>
  <c r="P83" i="3" s="1"/>
  <c r="Q83" i="3" s="1"/>
  <c r="R83" i="3" s="1"/>
  <c r="N84" i="3"/>
  <c r="O84" i="3" s="1"/>
  <c r="P84" i="3" s="1"/>
  <c r="Q84" i="3" s="1"/>
  <c r="R84" i="3" s="1"/>
  <c r="N85" i="3"/>
  <c r="O85" i="3" s="1"/>
  <c r="P85" i="3" s="1"/>
  <c r="Q85" i="3" s="1"/>
  <c r="R85" i="3" s="1"/>
  <c r="N86" i="3"/>
  <c r="O86" i="3" s="1"/>
  <c r="P86" i="3" s="1"/>
  <c r="Q86" i="3" s="1"/>
  <c r="R86" i="3" s="1"/>
  <c r="N87" i="3"/>
  <c r="O87" i="3" s="1"/>
  <c r="P87" i="3" s="1"/>
  <c r="Q87" i="3" s="1"/>
  <c r="R87" i="3" s="1"/>
  <c r="N88" i="3"/>
  <c r="O88" i="3" s="1"/>
  <c r="P88" i="3" s="1"/>
  <c r="Q88" i="3" s="1"/>
  <c r="R88" i="3" s="1"/>
  <c r="N89" i="3"/>
  <c r="O89" i="3" s="1"/>
  <c r="P89" i="3" s="1"/>
  <c r="Q89" i="3" s="1"/>
  <c r="R89" i="3" s="1"/>
  <c r="N90" i="3"/>
  <c r="O90" i="3" s="1"/>
  <c r="P90" i="3" s="1"/>
  <c r="Q90" i="3" s="1"/>
  <c r="R90" i="3" s="1"/>
  <c r="N91" i="3"/>
  <c r="O91" i="3" s="1"/>
  <c r="P91" i="3" s="1"/>
  <c r="Q91" i="3" s="1"/>
  <c r="R91" i="3" s="1"/>
  <c r="N92" i="3"/>
  <c r="O92" i="3" s="1"/>
  <c r="P92" i="3" s="1"/>
  <c r="Q92" i="3" s="1"/>
  <c r="R92" i="3" s="1"/>
  <c r="N93" i="3"/>
  <c r="O93" i="3" s="1"/>
  <c r="P93" i="3" s="1"/>
  <c r="Q93" i="3" s="1"/>
  <c r="R93" i="3" s="1"/>
  <c r="N94" i="3"/>
  <c r="O94" i="3" s="1"/>
  <c r="P94" i="3" s="1"/>
  <c r="Q94" i="3" s="1"/>
  <c r="R94" i="3" s="1"/>
  <c r="N95" i="3"/>
  <c r="O95" i="3" s="1"/>
  <c r="P95" i="3" s="1"/>
  <c r="Q95" i="3" s="1"/>
  <c r="R95" i="3" s="1"/>
  <c r="N96" i="3"/>
  <c r="O96" i="3" s="1"/>
  <c r="P96" i="3" s="1"/>
  <c r="Q96" i="3" s="1"/>
  <c r="R96" i="3" s="1"/>
  <c r="N97" i="3"/>
  <c r="O97" i="3" s="1"/>
  <c r="P97" i="3" s="1"/>
  <c r="Q97" i="3" s="1"/>
  <c r="R97" i="3" s="1"/>
  <c r="N98" i="3"/>
  <c r="O98" i="3" s="1"/>
  <c r="P98" i="3" s="1"/>
  <c r="Q98" i="3" s="1"/>
  <c r="R98" i="3" s="1"/>
  <c r="N99" i="3"/>
  <c r="O99" i="3" s="1"/>
  <c r="P99" i="3" s="1"/>
  <c r="Q99" i="3" s="1"/>
  <c r="R99" i="3" s="1"/>
  <c r="N100" i="3"/>
  <c r="O100" i="3" s="1"/>
  <c r="P100" i="3" s="1"/>
  <c r="Q100" i="3" s="1"/>
  <c r="R100" i="3" s="1"/>
  <c r="N101" i="3"/>
  <c r="O101" i="3" s="1"/>
  <c r="P101" i="3" s="1"/>
  <c r="Q101" i="3" s="1"/>
  <c r="R101" i="3" s="1"/>
  <c r="N102" i="3"/>
  <c r="O102" i="3" s="1"/>
  <c r="P102" i="3" s="1"/>
  <c r="Q102" i="3" s="1"/>
  <c r="R102" i="3" s="1"/>
  <c r="N103" i="3"/>
  <c r="O103" i="3" s="1"/>
  <c r="P103" i="3" s="1"/>
  <c r="Q103" i="3" s="1"/>
  <c r="R103" i="3" s="1"/>
  <c r="N104" i="3"/>
  <c r="O104" i="3" s="1"/>
  <c r="P104" i="3" s="1"/>
  <c r="Q104" i="3" s="1"/>
  <c r="R104" i="3" s="1"/>
  <c r="N105" i="3"/>
  <c r="O105" i="3" s="1"/>
  <c r="P105" i="3" s="1"/>
  <c r="Q105" i="3" s="1"/>
  <c r="R105" i="3" s="1"/>
  <c r="N106" i="3"/>
  <c r="O106" i="3" s="1"/>
  <c r="P106" i="3" s="1"/>
  <c r="Q106" i="3" s="1"/>
  <c r="R106" i="3" s="1"/>
  <c r="N107" i="3"/>
  <c r="O107" i="3" s="1"/>
  <c r="P107" i="3" s="1"/>
  <c r="Q107" i="3" s="1"/>
  <c r="R107" i="3" s="1"/>
  <c r="N108" i="3"/>
  <c r="O108" i="3" s="1"/>
  <c r="P108" i="3" s="1"/>
  <c r="Q108" i="3" s="1"/>
  <c r="R108" i="3" s="1"/>
  <c r="N109" i="3"/>
  <c r="O109" i="3" s="1"/>
  <c r="P109" i="3" s="1"/>
  <c r="Q109" i="3" s="1"/>
  <c r="R109" i="3" s="1"/>
  <c r="N110" i="3"/>
  <c r="O110" i="3" s="1"/>
  <c r="P110" i="3" s="1"/>
  <c r="Q110" i="3" s="1"/>
  <c r="R110" i="3" s="1"/>
  <c r="N111" i="3"/>
  <c r="O111" i="3" s="1"/>
  <c r="P111" i="3" s="1"/>
  <c r="Q111" i="3" s="1"/>
  <c r="R111" i="3" s="1"/>
  <c r="N112" i="3"/>
  <c r="O112" i="3" s="1"/>
  <c r="P112" i="3" s="1"/>
  <c r="Q112" i="3" s="1"/>
  <c r="R112" i="3" s="1"/>
  <c r="N113" i="3"/>
  <c r="O113" i="3" s="1"/>
  <c r="P113" i="3" s="1"/>
  <c r="Q113" i="3" s="1"/>
  <c r="R113" i="3" s="1"/>
  <c r="N114" i="3"/>
  <c r="O114" i="3" s="1"/>
  <c r="P114" i="3" s="1"/>
  <c r="Q114" i="3" s="1"/>
  <c r="R114" i="3" s="1"/>
  <c r="N115" i="3"/>
  <c r="O115" i="3" s="1"/>
  <c r="P115" i="3" s="1"/>
  <c r="Q115" i="3" s="1"/>
  <c r="R115" i="3" s="1"/>
  <c r="N116" i="3"/>
  <c r="O116" i="3" s="1"/>
  <c r="P116" i="3" s="1"/>
  <c r="Q116" i="3" s="1"/>
  <c r="R116" i="3" s="1"/>
  <c r="N117" i="3"/>
  <c r="O117" i="3" s="1"/>
  <c r="P117" i="3" s="1"/>
  <c r="Q117" i="3" s="1"/>
  <c r="R117" i="3" s="1"/>
  <c r="N118" i="3"/>
  <c r="O118" i="3" s="1"/>
  <c r="P118" i="3" s="1"/>
  <c r="Q118" i="3" s="1"/>
  <c r="R118" i="3" s="1"/>
  <c r="N119" i="3"/>
  <c r="O119" i="3" s="1"/>
  <c r="P119" i="3" s="1"/>
  <c r="Q119" i="3" s="1"/>
  <c r="R119" i="3" s="1"/>
  <c r="N120" i="3"/>
  <c r="O120" i="3" s="1"/>
  <c r="P120" i="3" s="1"/>
  <c r="Q120" i="3" s="1"/>
  <c r="R120" i="3" s="1"/>
  <c r="N121" i="3"/>
  <c r="O121" i="3" s="1"/>
  <c r="P121" i="3" s="1"/>
  <c r="Q121" i="3" s="1"/>
  <c r="R121" i="3" s="1"/>
  <c r="N122" i="3"/>
  <c r="O122" i="3" s="1"/>
  <c r="P122" i="3" s="1"/>
  <c r="Q122" i="3" s="1"/>
  <c r="R122" i="3" s="1"/>
  <c r="N123" i="3"/>
  <c r="O123" i="3" s="1"/>
  <c r="P123" i="3" s="1"/>
  <c r="Q123" i="3" s="1"/>
  <c r="R123" i="3" s="1"/>
  <c r="N124" i="3"/>
  <c r="O124" i="3" s="1"/>
  <c r="P124" i="3" s="1"/>
  <c r="Q124" i="3" s="1"/>
  <c r="R124" i="3" s="1"/>
  <c r="N125" i="3"/>
  <c r="O125" i="3" s="1"/>
  <c r="P125" i="3" s="1"/>
  <c r="Q125" i="3" s="1"/>
  <c r="R125" i="3" s="1"/>
  <c r="N126" i="3"/>
  <c r="O126" i="3" s="1"/>
  <c r="P126" i="3" s="1"/>
  <c r="Q126" i="3" s="1"/>
  <c r="R126" i="3" s="1"/>
  <c r="N127" i="3"/>
  <c r="O127" i="3" s="1"/>
  <c r="P127" i="3" s="1"/>
  <c r="Q127" i="3" s="1"/>
  <c r="R127" i="3" s="1"/>
  <c r="N128" i="3"/>
  <c r="O128" i="3" s="1"/>
  <c r="P128" i="3" s="1"/>
  <c r="Q128" i="3" s="1"/>
  <c r="R128" i="3" s="1"/>
  <c r="N129" i="3"/>
  <c r="O129" i="3" s="1"/>
  <c r="P129" i="3" s="1"/>
  <c r="Q129" i="3" s="1"/>
  <c r="R129" i="3" s="1"/>
  <c r="N130" i="3"/>
  <c r="O130" i="3" s="1"/>
  <c r="P130" i="3" s="1"/>
  <c r="Q130" i="3" s="1"/>
  <c r="R130" i="3" s="1"/>
  <c r="N131" i="3"/>
  <c r="O131" i="3" s="1"/>
  <c r="P131" i="3" s="1"/>
  <c r="Q131" i="3" s="1"/>
  <c r="R131" i="3" s="1"/>
  <c r="N132" i="3"/>
  <c r="O132" i="3" s="1"/>
  <c r="P132" i="3" s="1"/>
  <c r="Q132" i="3" s="1"/>
  <c r="R132" i="3" s="1"/>
  <c r="N133" i="3"/>
  <c r="O133" i="3" s="1"/>
  <c r="P133" i="3" s="1"/>
  <c r="Q133" i="3" s="1"/>
  <c r="R133" i="3" s="1"/>
  <c r="N2" i="3"/>
  <c r="O2" i="3" s="1"/>
  <c r="O3" i="3"/>
  <c r="P3" i="3" s="1"/>
  <c r="Q3" i="3" s="1"/>
  <c r="R3" i="3" s="1"/>
  <c r="O4" i="3"/>
  <c r="P4" i="3" s="1"/>
  <c r="Q4" i="3" s="1"/>
  <c r="R4" i="3" s="1"/>
  <c r="O5" i="3"/>
  <c r="P5" i="3" s="1"/>
  <c r="Q5" i="3" s="1"/>
  <c r="R5" i="3" s="1"/>
  <c r="O6" i="3"/>
  <c r="P6" i="3" s="1"/>
  <c r="Q6" i="3" s="1"/>
  <c r="R6" i="3" s="1"/>
  <c r="O7" i="3"/>
  <c r="P7" i="3" s="1"/>
  <c r="Q7" i="3" s="1"/>
  <c r="R7" i="3" s="1"/>
  <c r="O8" i="3"/>
  <c r="P8" i="3" s="1"/>
  <c r="Q8" i="3" s="1"/>
  <c r="R8" i="3" s="1"/>
  <c r="O9" i="3"/>
  <c r="P9" i="3" s="1"/>
  <c r="Q9" i="3" s="1"/>
  <c r="R9" i="3" s="1"/>
  <c r="O10" i="3"/>
  <c r="P10" i="3" s="1"/>
  <c r="Q10" i="3" s="1"/>
  <c r="R10" i="3" s="1"/>
  <c r="O11" i="3"/>
  <c r="P11" i="3" s="1"/>
  <c r="Q11" i="3" s="1"/>
  <c r="R11" i="3" s="1"/>
  <c r="O12" i="3"/>
  <c r="P12" i="3" s="1"/>
  <c r="Q12" i="3" s="1"/>
  <c r="R12" i="3" s="1"/>
  <c r="O13" i="3"/>
  <c r="P13" i="3" s="1"/>
  <c r="Q13" i="3" s="1"/>
  <c r="R13" i="3" s="1"/>
  <c r="O14" i="3"/>
  <c r="P14" i="3" s="1"/>
  <c r="Q14" i="3" s="1"/>
  <c r="R14" i="3" s="1"/>
  <c r="O15" i="3"/>
  <c r="P15" i="3" s="1"/>
  <c r="Q15" i="3" s="1"/>
  <c r="R15" i="3" s="1"/>
  <c r="O16" i="3"/>
  <c r="P16" i="3" s="1"/>
  <c r="Q16" i="3" s="1"/>
  <c r="R16" i="3" s="1"/>
  <c r="O17" i="3"/>
  <c r="P17" i="3" s="1"/>
  <c r="Q17" i="3" s="1"/>
  <c r="R17" i="3" s="1"/>
  <c r="O18" i="3"/>
  <c r="P18" i="3" s="1"/>
  <c r="Q18" i="3" s="1"/>
  <c r="R18" i="3" s="1"/>
  <c r="O19" i="3"/>
  <c r="P19" i="3" s="1"/>
  <c r="Q19" i="3" s="1"/>
  <c r="R19" i="3" s="1"/>
  <c r="O20" i="3"/>
  <c r="P20" i="3" s="1"/>
  <c r="Q20" i="3" s="1"/>
  <c r="R20" i="3" s="1"/>
  <c r="O21" i="3"/>
  <c r="P21" i="3" s="1"/>
  <c r="Q21" i="3" s="1"/>
  <c r="R21" i="3" s="1"/>
  <c r="O22" i="3"/>
  <c r="P22" i="3" s="1"/>
  <c r="Q22" i="3" s="1"/>
  <c r="R22" i="3" s="1"/>
  <c r="O23" i="3"/>
  <c r="P23" i="3" s="1"/>
  <c r="Q23" i="3" s="1"/>
  <c r="R23" i="3" s="1"/>
  <c r="O24" i="3"/>
  <c r="P24" i="3" s="1"/>
  <c r="Q24" i="3" s="1"/>
  <c r="R24" i="3" s="1"/>
  <c r="O25" i="3"/>
  <c r="P25" i="3" s="1"/>
  <c r="Q25" i="3" s="1"/>
  <c r="R25" i="3" s="1"/>
  <c r="O26" i="3"/>
  <c r="P26" i="3" s="1"/>
  <c r="Q26" i="3" s="1"/>
  <c r="R26" i="3" s="1"/>
  <c r="O27" i="3"/>
  <c r="P27" i="3" s="1"/>
  <c r="Q27" i="3" s="1"/>
  <c r="R27" i="3" s="1"/>
  <c r="O28" i="3"/>
  <c r="P28" i="3" s="1"/>
  <c r="Q28" i="3" s="1"/>
  <c r="R28" i="3" s="1"/>
  <c r="O29" i="3"/>
  <c r="P29" i="3" s="1"/>
  <c r="Q29" i="3" s="1"/>
  <c r="R29" i="3" s="1"/>
  <c r="O30" i="3"/>
  <c r="P30" i="3" s="1"/>
  <c r="Q30" i="3" s="1"/>
  <c r="R30" i="3" s="1"/>
  <c r="O31" i="3"/>
  <c r="P31" i="3" s="1"/>
  <c r="Q31" i="3" s="1"/>
  <c r="R31" i="3" s="1"/>
  <c r="O32" i="3"/>
  <c r="P32" i="3" s="1"/>
  <c r="Q32" i="3" s="1"/>
  <c r="R32" i="3" s="1"/>
  <c r="O33" i="3"/>
  <c r="P33" i="3" s="1"/>
  <c r="Q33" i="3" s="1"/>
  <c r="R33" i="3" s="1"/>
  <c r="O34" i="3"/>
  <c r="P34" i="3" s="1"/>
  <c r="Q34" i="3" s="1"/>
  <c r="R34" i="3" s="1"/>
  <c r="O35" i="3"/>
  <c r="P35" i="3" s="1"/>
  <c r="Q35" i="3" s="1"/>
  <c r="R35" i="3" s="1"/>
  <c r="O36" i="3"/>
  <c r="P36" i="3" s="1"/>
  <c r="Q36" i="3" s="1"/>
  <c r="R36" i="3" s="1"/>
  <c r="O37" i="3"/>
  <c r="P37" i="3" s="1"/>
  <c r="Q37" i="3" s="1"/>
  <c r="R37" i="3" s="1"/>
  <c r="O38" i="3"/>
  <c r="P38" i="3" s="1"/>
  <c r="Q38" i="3" s="1"/>
  <c r="R38" i="3" s="1"/>
  <c r="O39" i="3"/>
  <c r="P39" i="3" s="1"/>
  <c r="Q39" i="3" s="1"/>
  <c r="R39" i="3" s="1"/>
  <c r="O40" i="3"/>
  <c r="P40" i="3" s="1"/>
  <c r="Q40" i="3" s="1"/>
  <c r="R40" i="3" s="1"/>
  <c r="O41" i="3"/>
  <c r="P41" i="3" s="1"/>
  <c r="Q41" i="3" s="1"/>
  <c r="R41" i="3" s="1"/>
  <c r="O42" i="3"/>
  <c r="P42" i="3" s="1"/>
  <c r="Q42" i="3" s="1"/>
  <c r="R42" i="3" s="1"/>
  <c r="O43" i="3"/>
  <c r="P43" i="3" s="1"/>
  <c r="Q43" i="3" s="1"/>
  <c r="R43" i="3" s="1"/>
  <c r="G3" i="3"/>
  <c r="H3" i="3" s="1"/>
  <c r="I3" i="3" s="1"/>
  <c r="J3" i="3" s="1"/>
  <c r="K3" i="3" s="1"/>
  <c r="L3" i="3" s="1"/>
  <c r="G4" i="3"/>
  <c r="H4" i="3" s="1"/>
  <c r="I4" i="3" s="1"/>
  <c r="J4" i="3" s="1"/>
  <c r="K4" i="3" s="1"/>
  <c r="L4" i="3" s="1"/>
  <c r="G5" i="3"/>
  <c r="H5" i="3" s="1"/>
  <c r="I5" i="3" s="1"/>
  <c r="J5" i="3" s="1"/>
  <c r="K5" i="3" s="1"/>
  <c r="L5" i="3" s="1"/>
  <c r="G6" i="3"/>
  <c r="H6" i="3" s="1"/>
  <c r="I6" i="3" s="1"/>
  <c r="J6" i="3" s="1"/>
  <c r="K6" i="3" s="1"/>
  <c r="L6" i="3" s="1"/>
  <c r="G7" i="3"/>
  <c r="H7" i="3" s="1"/>
  <c r="I7" i="3" s="1"/>
  <c r="J7" i="3" s="1"/>
  <c r="K7" i="3" s="1"/>
  <c r="L7" i="3" s="1"/>
  <c r="G8" i="3"/>
  <c r="H8" i="3" s="1"/>
  <c r="I8" i="3" s="1"/>
  <c r="J8" i="3" s="1"/>
  <c r="K8" i="3" s="1"/>
  <c r="L8" i="3" s="1"/>
  <c r="G9" i="3"/>
  <c r="H9" i="3" s="1"/>
  <c r="I9" i="3" s="1"/>
  <c r="J9" i="3" s="1"/>
  <c r="K9" i="3" s="1"/>
  <c r="L9" i="3" s="1"/>
  <c r="G10" i="3"/>
  <c r="H10" i="3" s="1"/>
  <c r="I10" i="3" s="1"/>
  <c r="J10" i="3" s="1"/>
  <c r="K10" i="3" s="1"/>
  <c r="L10" i="3" s="1"/>
  <c r="G11" i="3"/>
  <c r="H11" i="3" s="1"/>
  <c r="I11" i="3" s="1"/>
  <c r="J11" i="3" s="1"/>
  <c r="K11" i="3" s="1"/>
  <c r="L11" i="3" s="1"/>
  <c r="G12" i="3"/>
  <c r="H12" i="3" s="1"/>
  <c r="I12" i="3" s="1"/>
  <c r="J12" i="3" s="1"/>
  <c r="K12" i="3" s="1"/>
  <c r="L12" i="3" s="1"/>
  <c r="G13" i="3"/>
  <c r="H13" i="3" s="1"/>
  <c r="I13" i="3" s="1"/>
  <c r="J13" i="3" s="1"/>
  <c r="K13" i="3" s="1"/>
  <c r="L13" i="3" s="1"/>
  <c r="G14" i="3"/>
  <c r="H14" i="3" s="1"/>
  <c r="I14" i="3" s="1"/>
  <c r="J14" i="3" s="1"/>
  <c r="K14" i="3" s="1"/>
  <c r="L14" i="3" s="1"/>
  <c r="G15" i="3"/>
  <c r="H15" i="3" s="1"/>
  <c r="I15" i="3" s="1"/>
  <c r="J15" i="3" s="1"/>
  <c r="K15" i="3" s="1"/>
  <c r="L15" i="3" s="1"/>
  <c r="G16" i="3"/>
  <c r="H16" i="3" s="1"/>
  <c r="I16" i="3" s="1"/>
  <c r="J16" i="3" s="1"/>
  <c r="K16" i="3" s="1"/>
  <c r="L16" i="3" s="1"/>
  <c r="G17" i="3"/>
  <c r="H17" i="3" s="1"/>
  <c r="I17" i="3" s="1"/>
  <c r="J17" i="3" s="1"/>
  <c r="K17" i="3" s="1"/>
  <c r="L17" i="3" s="1"/>
  <c r="G18" i="3"/>
  <c r="H18" i="3" s="1"/>
  <c r="I18" i="3" s="1"/>
  <c r="J18" i="3" s="1"/>
  <c r="K18" i="3" s="1"/>
  <c r="L18" i="3" s="1"/>
  <c r="G19" i="3"/>
  <c r="H19" i="3" s="1"/>
  <c r="I19" i="3" s="1"/>
  <c r="J19" i="3" s="1"/>
  <c r="K19" i="3" s="1"/>
  <c r="L19" i="3" s="1"/>
  <c r="G20" i="3"/>
  <c r="H20" i="3" s="1"/>
  <c r="I20" i="3" s="1"/>
  <c r="J20" i="3" s="1"/>
  <c r="K20" i="3" s="1"/>
  <c r="L20" i="3" s="1"/>
  <c r="G21" i="3"/>
  <c r="H21" i="3" s="1"/>
  <c r="I21" i="3" s="1"/>
  <c r="J21" i="3" s="1"/>
  <c r="K21" i="3" s="1"/>
  <c r="L21" i="3" s="1"/>
  <c r="G22" i="3"/>
  <c r="H22" i="3" s="1"/>
  <c r="I22" i="3" s="1"/>
  <c r="J22" i="3" s="1"/>
  <c r="K22" i="3" s="1"/>
  <c r="L22" i="3" s="1"/>
  <c r="G23" i="3"/>
  <c r="H23" i="3" s="1"/>
  <c r="I23" i="3" s="1"/>
  <c r="J23" i="3" s="1"/>
  <c r="K23" i="3" s="1"/>
  <c r="L23" i="3" s="1"/>
  <c r="G24" i="3"/>
  <c r="H24" i="3" s="1"/>
  <c r="I24" i="3" s="1"/>
  <c r="J24" i="3" s="1"/>
  <c r="K24" i="3" s="1"/>
  <c r="L24" i="3" s="1"/>
  <c r="G25" i="3"/>
  <c r="H25" i="3" s="1"/>
  <c r="I25" i="3" s="1"/>
  <c r="J25" i="3" s="1"/>
  <c r="K25" i="3" s="1"/>
  <c r="L25" i="3" s="1"/>
  <c r="G26" i="3"/>
  <c r="H26" i="3" s="1"/>
  <c r="I26" i="3" s="1"/>
  <c r="J26" i="3" s="1"/>
  <c r="K26" i="3" s="1"/>
  <c r="L26" i="3" s="1"/>
  <c r="G27" i="3"/>
  <c r="H27" i="3" s="1"/>
  <c r="I27" i="3" s="1"/>
  <c r="J27" i="3" s="1"/>
  <c r="K27" i="3" s="1"/>
  <c r="L27" i="3" s="1"/>
  <c r="G28" i="3"/>
  <c r="H28" i="3" s="1"/>
  <c r="I28" i="3" s="1"/>
  <c r="J28" i="3" s="1"/>
  <c r="K28" i="3" s="1"/>
  <c r="L28" i="3" s="1"/>
  <c r="G29" i="3"/>
  <c r="H29" i="3" s="1"/>
  <c r="I29" i="3" s="1"/>
  <c r="J29" i="3" s="1"/>
  <c r="K29" i="3" s="1"/>
  <c r="L29" i="3" s="1"/>
  <c r="G30" i="3"/>
  <c r="H30" i="3" s="1"/>
  <c r="I30" i="3" s="1"/>
  <c r="J30" i="3" s="1"/>
  <c r="K30" i="3" s="1"/>
  <c r="L30" i="3" s="1"/>
  <c r="G31" i="3"/>
  <c r="H31" i="3" s="1"/>
  <c r="I31" i="3" s="1"/>
  <c r="J31" i="3" s="1"/>
  <c r="K31" i="3" s="1"/>
  <c r="L31" i="3" s="1"/>
  <c r="G32" i="3"/>
  <c r="H32" i="3" s="1"/>
  <c r="I32" i="3" s="1"/>
  <c r="J32" i="3" s="1"/>
  <c r="K32" i="3" s="1"/>
  <c r="L32" i="3" s="1"/>
  <c r="G33" i="3"/>
  <c r="H33" i="3" s="1"/>
  <c r="I33" i="3" s="1"/>
  <c r="J33" i="3" s="1"/>
  <c r="K33" i="3" s="1"/>
  <c r="L33" i="3" s="1"/>
  <c r="G34" i="3"/>
  <c r="H34" i="3" s="1"/>
  <c r="I34" i="3" s="1"/>
  <c r="J34" i="3" s="1"/>
  <c r="K34" i="3" s="1"/>
  <c r="L34" i="3" s="1"/>
  <c r="G35" i="3"/>
  <c r="H35" i="3" s="1"/>
  <c r="I35" i="3" s="1"/>
  <c r="J35" i="3" s="1"/>
  <c r="K35" i="3" s="1"/>
  <c r="L35" i="3" s="1"/>
  <c r="G36" i="3"/>
  <c r="H36" i="3" s="1"/>
  <c r="I36" i="3" s="1"/>
  <c r="J36" i="3" s="1"/>
  <c r="K36" i="3" s="1"/>
  <c r="L36" i="3" s="1"/>
  <c r="G37" i="3"/>
  <c r="H37" i="3" s="1"/>
  <c r="I37" i="3" s="1"/>
  <c r="J37" i="3" s="1"/>
  <c r="K37" i="3" s="1"/>
  <c r="L37" i="3" s="1"/>
  <c r="G38" i="3"/>
  <c r="H38" i="3" s="1"/>
  <c r="I38" i="3" s="1"/>
  <c r="J38" i="3" s="1"/>
  <c r="K38" i="3" s="1"/>
  <c r="L38" i="3" s="1"/>
  <c r="G39" i="3"/>
  <c r="H39" i="3" s="1"/>
  <c r="I39" i="3" s="1"/>
  <c r="J39" i="3" s="1"/>
  <c r="K39" i="3" s="1"/>
  <c r="L39" i="3" s="1"/>
  <c r="G40" i="3"/>
  <c r="H40" i="3" s="1"/>
  <c r="I40" i="3" s="1"/>
  <c r="J40" i="3" s="1"/>
  <c r="K40" i="3" s="1"/>
  <c r="L40" i="3" s="1"/>
  <c r="G41" i="3"/>
  <c r="H41" i="3" s="1"/>
  <c r="I41" i="3" s="1"/>
  <c r="J41" i="3" s="1"/>
  <c r="K41" i="3" s="1"/>
  <c r="L41" i="3" s="1"/>
  <c r="G42" i="3"/>
  <c r="H42" i="3" s="1"/>
  <c r="I42" i="3" s="1"/>
  <c r="J42" i="3" s="1"/>
  <c r="K42" i="3" s="1"/>
  <c r="L42" i="3" s="1"/>
  <c r="G43" i="3"/>
  <c r="H43" i="3" s="1"/>
  <c r="I43" i="3" s="1"/>
  <c r="J43" i="3" s="1"/>
  <c r="K43" i="3" s="1"/>
  <c r="L43" i="3" s="1"/>
  <c r="G44" i="3"/>
  <c r="H44" i="3" s="1"/>
  <c r="I44" i="3" s="1"/>
  <c r="J44" i="3" s="1"/>
  <c r="K44" i="3" s="1"/>
  <c r="L44" i="3" s="1"/>
  <c r="G45" i="3"/>
  <c r="H45" i="3" s="1"/>
  <c r="I45" i="3" s="1"/>
  <c r="J45" i="3" s="1"/>
  <c r="K45" i="3" s="1"/>
  <c r="L45" i="3" s="1"/>
  <c r="G46" i="3"/>
  <c r="H46" i="3" s="1"/>
  <c r="I46" i="3" s="1"/>
  <c r="J46" i="3" s="1"/>
  <c r="K46" i="3" s="1"/>
  <c r="L46" i="3" s="1"/>
  <c r="G47" i="3"/>
  <c r="H47" i="3" s="1"/>
  <c r="I47" i="3" s="1"/>
  <c r="J47" i="3" s="1"/>
  <c r="K47" i="3" s="1"/>
  <c r="L47" i="3" s="1"/>
  <c r="G48" i="3"/>
  <c r="H48" i="3" s="1"/>
  <c r="I48" i="3" s="1"/>
  <c r="J48" i="3" s="1"/>
  <c r="K48" i="3" s="1"/>
  <c r="L48" i="3" s="1"/>
  <c r="G49" i="3"/>
  <c r="H49" i="3" s="1"/>
  <c r="I49" i="3" s="1"/>
  <c r="J49" i="3" s="1"/>
  <c r="K49" i="3" s="1"/>
  <c r="L49" i="3" s="1"/>
  <c r="G50" i="3"/>
  <c r="H50" i="3" s="1"/>
  <c r="I50" i="3" s="1"/>
  <c r="J50" i="3" s="1"/>
  <c r="K50" i="3" s="1"/>
  <c r="L50" i="3" s="1"/>
  <c r="G51" i="3"/>
  <c r="H51" i="3" s="1"/>
  <c r="I51" i="3" s="1"/>
  <c r="J51" i="3" s="1"/>
  <c r="K51" i="3" s="1"/>
  <c r="L51" i="3" s="1"/>
  <c r="G52" i="3"/>
  <c r="H52" i="3" s="1"/>
  <c r="I52" i="3" s="1"/>
  <c r="J52" i="3" s="1"/>
  <c r="K52" i="3" s="1"/>
  <c r="L52" i="3" s="1"/>
  <c r="G53" i="3"/>
  <c r="H53" i="3" s="1"/>
  <c r="I53" i="3" s="1"/>
  <c r="J53" i="3" s="1"/>
  <c r="K53" i="3" s="1"/>
  <c r="L53" i="3" s="1"/>
  <c r="G54" i="3"/>
  <c r="H54" i="3" s="1"/>
  <c r="I54" i="3" s="1"/>
  <c r="J54" i="3" s="1"/>
  <c r="K54" i="3" s="1"/>
  <c r="L54" i="3" s="1"/>
  <c r="G55" i="3"/>
  <c r="H55" i="3" s="1"/>
  <c r="I55" i="3" s="1"/>
  <c r="J55" i="3" s="1"/>
  <c r="K55" i="3" s="1"/>
  <c r="L55" i="3" s="1"/>
  <c r="G56" i="3"/>
  <c r="H56" i="3" s="1"/>
  <c r="I56" i="3" s="1"/>
  <c r="J56" i="3" s="1"/>
  <c r="K56" i="3" s="1"/>
  <c r="L56" i="3" s="1"/>
  <c r="G57" i="3"/>
  <c r="H57" i="3" s="1"/>
  <c r="I57" i="3" s="1"/>
  <c r="J57" i="3" s="1"/>
  <c r="K57" i="3" s="1"/>
  <c r="L57" i="3" s="1"/>
  <c r="G58" i="3"/>
  <c r="H58" i="3" s="1"/>
  <c r="I58" i="3" s="1"/>
  <c r="J58" i="3" s="1"/>
  <c r="K58" i="3" s="1"/>
  <c r="L58" i="3" s="1"/>
  <c r="G59" i="3"/>
  <c r="H59" i="3" s="1"/>
  <c r="I59" i="3" s="1"/>
  <c r="J59" i="3" s="1"/>
  <c r="K59" i="3" s="1"/>
  <c r="L59" i="3" s="1"/>
  <c r="G60" i="3"/>
  <c r="H60" i="3" s="1"/>
  <c r="I60" i="3" s="1"/>
  <c r="J60" i="3" s="1"/>
  <c r="K60" i="3" s="1"/>
  <c r="L60" i="3" s="1"/>
  <c r="G61" i="3"/>
  <c r="H61" i="3" s="1"/>
  <c r="I61" i="3" s="1"/>
  <c r="J61" i="3" s="1"/>
  <c r="K61" i="3" s="1"/>
  <c r="L61" i="3" s="1"/>
  <c r="G62" i="3"/>
  <c r="H62" i="3" s="1"/>
  <c r="I62" i="3" s="1"/>
  <c r="J62" i="3" s="1"/>
  <c r="K62" i="3" s="1"/>
  <c r="L62" i="3" s="1"/>
  <c r="G63" i="3"/>
  <c r="H63" i="3" s="1"/>
  <c r="I63" i="3" s="1"/>
  <c r="J63" i="3" s="1"/>
  <c r="K63" i="3" s="1"/>
  <c r="L63" i="3" s="1"/>
  <c r="G64" i="3"/>
  <c r="H64" i="3" s="1"/>
  <c r="I64" i="3" s="1"/>
  <c r="J64" i="3" s="1"/>
  <c r="K64" i="3" s="1"/>
  <c r="L64" i="3" s="1"/>
  <c r="G65" i="3"/>
  <c r="H65" i="3" s="1"/>
  <c r="I65" i="3" s="1"/>
  <c r="J65" i="3" s="1"/>
  <c r="K65" i="3" s="1"/>
  <c r="L65" i="3" s="1"/>
  <c r="G66" i="3"/>
  <c r="H66" i="3" s="1"/>
  <c r="I66" i="3" s="1"/>
  <c r="J66" i="3" s="1"/>
  <c r="K66" i="3" s="1"/>
  <c r="L66" i="3" s="1"/>
  <c r="G67" i="3"/>
  <c r="H67" i="3" s="1"/>
  <c r="I67" i="3" s="1"/>
  <c r="J67" i="3" s="1"/>
  <c r="K67" i="3" s="1"/>
  <c r="L67" i="3" s="1"/>
  <c r="G68" i="3"/>
  <c r="H68" i="3" s="1"/>
  <c r="I68" i="3" s="1"/>
  <c r="J68" i="3" s="1"/>
  <c r="K68" i="3" s="1"/>
  <c r="L68" i="3" s="1"/>
  <c r="G69" i="3"/>
  <c r="H69" i="3" s="1"/>
  <c r="I69" i="3" s="1"/>
  <c r="J69" i="3" s="1"/>
  <c r="K69" i="3" s="1"/>
  <c r="L69" i="3" s="1"/>
  <c r="G70" i="3"/>
  <c r="H70" i="3" s="1"/>
  <c r="I70" i="3" s="1"/>
  <c r="J70" i="3" s="1"/>
  <c r="K70" i="3" s="1"/>
  <c r="L70" i="3" s="1"/>
  <c r="G71" i="3"/>
  <c r="H71" i="3" s="1"/>
  <c r="I71" i="3" s="1"/>
  <c r="J71" i="3" s="1"/>
  <c r="K71" i="3" s="1"/>
  <c r="L71" i="3" s="1"/>
  <c r="G72" i="3"/>
  <c r="H72" i="3" s="1"/>
  <c r="I72" i="3" s="1"/>
  <c r="J72" i="3" s="1"/>
  <c r="K72" i="3" s="1"/>
  <c r="L72" i="3" s="1"/>
  <c r="G73" i="3"/>
  <c r="H73" i="3" s="1"/>
  <c r="I73" i="3" s="1"/>
  <c r="J73" i="3" s="1"/>
  <c r="K73" i="3" s="1"/>
  <c r="L73" i="3" s="1"/>
  <c r="G74" i="3"/>
  <c r="H74" i="3" s="1"/>
  <c r="I74" i="3" s="1"/>
  <c r="J74" i="3" s="1"/>
  <c r="K74" i="3" s="1"/>
  <c r="L74" i="3" s="1"/>
  <c r="G75" i="3"/>
  <c r="H75" i="3" s="1"/>
  <c r="I75" i="3" s="1"/>
  <c r="J75" i="3" s="1"/>
  <c r="K75" i="3" s="1"/>
  <c r="L75" i="3" s="1"/>
  <c r="G76" i="3"/>
  <c r="H76" i="3" s="1"/>
  <c r="I76" i="3" s="1"/>
  <c r="J76" i="3" s="1"/>
  <c r="K76" i="3" s="1"/>
  <c r="L76" i="3" s="1"/>
  <c r="G77" i="3"/>
  <c r="H77" i="3" s="1"/>
  <c r="I77" i="3" s="1"/>
  <c r="J77" i="3" s="1"/>
  <c r="K77" i="3" s="1"/>
  <c r="L77" i="3" s="1"/>
  <c r="G78" i="3"/>
  <c r="H78" i="3" s="1"/>
  <c r="I78" i="3" s="1"/>
  <c r="J78" i="3" s="1"/>
  <c r="K78" i="3" s="1"/>
  <c r="L78" i="3" s="1"/>
  <c r="G79" i="3"/>
  <c r="H79" i="3" s="1"/>
  <c r="I79" i="3" s="1"/>
  <c r="J79" i="3" s="1"/>
  <c r="K79" i="3" s="1"/>
  <c r="L79" i="3" s="1"/>
  <c r="G80" i="3"/>
  <c r="H80" i="3" s="1"/>
  <c r="I80" i="3" s="1"/>
  <c r="J80" i="3" s="1"/>
  <c r="K80" i="3" s="1"/>
  <c r="L80" i="3" s="1"/>
  <c r="G81" i="3"/>
  <c r="H81" i="3" s="1"/>
  <c r="I81" i="3" s="1"/>
  <c r="J81" i="3" s="1"/>
  <c r="K81" i="3" s="1"/>
  <c r="L81" i="3" s="1"/>
  <c r="G82" i="3"/>
  <c r="H82" i="3" s="1"/>
  <c r="I82" i="3" s="1"/>
  <c r="J82" i="3" s="1"/>
  <c r="K82" i="3" s="1"/>
  <c r="L82" i="3" s="1"/>
  <c r="G83" i="3"/>
  <c r="H83" i="3" s="1"/>
  <c r="I83" i="3" s="1"/>
  <c r="J83" i="3" s="1"/>
  <c r="K83" i="3" s="1"/>
  <c r="L83" i="3" s="1"/>
  <c r="G84" i="3"/>
  <c r="H84" i="3" s="1"/>
  <c r="I84" i="3" s="1"/>
  <c r="J84" i="3" s="1"/>
  <c r="K84" i="3" s="1"/>
  <c r="L84" i="3" s="1"/>
  <c r="G85" i="3"/>
  <c r="H85" i="3" s="1"/>
  <c r="I85" i="3" s="1"/>
  <c r="J85" i="3" s="1"/>
  <c r="K85" i="3" s="1"/>
  <c r="L85" i="3" s="1"/>
  <c r="G86" i="3"/>
  <c r="H86" i="3" s="1"/>
  <c r="I86" i="3" s="1"/>
  <c r="J86" i="3" s="1"/>
  <c r="K86" i="3" s="1"/>
  <c r="L86" i="3" s="1"/>
  <c r="G87" i="3"/>
  <c r="H87" i="3" s="1"/>
  <c r="I87" i="3" s="1"/>
  <c r="J87" i="3" s="1"/>
  <c r="K87" i="3" s="1"/>
  <c r="L87" i="3" s="1"/>
  <c r="G88" i="3"/>
  <c r="H88" i="3" s="1"/>
  <c r="I88" i="3" s="1"/>
  <c r="J88" i="3" s="1"/>
  <c r="K88" i="3" s="1"/>
  <c r="L88" i="3" s="1"/>
  <c r="G89" i="3"/>
  <c r="H89" i="3" s="1"/>
  <c r="I89" i="3" s="1"/>
  <c r="J89" i="3" s="1"/>
  <c r="K89" i="3" s="1"/>
  <c r="L89" i="3" s="1"/>
  <c r="G90" i="3"/>
  <c r="H90" i="3" s="1"/>
  <c r="I90" i="3" s="1"/>
  <c r="J90" i="3" s="1"/>
  <c r="K90" i="3" s="1"/>
  <c r="L90" i="3" s="1"/>
  <c r="G91" i="3"/>
  <c r="H91" i="3" s="1"/>
  <c r="I91" i="3" s="1"/>
  <c r="J91" i="3" s="1"/>
  <c r="K91" i="3" s="1"/>
  <c r="L91" i="3" s="1"/>
  <c r="G92" i="3"/>
  <c r="H92" i="3" s="1"/>
  <c r="I92" i="3" s="1"/>
  <c r="J92" i="3" s="1"/>
  <c r="K92" i="3" s="1"/>
  <c r="L92" i="3" s="1"/>
  <c r="G93" i="3"/>
  <c r="H93" i="3" s="1"/>
  <c r="I93" i="3" s="1"/>
  <c r="J93" i="3" s="1"/>
  <c r="K93" i="3" s="1"/>
  <c r="L93" i="3" s="1"/>
  <c r="G94" i="3"/>
  <c r="H94" i="3" s="1"/>
  <c r="I94" i="3" s="1"/>
  <c r="J94" i="3" s="1"/>
  <c r="K94" i="3" s="1"/>
  <c r="L94" i="3" s="1"/>
  <c r="G95" i="3"/>
  <c r="H95" i="3" s="1"/>
  <c r="I95" i="3" s="1"/>
  <c r="J95" i="3" s="1"/>
  <c r="K95" i="3" s="1"/>
  <c r="L95" i="3" s="1"/>
  <c r="G96" i="3"/>
  <c r="H96" i="3" s="1"/>
  <c r="I96" i="3" s="1"/>
  <c r="J96" i="3" s="1"/>
  <c r="K96" i="3" s="1"/>
  <c r="L96" i="3" s="1"/>
  <c r="G97" i="3"/>
  <c r="H97" i="3" s="1"/>
  <c r="I97" i="3" s="1"/>
  <c r="J97" i="3" s="1"/>
  <c r="K97" i="3" s="1"/>
  <c r="L97" i="3" s="1"/>
  <c r="G98" i="3"/>
  <c r="H98" i="3" s="1"/>
  <c r="I98" i="3" s="1"/>
  <c r="J98" i="3" s="1"/>
  <c r="K98" i="3" s="1"/>
  <c r="L98" i="3" s="1"/>
  <c r="G99" i="3"/>
  <c r="H99" i="3" s="1"/>
  <c r="I99" i="3" s="1"/>
  <c r="J99" i="3" s="1"/>
  <c r="K99" i="3" s="1"/>
  <c r="L99" i="3" s="1"/>
  <c r="G100" i="3"/>
  <c r="H100" i="3" s="1"/>
  <c r="I100" i="3" s="1"/>
  <c r="J100" i="3" s="1"/>
  <c r="K100" i="3" s="1"/>
  <c r="L100" i="3" s="1"/>
  <c r="G101" i="3"/>
  <c r="H101" i="3" s="1"/>
  <c r="I101" i="3" s="1"/>
  <c r="J101" i="3" s="1"/>
  <c r="K101" i="3" s="1"/>
  <c r="L101" i="3" s="1"/>
  <c r="G102" i="3"/>
  <c r="H102" i="3" s="1"/>
  <c r="I102" i="3" s="1"/>
  <c r="J102" i="3" s="1"/>
  <c r="K102" i="3" s="1"/>
  <c r="L102" i="3" s="1"/>
  <c r="G103" i="3"/>
  <c r="H103" i="3" s="1"/>
  <c r="I103" i="3" s="1"/>
  <c r="J103" i="3" s="1"/>
  <c r="K103" i="3" s="1"/>
  <c r="L103" i="3" s="1"/>
  <c r="G104" i="3"/>
  <c r="H104" i="3" s="1"/>
  <c r="I104" i="3" s="1"/>
  <c r="J104" i="3" s="1"/>
  <c r="K104" i="3" s="1"/>
  <c r="L104" i="3" s="1"/>
  <c r="G105" i="3"/>
  <c r="H105" i="3" s="1"/>
  <c r="I105" i="3" s="1"/>
  <c r="J105" i="3" s="1"/>
  <c r="K105" i="3" s="1"/>
  <c r="L105" i="3" s="1"/>
  <c r="G106" i="3"/>
  <c r="H106" i="3" s="1"/>
  <c r="I106" i="3" s="1"/>
  <c r="J106" i="3" s="1"/>
  <c r="K106" i="3" s="1"/>
  <c r="L106" i="3" s="1"/>
  <c r="G107" i="3"/>
  <c r="H107" i="3" s="1"/>
  <c r="I107" i="3" s="1"/>
  <c r="J107" i="3" s="1"/>
  <c r="K107" i="3" s="1"/>
  <c r="L107" i="3" s="1"/>
  <c r="G108" i="3"/>
  <c r="H108" i="3" s="1"/>
  <c r="I108" i="3" s="1"/>
  <c r="J108" i="3" s="1"/>
  <c r="K108" i="3" s="1"/>
  <c r="L108" i="3" s="1"/>
  <c r="G109" i="3"/>
  <c r="H109" i="3" s="1"/>
  <c r="I109" i="3" s="1"/>
  <c r="J109" i="3" s="1"/>
  <c r="K109" i="3" s="1"/>
  <c r="L109" i="3" s="1"/>
  <c r="G110" i="3"/>
  <c r="H110" i="3" s="1"/>
  <c r="I110" i="3" s="1"/>
  <c r="J110" i="3" s="1"/>
  <c r="K110" i="3" s="1"/>
  <c r="L110" i="3" s="1"/>
  <c r="G111" i="3"/>
  <c r="H111" i="3" s="1"/>
  <c r="I111" i="3" s="1"/>
  <c r="J111" i="3" s="1"/>
  <c r="K111" i="3" s="1"/>
  <c r="L111" i="3" s="1"/>
  <c r="G112" i="3"/>
  <c r="H112" i="3" s="1"/>
  <c r="I112" i="3" s="1"/>
  <c r="J112" i="3" s="1"/>
  <c r="K112" i="3" s="1"/>
  <c r="L112" i="3" s="1"/>
  <c r="G113" i="3"/>
  <c r="H113" i="3" s="1"/>
  <c r="I113" i="3" s="1"/>
  <c r="J113" i="3" s="1"/>
  <c r="K113" i="3" s="1"/>
  <c r="L113" i="3" s="1"/>
  <c r="G114" i="3"/>
  <c r="H114" i="3" s="1"/>
  <c r="I114" i="3" s="1"/>
  <c r="J114" i="3" s="1"/>
  <c r="K114" i="3" s="1"/>
  <c r="L114" i="3" s="1"/>
  <c r="G115" i="3"/>
  <c r="H115" i="3" s="1"/>
  <c r="I115" i="3" s="1"/>
  <c r="J115" i="3" s="1"/>
  <c r="K115" i="3" s="1"/>
  <c r="L115" i="3" s="1"/>
  <c r="G116" i="3"/>
  <c r="H116" i="3" s="1"/>
  <c r="I116" i="3" s="1"/>
  <c r="J116" i="3" s="1"/>
  <c r="K116" i="3" s="1"/>
  <c r="L116" i="3" s="1"/>
  <c r="G117" i="3"/>
  <c r="H117" i="3" s="1"/>
  <c r="I117" i="3" s="1"/>
  <c r="J117" i="3" s="1"/>
  <c r="K117" i="3" s="1"/>
  <c r="L117" i="3" s="1"/>
  <c r="G118" i="3"/>
  <c r="H118" i="3" s="1"/>
  <c r="I118" i="3" s="1"/>
  <c r="J118" i="3" s="1"/>
  <c r="K118" i="3" s="1"/>
  <c r="L118" i="3" s="1"/>
  <c r="G119" i="3"/>
  <c r="H119" i="3" s="1"/>
  <c r="I119" i="3" s="1"/>
  <c r="J119" i="3" s="1"/>
  <c r="K119" i="3" s="1"/>
  <c r="L119" i="3" s="1"/>
  <c r="G120" i="3"/>
  <c r="H120" i="3" s="1"/>
  <c r="I120" i="3" s="1"/>
  <c r="J120" i="3" s="1"/>
  <c r="K120" i="3" s="1"/>
  <c r="L120" i="3" s="1"/>
  <c r="G121" i="3"/>
  <c r="H121" i="3" s="1"/>
  <c r="I121" i="3" s="1"/>
  <c r="J121" i="3" s="1"/>
  <c r="K121" i="3" s="1"/>
  <c r="L121" i="3" s="1"/>
  <c r="G122" i="3"/>
  <c r="H122" i="3" s="1"/>
  <c r="I122" i="3" s="1"/>
  <c r="J122" i="3" s="1"/>
  <c r="K122" i="3" s="1"/>
  <c r="L122" i="3" s="1"/>
  <c r="G123" i="3"/>
  <c r="H123" i="3" s="1"/>
  <c r="I123" i="3" s="1"/>
  <c r="J123" i="3" s="1"/>
  <c r="K123" i="3" s="1"/>
  <c r="L123" i="3" s="1"/>
  <c r="G124" i="3"/>
  <c r="H124" i="3" s="1"/>
  <c r="I124" i="3" s="1"/>
  <c r="J124" i="3" s="1"/>
  <c r="K124" i="3" s="1"/>
  <c r="L124" i="3" s="1"/>
  <c r="G125" i="3"/>
  <c r="H125" i="3" s="1"/>
  <c r="I125" i="3" s="1"/>
  <c r="J125" i="3" s="1"/>
  <c r="K125" i="3" s="1"/>
  <c r="L125" i="3" s="1"/>
  <c r="G126" i="3"/>
  <c r="H126" i="3" s="1"/>
  <c r="I126" i="3" s="1"/>
  <c r="J126" i="3" s="1"/>
  <c r="K126" i="3" s="1"/>
  <c r="L126" i="3" s="1"/>
  <c r="G127" i="3"/>
  <c r="H127" i="3" s="1"/>
  <c r="I127" i="3" s="1"/>
  <c r="J127" i="3" s="1"/>
  <c r="K127" i="3" s="1"/>
  <c r="L127" i="3" s="1"/>
  <c r="G128" i="3"/>
  <c r="H128" i="3" s="1"/>
  <c r="I128" i="3" s="1"/>
  <c r="J128" i="3" s="1"/>
  <c r="K128" i="3" s="1"/>
  <c r="L128" i="3" s="1"/>
  <c r="G129" i="3"/>
  <c r="H129" i="3" s="1"/>
  <c r="I129" i="3" s="1"/>
  <c r="J129" i="3" s="1"/>
  <c r="K129" i="3" s="1"/>
  <c r="L129" i="3" s="1"/>
  <c r="G130" i="3"/>
  <c r="H130" i="3" s="1"/>
  <c r="I130" i="3" s="1"/>
  <c r="J130" i="3" s="1"/>
  <c r="K130" i="3" s="1"/>
  <c r="L130" i="3" s="1"/>
  <c r="G131" i="3"/>
  <c r="H131" i="3" s="1"/>
  <c r="I131" i="3" s="1"/>
  <c r="J131" i="3" s="1"/>
  <c r="K131" i="3" s="1"/>
  <c r="L131" i="3" s="1"/>
  <c r="G132" i="3"/>
  <c r="H132" i="3" s="1"/>
  <c r="I132" i="3" s="1"/>
  <c r="J132" i="3" s="1"/>
  <c r="K132" i="3" s="1"/>
  <c r="L132" i="3" s="1"/>
  <c r="G133" i="3"/>
  <c r="H133" i="3" s="1"/>
  <c r="I133" i="3" s="1"/>
  <c r="J133" i="3" s="1"/>
  <c r="K133" i="3" s="1"/>
  <c r="L133" i="3" s="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G2" i="3"/>
  <c r="H2" i="3" s="1"/>
  <c r="I2" i="3" s="1"/>
  <c r="J2" i="3" s="1"/>
  <c r="K2" i="3" s="1"/>
  <c r="L2" i="3" s="1"/>
  <c r="AE5" i="2" l="1"/>
  <c r="AE9" i="2"/>
  <c r="AE6" i="2"/>
  <c r="AE10" i="2"/>
  <c r="AE7" i="2"/>
  <c r="AE4" i="2"/>
  <c r="AR93" i="3"/>
  <c r="AS93" i="3" s="1"/>
  <c r="AT93" i="3" s="1"/>
  <c r="AU93" i="3" s="1"/>
  <c r="AV93" i="3" s="1"/>
  <c r="AR37" i="3"/>
  <c r="AS37" i="3" s="1"/>
  <c r="AT37" i="3" s="1"/>
  <c r="AU37" i="3" s="1"/>
  <c r="AV37" i="3" s="1"/>
  <c r="AR128" i="3"/>
  <c r="AS128" i="3" s="1"/>
  <c r="AT128" i="3" s="1"/>
  <c r="AU128" i="3" s="1"/>
  <c r="AV128" i="3" s="1"/>
  <c r="AR112" i="3"/>
  <c r="AS112" i="3" s="1"/>
  <c r="AT112" i="3" s="1"/>
  <c r="AU112" i="3" s="1"/>
  <c r="AV112" i="3" s="1"/>
  <c r="AR96" i="3"/>
  <c r="AS96" i="3" s="1"/>
  <c r="AT96" i="3" s="1"/>
  <c r="AU96" i="3" s="1"/>
  <c r="AV96" i="3" s="1"/>
  <c r="AR80" i="3"/>
  <c r="AS80" i="3" s="1"/>
  <c r="AT80" i="3" s="1"/>
  <c r="AU80" i="3" s="1"/>
  <c r="AV80" i="3" s="1"/>
  <c r="AR64" i="3"/>
  <c r="AS64" i="3" s="1"/>
  <c r="AT64" i="3" s="1"/>
  <c r="AU64" i="3" s="1"/>
  <c r="AV64" i="3" s="1"/>
  <c r="AR48" i="3"/>
  <c r="AS48" i="3" s="1"/>
  <c r="AT48" i="3" s="1"/>
  <c r="AU48" i="3" s="1"/>
  <c r="AV48" i="3" s="1"/>
  <c r="AR32" i="3"/>
  <c r="AS32" i="3" s="1"/>
  <c r="AT32" i="3" s="1"/>
  <c r="AU32" i="3" s="1"/>
  <c r="AV32" i="3" s="1"/>
  <c r="AR16" i="3"/>
  <c r="AS16" i="3" s="1"/>
  <c r="AT16" i="3" s="1"/>
  <c r="AU16" i="3" s="1"/>
  <c r="AV16" i="3" s="1"/>
  <c r="AR129" i="3"/>
  <c r="AS129" i="3" s="1"/>
  <c r="AT129" i="3" s="1"/>
  <c r="AU129" i="3" s="1"/>
  <c r="AV129" i="3" s="1"/>
  <c r="AR117" i="3"/>
  <c r="AS117" i="3" s="1"/>
  <c r="AT117" i="3" s="1"/>
  <c r="AU117" i="3" s="1"/>
  <c r="AV117" i="3" s="1"/>
  <c r="AR105" i="3"/>
  <c r="AS105" i="3" s="1"/>
  <c r="AT105" i="3" s="1"/>
  <c r="AU105" i="3" s="1"/>
  <c r="AV105" i="3" s="1"/>
  <c r="AR77" i="3"/>
  <c r="AS77" i="3" s="1"/>
  <c r="AT77" i="3" s="1"/>
  <c r="AU77" i="3" s="1"/>
  <c r="AV77" i="3" s="1"/>
  <c r="AR65" i="3"/>
  <c r="AS65" i="3" s="1"/>
  <c r="AT65" i="3" s="1"/>
  <c r="AU65" i="3" s="1"/>
  <c r="AV65" i="3" s="1"/>
  <c r="AR49" i="3"/>
  <c r="AS49" i="3" s="1"/>
  <c r="AT49" i="3" s="1"/>
  <c r="AU49" i="3" s="1"/>
  <c r="AV49" i="3" s="1"/>
  <c r="AR17" i="3"/>
  <c r="AS17" i="3" s="1"/>
  <c r="AT17" i="3" s="1"/>
  <c r="AU17" i="3" s="1"/>
  <c r="AV17" i="3" s="1"/>
  <c r="AR13" i="3"/>
  <c r="AS13" i="3" s="1"/>
  <c r="AT13" i="3" s="1"/>
  <c r="AU13" i="3" s="1"/>
  <c r="AV13" i="3" s="1"/>
  <c r="AR121" i="3"/>
  <c r="AS121" i="3" s="1"/>
  <c r="AT121" i="3" s="1"/>
  <c r="AU121" i="3" s="1"/>
  <c r="AV121" i="3" s="1"/>
  <c r="AR109" i="3"/>
  <c r="AS109" i="3" s="1"/>
  <c r="AT109" i="3" s="1"/>
  <c r="AU109" i="3" s="1"/>
  <c r="AV109" i="3" s="1"/>
  <c r="AR97" i="3"/>
  <c r="AS97" i="3" s="1"/>
  <c r="AT97" i="3" s="1"/>
  <c r="AU97" i="3" s="1"/>
  <c r="AV97" i="3" s="1"/>
  <c r="AR81" i="3"/>
  <c r="AS81" i="3" s="1"/>
  <c r="AT81" i="3" s="1"/>
  <c r="AU81" i="3" s="1"/>
  <c r="AV81" i="3" s="1"/>
  <c r="AR69" i="3"/>
  <c r="AS69" i="3" s="1"/>
  <c r="AT69" i="3" s="1"/>
  <c r="AU69" i="3" s="1"/>
  <c r="AV69" i="3" s="1"/>
  <c r="AR57" i="3"/>
  <c r="AS57" i="3" s="1"/>
  <c r="AT57" i="3" s="1"/>
  <c r="AU57" i="3" s="1"/>
  <c r="AV57" i="3" s="1"/>
  <c r="AR41" i="3"/>
  <c r="AS41" i="3" s="1"/>
  <c r="AT41" i="3" s="1"/>
  <c r="AU41" i="3" s="1"/>
  <c r="AV41" i="3" s="1"/>
  <c r="AR33" i="3"/>
  <c r="AS33" i="3" s="1"/>
  <c r="AT33" i="3" s="1"/>
  <c r="AU33" i="3" s="1"/>
  <c r="AV33" i="3" s="1"/>
  <c r="AR21" i="3"/>
  <c r="AS21" i="3" s="1"/>
  <c r="AT21" i="3" s="1"/>
  <c r="AU21" i="3" s="1"/>
  <c r="AV21" i="3" s="1"/>
  <c r="AR9" i="3"/>
  <c r="AS9" i="3" s="1"/>
  <c r="AT9" i="3" s="1"/>
  <c r="AU9" i="3" s="1"/>
  <c r="AV9" i="3" s="1"/>
  <c r="AR132" i="3"/>
  <c r="AS132" i="3" s="1"/>
  <c r="AT132" i="3" s="1"/>
  <c r="AU132" i="3" s="1"/>
  <c r="AV132" i="3" s="1"/>
  <c r="AR124" i="3"/>
  <c r="AS124" i="3" s="1"/>
  <c r="AT124" i="3" s="1"/>
  <c r="AU124" i="3" s="1"/>
  <c r="AV124" i="3" s="1"/>
  <c r="AR120" i="3"/>
  <c r="AS120" i="3" s="1"/>
  <c r="AT120" i="3" s="1"/>
  <c r="AU120" i="3" s="1"/>
  <c r="AV120" i="3" s="1"/>
  <c r="AR116" i="3"/>
  <c r="AS116" i="3" s="1"/>
  <c r="AT116" i="3" s="1"/>
  <c r="AU116" i="3" s="1"/>
  <c r="AV116" i="3" s="1"/>
  <c r="AR108" i="3"/>
  <c r="AS108" i="3" s="1"/>
  <c r="AT108" i="3" s="1"/>
  <c r="AU108" i="3" s="1"/>
  <c r="AV108" i="3" s="1"/>
  <c r="AR104" i="3"/>
  <c r="AS104" i="3" s="1"/>
  <c r="AT104" i="3" s="1"/>
  <c r="AU104" i="3" s="1"/>
  <c r="AV104" i="3" s="1"/>
  <c r="AR100" i="3"/>
  <c r="AS100" i="3" s="1"/>
  <c r="AT100" i="3" s="1"/>
  <c r="AU100" i="3" s="1"/>
  <c r="AV100" i="3" s="1"/>
  <c r="AR92" i="3"/>
  <c r="AS92" i="3" s="1"/>
  <c r="AT92" i="3" s="1"/>
  <c r="AU92" i="3" s="1"/>
  <c r="AV92" i="3" s="1"/>
  <c r="AR88" i="3"/>
  <c r="AS88" i="3" s="1"/>
  <c r="AT88" i="3" s="1"/>
  <c r="AU88" i="3" s="1"/>
  <c r="AV88" i="3" s="1"/>
  <c r="AR84" i="3"/>
  <c r="AS84" i="3" s="1"/>
  <c r="AT84" i="3" s="1"/>
  <c r="AU84" i="3" s="1"/>
  <c r="AV84" i="3" s="1"/>
  <c r="AR76" i="3"/>
  <c r="AS76" i="3" s="1"/>
  <c r="AT76" i="3" s="1"/>
  <c r="AU76" i="3" s="1"/>
  <c r="AV76" i="3" s="1"/>
  <c r="AR72" i="3"/>
  <c r="AS72" i="3" s="1"/>
  <c r="AT72" i="3" s="1"/>
  <c r="AU72" i="3" s="1"/>
  <c r="AV72" i="3" s="1"/>
  <c r="AR68" i="3"/>
  <c r="AS68" i="3" s="1"/>
  <c r="AT68" i="3" s="1"/>
  <c r="AU68" i="3" s="1"/>
  <c r="AV68" i="3" s="1"/>
  <c r="AR60" i="3"/>
  <c r="AS60" i="3" s="1"/>
  <c r="AT60" i="3" s="1"/>
  <c r="AU60" i="3" s="1"/>
  <c r="AV60" i="3" s="1"/>
  <c r="AR56" i="3"/>
  <c r="AS56" i="3" s="1"/>
  <c r="AT56" i="3" s="1"/>
  <c r="AU56" i="3" s="1"/>
  <c r="AV56" i="3" s="1"/>
  <c r="AR52" i="3"/>
  <c r="AS52" i="3" s="1"/>
  <c r="AT52" i="3" s="1"/>
  <c r="AU52" i="3" s="1"/>
  <c r="AV52" i="3" s="1"/>
  <c r="AR44" i="3"/>
  <c r="AS44" i="3" s="1"/>
  <c r="AT44" i="3" s="1"/>
  <c r="AU44" i="3" s="1"/>
  <c r="AV44" i="3" s="1"/>
  <c r="AR40" i="3"/>
  <c r="AS40" i="3" s="1"/>
  <c r="AT40" i="3" s="1"/>
  <c r="AU40" i="3" s="1"/>
  <c r="AV40" i="3" s="1"/>
  <c r="AR36" i="3"/>
  <c r="AS36" i="3" s="1"/>
  <c r="AT36" i="3" s="1"/>
  <c r="AU36" i="3" s="1"/>
  <c r="AV36" i="3" s="1"/>
  <c r="AR28" i="3"/>
  <c r="AS28" i="3" s="1"/>
  <c r="AT28" i="3" s="1"/>
  <c r="AU28" i="3" s="1"/>
  <c r="AV28" i="3" s="1"/>
  <c r="AR24" i="3"/>
  <c r="AS24" i="3" s="1"/>
  <c r="AT24" i="3" s="1"/>
  <c r="AU24" i="3" s="1"/>
  <c r="AV24" i="3" s="1"/>
  <c r="AR20" i="3"/>
  <c r="AS20" i="3" s="1"/>
  <c r="AT20" i="3" s="1"/>
  <c r="AU20" i="3" s="1"/>
  <c r="AV20" i="3" s="1"/>
  <c r="AR12" i="3"/>
  <c r="AS12" i="3" s="1"/>
  <c r="AT12" i="3" s="1"/>
  <c r="AU12" i="3" s="1"/>
  <c r="AV12" i="3" s="1"/>
  <c r="AR8" i="3"/>
  <c r="AS8" i="3" s="1"/>
  <c r="AT8" i="3" s="1"/>
  <c r="AU8" i="3" s="1"/>
  <c r="AV8" i="3" s="1"/>
  <c r="AR4" i="3"/>
  <c r="AS4" i="3" s="1"/>
  <c r="AT4" i="3" s="1"/>
  <c r="AU4" i="3" s="1"/>
  <c r="AV4" i="3" s="1"/>
  <c r="AR133" i="3"/>
  <c r="AS133" i="3" s="1"/>
  <c r="AT133" i="3" s="1"/>
  <c r="AU133" i="3" s="1"/>
  <c r="AV133" i="3" s="1"/>
  <c r="AR125" i="3"/>
  <c r="AS125" i="3" s="1"/>
  <c r="AT125" i="3" s="1"/>
  <c r="AU125" i="3" s="1"/>
  <c r="AV125" i="3" s="1"/>
  <c r="AR113" i="3"/>
  <c r="AS113" i="3" s="1"/>
  <c r="AT113" i="3" s="1"/>
  <c r="AU113" i="3" s="1"/>
  <c r="AV113" i="3" s="1"/>
  <c r="AR101" i="3"/>
  <c r="AS101" i="3" s="1"/>
  <c r="AT101" i="3" s="1"/>
  <c r="AU101" i="3" s="1"/>
  <c r="AV101" i="3" s="1"/>
  <c r="AR89" i="3"/>
  <c r="AS89" i="3" s="1"/>
  <c r="AT89" i="3" s="1"/>
  <c r="AU89" i="3" s="1"/>
  <c r="AV89" i="3" s="1"/>
  <c r="AR85" i="3"/>
  <c r="AS85" i="3" s="1"/>
  <c r="AT85" i="3" s="1"/>
  <c r="AU85" i="3" s="1"/>
  <c r="AV85" i="3" s="1"/>
  <c r="AR73" i="3"/>
  <c r="AS73" i="3" s="1"/>
  <c r="AT73" i="3" s="1"/>
  <c r="AU73" i="3" s="1"/>
  <c r="AV73" i="3" s="1"/>
  <c r="AR61" i="3"/>
  <c r="AS61" i="3" s="1"/>
  <c r="AT61" i="3" s="1"/>
  <c r="AU61" i="3" s="1"/>
  <c r="AV61" i="3" s="1"/>
  <c r="AR53" i="3"/>
  <c r="AS53" i="3" s="1"/>
  <c r="AT53" i="3" s="1"/>
  <c r="AU53" i="3" s="1"/>
  <c r="AV53" i="3" s="1"/>
  <c r="AR45" i="3"/>
  <c r="AS45" i="3" s="1"/>
  <c r="AT45" i="3" s="1"/>
  <c r="AU45" i="3" s="1"/>
  <c r="AV45" i="3" s="1"/>
  <c r="AR29" i="3"/>
  <c r="AS29" i="3" s="1"/>
  <c r="AT29" i="3" s="1"/>
  <c r="AU29" i="3" s="1"/>
  <c r="AV29" i="3" s="1"/>
  <c r="AR25" i="3"/>
  <c r="AS25" i="3" s="1"/>
  <c r="AT25" i="3" s="1"/>
  <c r="AU25" i="3" s="1"/>
  <c r="AV25" i="3" s="1"/>
  <c r="AR5" i="3"/>
  <c r="AS5" i="3" s="1"/>
  <c r="AT5" i="3" s="1"/>
  <c r="AU5" i="3" s="1"/>
  <c r="AV5" i="3" s="1"/>
  <c r="AR2" i="3"/>
  <c r="AS2" i="3" s="1"/>
  <c r="AT2" i="3" s="1"/>
  <c r="AU2" i="3" s="1"/>
  <c r="AV2" i="3" s="1"/>
  <c r="AR131" i="3"/>
  <c r="AS131" i="3" s="1"/>
  <c r="AT131" i="3" s="1"/>
  <c r="AU131" i="3" s="1"/>
  <c r="AV131" i="3" s="1"/>
  <c r="AR127" i="3"/>
  <c r="AS127" i="3" s="1"/>
  <c r="AT127" i="3" s="1"/>
  <c r="AU127" i="3" s="1"/>
  <c r="AV127" i="3" s="1"/>
  <c r="AR123" i="3"/>
  <c r="AS123" i="3" s="1"/>
  <c r="AT123" i="3" s="1"/>
  <c r="AU123" i="3" s="1"/>
  <c r="AV123" i="3" s="1"/>
  <c r="AR119" i="3"/>
  <c r="AS119" i="3" s="1"/>
  <c r="AT119" i="3" s="1"/>
  <c r="AU119" i="3" s="1"/>
  <c r="AV119" i="3" s="1"/>
  <c r="AR115" i="3"/>
  <c r="AS115" i="3" s="1"/>
  <c r="AT115" i="3" s="1"/>
  <c r="AU115" i="3" s="1"/>
  <c r="AV115" i="3" s="1"/>
  <c r="AR111" i="3"/>
  <c r="AS111" i="3" s="1"/>
  <c r="AT111" i="3" s="1"/>
  <c r="AU111" i="3" s="1"/>
  <c r="AV111" i="3" s="1"/>
  <c r="AR107" i="3"/>
  <c r="AS107" i="3" s="1"/>
  <c r="AT107" i="3" s="1"/>
  <c r="AU107" i="3" s="1"/>
  <c r="AV107" i="3" s="1"/>
  <c r="AR103" i="3"/>
  <c r="AS103" i="3" s="1"/>
  <c r="AT103" i="3" s="1"/>
  <c r="AU103" i="3" s="1"/>
  <c r="AV103" i="3" s="1"/>
  <c r="AR99" i="3"/>
  <c r="AS99" i="3" s="1"/>
  <c r="AT99" i="3" s="1"/>
  <c r="AU99" i="3" s="1"/>
  <c r="AV99" i="3" s="1"/>
  <c r="AR95" i="3"/>
  <c r="AS95" i="3" s="1"/>
  <c r="AT95" i="3" s="1"/>
  <c r="AU95" i="3" s="1"/>
  <c r="AV95" i="3" s="1"/>
  <c r="AR91" i="3"/>
  <c r="AS91" i="3" s="1"/>
  <c r="AT91" i="3" s="1"/>
  <c r="AU91" i="3" s="1"/>
  <c r="AV91" i="3" s="1"/>
  <c r="AR87" i="3"/>
  <c r="AS87" i="3" s="1"/>
  <c r="AT87" i="3" s="1"/>
  <c r="AU87" i="3" s="1"/>
  <c r="AV87" i="3" s="1"/>
  <c r="AR83" i="3"/>
  <c r="AS83" i="3" s="1"/>
  <c r="AT83" i="3" s="1"/>
  <c r="AU83" i="3" s="1"/>
  <c r="AV83" i="3" s="1"/>
  <c r="AR79" i="3"/>
  <c r="AS79" i="3" s="1"/>
  <c r="AT79" i="3" s="1"/>
  <c r="AU79" i="3" s="1"/>
  <c r="AV79" i="3" s="1"/>
  <c r="AR75" i="3"/>
  <c r="AS75" i="3" s="1"/>
  <c r="AT75" i="3" s="1"/>
  <c r="AU75" i="3" s="1"/>
  <c r="AV75" i="3" s="1"/>
  <c r="AR71" i="3"/>
  <c r="AS71" i="3" s="1"/>
  <c r="AT71" i="3" s="1"/>
  <c r="AU71" i="3" s="1"/>
  <c r="AV71" i="3" s="1"/>
  <c r="AR67" i="3"/>
  <c r="AS67" i="3" s="1"/>
  <c r="AT67" i="3" s="1"/>
  <c r="AU67" i="3" s="1"/>
  <c r="AV67" i="3" s="1"/>
  <c r="AR63" i="3"/>
  <c r="AS63" i="3" s="1"/>
  <c r="AT63" i="3" s="1"/>
  <c r="AU63" i="3" s="1"/>
  <c r="AV63" i="3" s="1"/>
  <c r="AR59" i="3"/>
  <c r="AS59" i="3" s="1"/>
  <c r="AT59" i="3" s="1"/>
  <c r="AU59" i="3" s="1"/>
  <c r="AV59" i="3" s="1"/>
  <c r="AR55" i="3"/>
  <c r="AS55" i="3" s="1"/>
  <c r="AT55" i="3" s="1"/>
  <c r="AU55" i="3" s="1"/>
  <c r="AV55" i="3" s="1"/>
  <c r="AR51" i="3"/>
  <c r="AS51" i="3" s="1"/>
  <c r="AT51" i="3" s="1"/>
  <c r="AU51" i="3" s="1"/>
  <c r="AV51" i="3" s="1"/>
  <c r="AR47" i="3"/>
  <c r="AS47" i="3" s="1"/>
  <c r="AT47" i="3" s="1"/>
  <c r="AU47" i="3" s="1"/>
  <c r="AV47" i="3" s="1"/>
  <c r="AR43" i="3"/>
  <c r="AS43" i="3" s="1"/>
  <c r="AT43" i="3" s="1"/>
  <c r="AU43" i="3" s="1"/>
  <c r="AV43" i="3" s="1"/>
  <c r="AR39" i="3"/>
  <c r="AS39" i="3" s="1"/>
  <c r="AT39" i="3" s="1"/>
  <c r="AU39" i="3" s="1"/>
  <c r="AV39" i="3" s="1"/>
  <c r="AR35" i="3"/>
  <c r="AS35" i="3" s="1"/>
  <c r="AT35" i="3" s="1"/>
  <c r="AU35" i="3" s="1"/>
  <c r="AV35" i="3" s="1"/>
  <c r="AR31" i="3"/>
  <c r="AS31" i="3" s="1"/>
  <c r="AT31" i="3" s="1"/>
  <c r="AU31" i="3" s="1"/>
  <c r="AV31" i="3" s="1"/>
  <c r="AR27" i="3"/>
  <c r="AS27" i="3" s="1"/>
  <c r="AT27" i="3" s="1"/>
  <c r="AU27" i="3" s="1"/>
  <c r="AV27" i="3" s="1"/>
  <c r="AR23" i="3"/>
  <c r="AS23" i="3" s="1"/>
  <c r="AT23" i="3" s="1"/>
  <c r="AU23" i="3" s="1"/>
  <c r="AV23" i="3" s="1"/>
  <c r="AR19" i="3"/>
  <c r="AS19" i="3" s="1"/>
  <c r="AT19" i="3" s="1"/>
  <c r="AU19" i="3" s="1"/>
  <c r="AV19" i="3" s="1"/>
  <c r="AR15" i="3"/>
  <c r="AS15" i="3" s="1"/>
  <c r="AT15" i="3" s="1"/>
  <c r="AU15" i="3" s="1"/>
  <c r="AV15" i="3" s="1"/>
  <c r="AR11" i="3"/>
  <c r="AS11" i="3" s="1"/>
  <c r="AT11" i="3" s="1"/>
  <c r="AU11" i="3" s="1"/>
  <c r="AV11" i="3" s="1"/>
  <c r="AR7" i="3"/>
  <c r="AS7" i="3" s="1"/>
  <c r="AT7" i="3" s="1"/>
  <c r="AU7" i="3" s="1"/>
  <c r="AV7" i="3" s="1"/>
  <c r="AR3" i="3"/>
  <c r="AS3" i="3" s="1"/>
  <c r="AT3" i="3" s="1"/>
  <c r="AU3" i="3" s="1"/>
  <c r="AV3" i="3" s="1"/>
  <c r="AR130" i="3"/>
  <c r="AS130" i="3" s="1"/>
  <c r="AT130" i="3" s="1"/>
  <c r="AU130" i="3" s="1"/>
  <c r="AV130" i="3" s="1"/>
  <c r="AR126" i="3"/>
  <c r="AS126" i="3" s="1"/>
  <c r="AT126" i="3" s="1"/>
  <c r="AU126" i="3" s="1"/>
  <c r="AV126" i="3" s="1"/>
  <c r="AR122" i="3"/>
  <c r="AS122" i="3" s="1"/>
  <c r="AT122" i="3" s="1"/>
  <c r="AU122" i="3" s="1"/>
  <c r="AV122" i="3" s="1"/>
  <c r="AR118" i="3"/>
  <c r="AS118" i="3" s="1"/>
  <c r="AT118" i="3" s="1"/>
  <c r="AU118" i="3" s="1"/>
  <c r="AV118" i="3" s="1"/>
  <c r="AR114" i="3"/>
  <c r="AS114" i="3" s="1"/>
  <c r="AT114" i="3" s="1"/>
  <c r="AU114" i="3" s="1"/>
  <c r="AV114" i="3" s="1"/>
  <c r="AR110" i="3"/>
  <c r="AS110" i="3" s="1"/>
  <c r="AT110" i="3" s="1"/>
  <c r="AU110" i="3" s="1"/>
  <c r="AV110" i="3" s="1"/>
  <c r="AR106" i="3"/>
  <c r="AS106" i="3" s="1"/>
  <c r="AT106" i="3" s="1"/>
  <c r="AU106" i="3" s="1"/>
  <c r="AV106" i="3" s="1"/>
  <c r="AR102" i="3"/>
  <c r="AS102" i="3" s="1"/>
  <c r="AT102" i="3" s="1"/>
  <c r="AU102" i="3" s="1"/>
  <c r="AV102" i="3" s="1"/>
  <c r="AR98" i="3"/>
  <c r="AS98" i="3" s="1"/>
  <c r="AT98" i="3" s="1"/>
  <c r="AU98" i="3" s="1"/>
  <c r="AV98" i="3" s="1"/>
  <c r="AR94" i="3"/>
  <c r="AS94" i="3" s="1"/>
  <c r="AT94" i="3" s="1"/>
  <c r="AU94" i="3" s="1"/>
  <c r="AV94" i="3" s="1"/>
  <c r="AR90" i="3"/>
  <c r="AS90" i="3" s="1"/>
  <c r="AT90" i="3" s="1"/>
  <c r="AU90" i="3" s="1"/>
  <c r="AV90" i="3" s="1"/>
  <c r="AR86" i="3"/>
  <c r="AS86" i="3" s="1"/>
  <c r="AT86" i="3" s="1"/>
  <c r="AU86" i="3" s="1"/>
  <c r="AV86" i="3" s="1"/>
  <c r="AR82" i="3"/>
  <c r="AS82" i="3" s="1"/>
  <c r="AT82" i="3" s="1"/>
  <c r="AU82" i="3" s="1"/>
  <c r="AV82" i="3" s="1"/>
  <c r="AR78" i="3"/>
  <c r="AS78" i="3" s="1"/>
  <c r="AT78" i="3" s="1"/>
  <c r="AU78" i="3" s="1"/>
  <c r="AV78" i="3" s="1"/>
  <c r="AR74" i="3"/>
  <c r="AS74" i="3" s="1"/>
  <c r="AT74" i="3" s="1"/>
  <c r="AU74" i="3" s="1"/>
  <c r="AV74" i="3" s="1"/>
  <c r="AR70" i="3"/>
  <c r="AS70" i="3" s="1"/>
  <c r="AT70" i="3" s="1"/>
  <c r="AU70" i="3" s="1"/>
  <c r="AV70" i="3" s="1"/>
  <c r="AR66" i="3"/>
  <c r="AS66" i="3" s="1"/>
  <c r="AT66" i="3" s="1"/>
  <c r="AU66" i="3" s="1"/>
  <c r="AV66" i="3" s="1"/>
  <c r="AR62" i="3"/>
  <c r="AS62" i="3" s="1"/>
  <c r="AT62" i="3" s="1"/>
  <c r="AU62" i="3" s="1"/>
  <c r="AV62" i="3" s="1"/>
  <c r="AR58" i="3"/>
  <c r="AS58" i="3" s="1"/>
  <c r="AT58" i="3" s="1"/>
  <c r="AU58" i="3" s="1"/>
  <c r="AV58" i="3" s="1"/>
  <c r="AR54" i="3"/>
  <c r="AS54" i="3" s="1"/>
  <c r="AT54" i="3" s="1"/>
  <c r="AU54" i="3" s="1"/>
  <c r="AV54" i="3" s="1"/>
  <c r="AR50" i="3"/>
  <c r="AS50" i="3" s="1"/>
  <c r="AT50" i="3" s="1"/>
  <c r="AU50" i="3" s="1"/>
  <c r="AV50" i="3" s="1"/>
  <c r="AR46" i="3"/>
  <c r="AS46" i="3" s="1"/>
  <c r="AT46" i="3" s="1"/>
  <c r="AU46" i="3" s="1"/>
  <c r="AV46" i="3" s="1"/>
  <c r="AR42" i="3"/>
  <c r="AS42" i="3" s="1"/>
  <c r="AT42" i="3" s="1"/>
  <c r="AU42" i="3" s="1"/>
  <c r="AV42" i="3" s="1"/>
  <c r="AR38" i="3"/>
  <c r="AS38" i="3" s="1"/>
  <c r="AT38" i="3" s="1"/>
  <c r="AU38" i="3" s="1"/>
  <c r="AV38" i="3" s="1"/>
  <c r="AR34" i="3"/>
  <c r="AS34" i="3" s="1"/>
  <c r="AT34" i="3" s="1"/>
  <c r="AU34" i="3" s="1"/>
  <c r="AV34" i="3" s="1"/>
  <c r="AR30" i="3"/>
  <c r="AS30" i="3" s="1"/>
  <c r="AT30" i="3" s="1"/>
  <c r="AU30" i="3" s="1"/>
  <c r="AV30" i="3" s="1"/>
  <c r="AR26" i="3"/>
  <c r="AS26" i="3" s="1"/>
  <c r="AT26" i="3" s="1"/>
  <c r="AU26" i="3" s="1"/>
  <c r="AV26" i="3" s="1"/>
  <c r="AR22" i="3"/>
  <c r="AS22" i="3" s="1"/>
  <c r="AT22" i="3" s="1"/>
  <c r="AU22" i="3" s="1"/>
  <c r="AV22" i="3" s="1"/>
  <c r="AR18" i="3"/>
  <c r="AS18" i="3" s="1"/>
  <c r="AT18" i="3" s="1"/>
  <c r="AU18" i="3" s="1"/>
  <c r="AV18" i="3" s="1"/>
  <c r="AR14" i="3"/>
  <c r="AS14" i="3" s="1"/>
  <c r="AT14" i="3" s="1"/>
  <c r="AU14" i="3" s="1"/>
  <c r="AV14" i="3" s="1"/>
  <c r="AR10" i="3"/>
  <c r="AS10" i="3" s="1"/>
  <c r="AT10" i="3" s="1"/>
  <c r="AU10" i="3" s="1"/>
  <c r="AV10" i="3" s="1"/>
  <c r="AR6" i="3"/>
  <c r="AS6" i="3" s="1"/>
  <c r="AT6" i="3" s="1"/>
  <c r="AU6" i="3" s="1"/>
  <c r="AV6" i="3" s="1"/>
  <c r="AK2" i="3"/>
  <c r="AL2" i="3" s="1"/>
  <c r="AM2" i="3" s="1"/>
  <c r="AN2" i="3" s="1"/>
  <c r="AK133" i="3"/>
  <c r="AL133" i="3" s="1"/>
  <c r="AM133" i="3" s="1"/>
  <c r="AN133" i="3" s="1"/>
  <c r="AK129" i="3"/>
  <c r="AL129" i="3" s="1"/>
  <c r="AM129" i="3" s="1"/>
  <c r="AN129" i="3" s="1"/>
  <c r="AK117" i="3"/>
  <c r="AL117" i="3" s="1"/>
  <c r="AM117" i="3" s="1"/>
  <c r="AN117" i="3" s="1"/>
  <c r="AK113" i="3"/>
  <c r="AL113" i="3" s="1"/>
  <c r="AM113" i="3" s="1"/>
  <c r="AN113" i="3" s="1"/>
  <c r="AK101" i="3"/>
  <c r="AL101" i="3" s="1"/>
  <c r="AM101" i="3" s="1"/>
  <c r="AN101" i="3" s="1"/>
  <c r="AK97" i="3"/>
  <c r="AL97" i="3" s="1"/>
  <c r="AM97" i="3" s="1"/>
  <c r="AN97" i="3" s="1"/>
  <c r="AK85" i="3"/>
  <c r="AL85" i="3" s="1"/>
  <c r="AM85" i="3" s="1"/>
  <c r="AN85" i="3" s="1"/>
  <c r="AK81" i="3"/>
  <c r="AL81" i="3" s="1"/>
  <c r="AM81" i="3" s="1"/>
  <c r="AN81" i="3" s="1"/>
  <c r="AK77" i="3"/>
  <c r="AL77" i="3" s="1"/>
  <c r="AM77" i="3" s="1"/>
  <c r="AN77" i="3" s="1"/>
  <c r="AK73" i="3"/>
  <c r="AL73" i="3" s="1"/>
  <c r="AM73" i="3" s="1"/>
  <c r="AN73" i="3" s="1"/>
  <c r="AK69" i="3"/>
  <c r="AL69" i="3" s="1"/>
  <c r="AM69" i="3" s="1"/>
  <c r="AN69" i="3" s="1"/>
  <c r="AK65" i="3"/>
  <c r="AL65" i="3" s="1"/>
  <c r="AM65" i="3" s="1"/>
  <c r="AN65" i="3" s="1"/>
  <c r="AK61" i="3"/>
  <c r="AL61" i="3" s="1"/>
  <c r="AM61" i="3" s="1"/>
  <c r="AN61" i="3" s="1"/>
  <c r="AK57" i="3"/>
  <c r="AL57" i="3" s="1"/>
  <c r="AM57" i="3" s="1"/>
  <c r="AN57" i="3" s="1"/>
  <c r="AK53" i="3"/>
  <c r="AL53" i="3" s="1"/>
  <c r="AM53" i="3" s="1"/>
  <c r="AN53" i="3" s="1"/>
  <c r="AK49" i="3"/>
  <c r="AL49" i="3" s="1"/>
  <c r="AM49" i="3" s="1"/>
  <c r="AN49" i="3" s="1"/>
  <c r="AK45" i="3"/>
  <c r="AL45" i="3" s="1"/>
  <c r="AM45" i="3" s="1"/>
  <c r="AN45" i="3" s="1"/>
  <c r="AK41" i="3"/>
  <c r="AL41" i="3" s="1"/>
  <c r="AM41" i="3" s="1"/>
  <c r="AN41" i="3" s="1"/>
  <c r="AK37" i="3"/>
  <c r="AL37" i="3" s="1"/>
  <c r="AM37" i="3" s="1"/>
  <c r="AN37" i="3" s="1"/>
  <c r="AK33" i="3"/>
  <c r="AL33" i="3" s="1"/>
  <c r="AM33" i="3" s="1"/>
  <c r="AN33" i="3" s="1"/>
  <c r="AK29" i="3"/>
  <c r="AL29" i="3" s="1"/>
  <c r="AM29" i="3" s="1"/>
  <c r="AN29" i="3" s="1"/>
  <c r="AK25" i="3"/>
  <c r="AL25" i="3" s="1"/>
  <c r="AM25" i="3" s="1"/>
  <c r="AN25" i="3" s="1"/>
  <c r="AK21" i="3"/>
  <c r="AL21" i="3" s="1"/>
  <c r="AM21" i="3" s="1"/>
  <c r="AN21" i="3" s="1"/>
  <c r="AK17" i="3"/>
  <c r="AL17" i="3" s="1"/>
  <c r="AM17" i="3" s="1"/>
  <c r="AN17" i="3" s="1"/>
  <c r="AK13" i="3"/>
  <c r="AL13" i="3" s="1"/>
  <c r="AM13" i="3" s="1"/>
  <c r="AN13" i="3" s="1"/>
  <c r="AK9" i="3"/>
  <c r="AL9" i="3" s="1"/>
  <c r="AM9" i="3" s="1"/>
  <c r="AN9" i="3" s="1"/>
  <c r="AK5" i="3"/>
  <c r="AL5" i="3" s="1"/>
  <c r="AM5" i="3" s="1"/>
  <c r="AN5" i="3" s="1"/>
  <c r="P2" i="3"/>
  <c r="Q2" i="3" s="1"/>
  <c r="R2" i="3" s="1"/>
  <c r="C2" i="3"/>
  <c r="R3" i="2"/>
  <c r="S3" i="2"/>
  <c r="T3" i="2"/>
  <c r="U3" i="2"/>
  <c r="V3" i="2"/>
  <c r="W3" i="2"/>
  <c r="R4" i="2"/>
  <c r="S4" i="2"/>
  <c r="T4" i="2"/>
  <c r="U4" i="2"/>
  <c r="V4" i="2"/>
  <c r="W4" i="2"/>
  <c r="R5" i="2"/>
  <c r="S5" i="2"/>
  <c r="T5" i="2"/>
  <c r="U5" i="2"/>
  <c r="V5" i="2"/>
  <c r="W5" i="2"/>
  <c r="R6" i="2"/>
  <c r="S6" i="2"/>
  <c r="T6" i="2"/>
  <c r="U6" i="2"/>
  <c r="V6" i="2"/>
  <c r="W6" i="2"/>
  <c r="R7" i="2"/>
  <c r="S7" i="2"/>
  <c r="T7" i="2"/>
  <c r="U7" i="2"/>
  <c r="V7" i="2"/>
  <c r="W7" i="2"/>
  <c r="R8" i="2"/>
  <c r="S8" i="2"/>
  <c r="T8" i="2"/>
  <c r="U8" i="2"/>
  <c r="V8" i="2"/>
  <c r="W8" i="2"/>
  <c r="R9" i="2"/>
  <c r="S9" i="2"/>
  <c r="T9" i="2"/>
  <c r="U9" i="2"/>
  <c r="V9" i="2"/>
  <c r="W9" i="2"/>
  <c r="R10" i="2"/>
  <c r="S10" i="2"/>
  <c r="T10" i="2"/>
  <c r="U10" i="2"/>
  <c r="V10" i="2"/>
  <c r="W10" i="2"/>
  <c r="R11" i="2"/>
  <c r="S11" i="2"/>
  <c r="T11" i="2"/>
  <c r="U11" i="2"/>
  <c r="V11" i="2"/>
  <c r="W11" i="2"/>
  <c r="R12" i="2"/>
  <c r="S12" i="2"/>
  <c r="T12" i="2"/>
  <c r="U12" i="2"/>
  <c r="V12" i="2"/>
  <c r="W12" i="2"/>
  <c r="R13" i="2"/>
  <c r="S13" i="2"/>
  <c r="T13" i="2"/>
  <c r="U13" i="2"/>
  <c r="V13" i="2"/>
  <c r="W13" i="2"/>
  <c r="R14" i="2"/>
  <c r="S14" i="2"/>
  <c r="T14" i="2"/>
  <c r="U14" i="2"/>
  <c r="V14" i="2"/>
  <c r="W14" i="2"/>
  <c r="R15" i="2"/>
  <c r="S15" i="2"/>
  <c r="T15" i="2"/>
  <c r="U15" i="2"/>
  <c r="V15" i="2"/>
  <c r="W15" i="2"/>
  <c r="R16" i="2"/>
  <c r="S16" i="2"/>
  <c r="T16" i="2"/>
  <c r="U16" i="2"/>
  <c r="V16" i="2"/>
  <c r="W16" i="2"/>
  <c r="R17" i="2"/>
  <c r="S17" i="2"/>
  <c r="T17" i="2"/>
  <c r="U17" i="2"/>
  <c r="V17" i="2"/>
  <c r="W17" i="2"/>
  <c r="R18" i="2"/>
  <c r="S18" i="2"/>
  <c r="T18" i="2"/>
  <c r="U18" i="2"/>
  <c r="V18" i="2"/>
  <c r="W18" i="2"/>
  <c r="R19" i="2"/>
  <c r="S19" i="2"/>
  <c r="T19" i="2"/>
  <c r="U19" i="2"/>
  <c r="V19" i="2"/>
  <c r="W19" i="2"/>
  <c r="R20" i="2"/>
  <c r="S20" i="2"/>
  <c r="T20" i="2"/>
  <c r="U20" i="2"/>
  <c r="V20" i="2"/>
  <c r="W20" i="2"/>
  <c r="R21" i="2"/>
  <c r="S21" i="2"/>
  <c r="T21" i="2"/>
  <c r="U21" i="2"/>
  <c r="V21" i="2"/>
  <c r="W21" i="2"/>
  <c r="R22" i="2"/>
  <c r="S22" i="2"/>
  <c r="T22" i="2"/>
  <c r="U22" i="2"/>
  <c r="V22" i="2"/>
  <c r="W22" i="2"/>
  <c r="R23" i="2"/>
  <c r="S23" i="2"/>
  <c r="T23" i="2"/>
  <c r="U23" i="2"/>
  <c r="V23" i="2"/>
  <c r="W23" i="2"/>
  <c r="R24" i="2"/>
  <c r="S24" i="2"/>
  <c r="T24" i="2"/>
  <c r="U24" i="2"/>
  <c r="V24" i="2"/>
  <c r="W24" i="2"/>
  <c r="R25" i="2"/>
  <c r="S25" i="2"/>
  <c r="T25" i="2"/>
  <c r="U25" i="2"/>
  <c r="V25" i="2"/>
  <c r="W25" i="2"/>
  <c r="R26" i="2"/>
  <c r="S26" i="2"/>
  <c r="T26" i="2"/>
  <c r="U26" i="2"/>
  <c r="V26" i="2"/>
  <c r="W26" i="2"/>
  <c r="R27" i="2"/>
  <c r="S27" i="2"/>
  <c r="T27" i="2"/>
  <c r="U27" i="2"/>
  <c r="V27" i="2"/>
  <c r="W27" i="2"/>
  <c r="R28" i="2"/>
  <c r="S28" i="2"/>
  <c r="T28" i="2"/>
  <c r="U28" i="2"/>
  <c r="V28" i="2"/>
  <c r="W28" i="2"/>
  <c r="R29" i="2"/>
  <c r="S29" i="2"/>
  <c r="T29" i="2"/>
  <c r="U29" i="2"/>
  <c r="V29" i="2"/>
  <c r="W29" i="2"/>
  <c r="R30" i="2"/>
  <c r="S30" i="2"/>
  <c r="T30" i="2"/>
  <c r="U30" i="2"/>
  <c r="V30" i="2"/>
  <c r="W30" i="2"/>
  <c r="R31" i="2"/>
  <c r="S31" i="2"/>
  <c r="T31" i="2"/>
  <c r="U31" i="2"/>
  <c r="V31" i="2"/>
  <c r="W31" i="2"/>
  <c r="R32" i="2"/>
  <c r="S32" i="2"/>
  <c r="T32" i="2"/>
  <c r="U32" i="2"/>
  <c r="V32" i="2"/>
  <c r="W32" i="2"/>
  <c r="R33" i="2"/>
  <c r="S33" i="2"/>
  <c r="T33" i="2"/>
  <c r="U33" i="2"/>
  <c r="V33" i="2"/>
  <c r="W33" i="2"/>
  <c r="R34" i="2"/>
  <c r="S34" i="2"/>
  <c r="T34" i="2"/>
  <c r="U34" i="2"/>
  <c r="V34" i="2"/>
  <c r="W34" i="2"/>
  <c r="R35" i="2"/>
  <c r="S35" i="2"/>
  <c r="T35" i="2"/>
  <c r="U35" i="2"/>
  <c r="V35" i="2"/>
  <c r="W35" i="2"/>
  <c r="R36" i="2"/>
  <c r="S36" i="2"/>
  <c r="T36" i="2"/>
  <c r="U36" i="2"/>
  <c r="V36" i="2"/>
  <c r="W36" i="2"/>
  <c r="R37" i="2"/>
  <c r="S37" i="2"/>
  <c r="T37" i="2"/>
  <c r="U37" i="2"/>
  <c r="V37" i="2"/>
  <c r="W37" i="2"/>
  <c r="R38" i="2"/>
  <c r="S38" i="2"/>
  <c r="T38" i="2"/>
  <c r="U38" i="2"/>
  <c r="V38" i="2"/>
  <c r="W38" i="2"/>
  <c r="R39" i="2"/>
  <c r="S39" i="2"/>
  <c r="T39" i="2"/>
  <c r="U39" i="2"/>
  <c r="V39" i="2"/>
  <c r="W39" i="2"/>
  <c r="R40" i="2"/>
  <c r="S40" i="2"/>
  <c r="T40" i="2"/>
  <c r="U40" i="2"/>
  <c r="V40" i="2"/>
  <c r="W40" i="2"/>
  <c r="R41" i="2"/>
  <c r="S41" i="2"/>
  <c r="T41" i="2"/>
  <c r="U41" i="2"/>
  <c r="V41" i="2"/>
  <c r="W41" i="2"/>
  <c r="R42" i="2"/>
  <c r="S42" i="2"/>
  <c r="T42" i="2"/>
  <c r="U42" i="2"/>
  <c r="V42" i="2"/>
  <c r="W42" i="2"/>
  <c r="R43" i="2"/>
  <c r="S43" i="2"/>
  <c r="T43" i="2"/>
  <c r="U43" i="2"/>
  <c r="V43" i="2"/>
  <c r="W43" i="2"/>
  <c r="R44" i="2"/>
  <c r="S44" i="2"/>
  <c r="T44" i="2"/>
  <c r="U44" i="2"/>
  <c r="V44" i="2"/>
  <c r="W44" i="2"/>
  <c r="R45" i="2"/>
  <c r="S45" i="2"/>
  <c r="T45" i="2"/>
  <c r="U45" i="2"/>
  <c r="V45" i="2"/>
  <c r="W45" i="2"/>
  <c r="R46" i="2"/>
  <c r="S46" i="2"/>
  <c r="T46" i="2"/>
  <c r="U46" i="2"/>
  <c r="V46" i="2"/>
  <c r="W46" i="2"/>
  <c r="R47" i="2"/>
  <c r="S47" i="2"/>
  <c r="T47" i="2"/>
  <c r="U47" i="2"/>
  <c r="V47" i="2"/>
  <c r="W47" i="2"/>
  <c r="R48" i="2"/>
  <c r="S48" i="2"/>
  <c r="T48" i="2"/>
  <c r="U48" i="2"/>
  <c r="V48" i="2"/>
  <c r="W48" i="2"/>
  <c r="R49" i="2"/>
  <c r="S49" i="2"/>
  <c r="T49" i="2"/>
  <c r="U49" i="2"/>
  <c r="V49" i="2"/>
  <c r="W49" i="2"/>
  <c r="R50" i="2"/>
  <c r="S50" i="2"/>
  <c r="T50" i="2"/>
  <c r="U50" i="2"/>
  <c r="V50" i="2"/>
  <c r="W50" i="2"/>
  <c r="R51" i="2"/>
  <c r="S51" i="2"/>
  <c r="T51" i="2"/>
  <c r="U51" i="2"/>
  <c r="V51" i="2"/>
  <c r="W51" i="2"/>
  <c r="R52" i="2"/>
  <c r="S52" i="2"/>
  <c r="T52" i="2"/>
  <c r="U52" i="2"/>
  <c r="V52" i="2"/>
  <c r="W52" i="2"/>
  <c r="R53" i="2"/>
  <c r="S53" i="2"/>
  <c r="T53" i="2"/>
  <c r="U53" i="2"/>
  <c r="V53" i="2"/>
  <c r="W53" i="2"/>
  <c r="R54" i="2"/>
  <c r="S54" i="2"/>
  <c r="T54" i="2"/>
  <c r="U54" i="2"/>
  <c r="V54" i="2"/>
  <c r="W54" i="2"/>
  <c r="R55" i="2"/>
  <c r="S55" i="2"/>
  <c r="T55" i="2"/>
  <c r="U55" i="2"/>
  <c r="V55" i="2"/>
  <c r="W55" i="2"/>
  <c r="R56" i="2"/>
  <c r="S56" i="2"/>
  <c r="T56" i="2"/>
  <c r="U56" i="2"/>
  <c r="V56" i="2"/>
  <c r="W56" i="2"/>
  <c r="R57" i="2"/>
  <c r="S57" i="2"/>
  <c r="T57" i="2"/>
  <c r="U57" i="2"/>
  <c r="V57" i="2"/>
  <c r="W57" i="2"/>
  <c r="R58" i="2"/>
  <c r="S58" i="2"/>
  <c r="T58" i="2"/>
  <c r="U58" i="2"/>
  <c r="V58" i="2"/>
  <c r="W58" i="2"/>
  <c r="R59" i="2"/>
  <c r="S59" i="2"/>
  <c r="T59" i="2"/>
  <c r="U59" i="2"/>
  <c r="V59" i="2"/>
  <c r="W59" i="2"/>
  <c r="R60" i="2"/>
  <c r="S60" i="2"/>
  <c r="T60" i="2"/>
  <c r="U60" i="2"/>
  <c r="V60" i="2"/>
  <c r="W60" i="2"/>
  <c r="R61" i="2"/>
  <c r="S61" i="2"/>
  <c r="T61" i="2"/>
  <c r="U61" i="2"/>
  <c r="V61" i="2"/>
  <c r="W61" i="2"/>
  <c r="R62" i="2"/>
  <c r="S62" i="2"/>
  <c r="T62" i="2"/>
  <c r="U62" i="2"/>
  <c r="V62" i="2"/>
  <c r="W62" i="2"/>
  <c r="R63" i="2"/>
  <c r="S63" i="2"/>
  <c r="T63" i="2"/>
  <c r="U63" i="2"/>
  <c r="V63" i="2"/>
  <c r="W63" i="2"/>
  <c r="R64" i="2"/>
  <c r="S64" i="2"/>
  <c r="T64" i="2"/>
  <c r="U64" i="2"/>
  <c r="V64" i="2"/>
  <c r="W64" i="2"/>
  <c r="R65" i="2"/>
  <c r="S65" i="2"/>
  <c r="T65" i="2"/>
  <c r="U65" i="2"/>
  <c r="V65" i="2"/>
  <c r="W65" i="2"/>
  <c r="R66" i="2"/>
  <c r="S66" i="2"/>
  <c r="T66" i="2"/>
  <c r="U66" i="2"/>
  <c r="V66" i="2"/>
  <c r="W66" i="2"/>
  <c r="R67" i="2"/>
  <c r="S67" i="2"/>
  <c r="T67" i="2"/>
  <c r="U67" i="2"/>
  <c r="V67" i="2"/>
  <c r="W67" i="2"/>
  <c r="R68" i="2"/>
  <c r="S68" i="2"/>
  <c r="T68" i="2"/>
  <c r="U68" i="2"/>
  <c r="V68" i="2"/>
  <c r="W68" i="2"/>
  <c r="R69" i="2"/>
  <c r="S69" i="2"/>
  <c r="T69" i="2"/>
  <c r="U69" i="2"/>
  <c r="V69" i="2"/>
  <c r="W69" i="2"/>
  <c r="R70" i="2"/>
  <c r="S70" i="2"/>
  <c r="T70" i="2"/>
  <c r="U70" i="2"/>
  <c r="V70" i="2"/>
  <c r="W70" i="2"/>
  <c r="R71" i="2"/>
  <c r="S71" i="2"/>
  <c r="T71" i="2"/>
  <c r="U71" i="2"/>
  <c r="V71" i="2"/>
  <c r="W71" i="2"/>
  <c r="R72" i="2"/>
  <c r="S72" i="2"/>
  <c r="T72" i="2"/>
  <c r="U72" i="2"/>
  <c r="V72" i="2"/>
  <c r="W72" i="2"/>
  <c r="R73" i="2"/>
  <c r="S73" i="2"/>
  <c r="T73" i="2"/>
  <c r="U73" i="2"/>
  <c r="V73" i="2"/>
  <c r="W73" i="2"/>
  <c r="R74" i="2"/>
  <c r="S74" i="2"/>
  <c r="T74" i="2"/>
  <c r="U74" i="2"/>
  <c r="V74" i="2"/>
  <c r="W74" i="2"/>
  <c r="R75" i="2"/>
  <c r="S75" i="2"/>
  <c r="T75" i="2"/>
  <c r="U75" i="2"/>
  <c r="V75" i="2"/>
  <c r="W75" i="2"/>
  <c r="R76" i="2"/>
  <c r="S76" i="2"/>
  <c r="T76" i="2"/>
  <c r="U76" i="2"/>
  <c r="V76" i="2"/>
  <c r="W76" i="2"/>
  <c r="R77" i="2"/>
  <c r="S77" i="2"/>
  <c r="T77" i="2"/>
  <c r="U77" i="2"/>
  <c r="V77" i="2"/>
  <c r="W77" i="2"/>
  <c r="R78" i="2"/>
  <c r="S78" i="2"/>
  <c r="T78" i="2"/>
  <c r="U78" i="2"/>
  <c r="V78" i="2"/>
  <c r="W78" i="2"/>
  <c r="R79" i="2"/>
  <c r="S79" i="2"/>
  <c r="T79" i="2"/>
  <c r="U79" i="2"/>
  <c r="V79" i="2"/>
  <c r="W79" i="2"/>
  <c r="R80" i="2"/>
  <c r="S80" i="2"/>
  <c r="T80" i="2"/>
  <c r="U80" i="2"/>
  <c r="V80" i="2"/>
  <c r="W80" i="2"/>
  <c r="R81" i="2"/>
  <c r="S81" i="2"/>
  <c r="T81" i="2"/>
  <c r="U81" i="2"/>
  <c r="V81" i="2"/>
  <c r="W81" i="2"/>
  <c r="R82" i="2"/>
  <c r="S82" i="2"/>
  <c r="T82" i="2"/>
  <c r="U82" i="2"/>
  <c r="V82" i="2"/>
  <c r="W82" i="2"/>
  <c r="R83" i="2"/>
  <c r="S83" i="2"/>
  <c r="T83" i="2"/>
  <c r="U83" i="2"/>
  <c r="V83" i="2"/>
  <c r="W83" i="2"/>
  <c r="R84" i="2"/>
  <c r="S84" i="2"/>
  <c r="T84" i="2"/>
  <c r="U84" i="2"/>
  <c r="V84" i="2"/>
  <c r="W84" i="2"/>
  <c r="R85" i="2"/>
  <c r="S85" i="2"/>
  <c r="T85" i="2"/>
  <c r="U85" i="2"/>
  <c r="V85" i="2"/>
  <c r="W85" i="2"/>
  <c r="R86" i="2"/>
  <c r="S86" i="2"/>
  <c r="T86" i="2"/>
  <c r="U86" i="2"/>
  <c r="V86" i="2"/>
  <c r="W86" i="2"/>
  <c r="R87" i="2"/>
  <c r="S87" i="2"/>
  <c r="T87" i="2"/>
  <c r="U87" i="2"/>
  <c r="V87" i="2"/>
  <c r="W87" i="2"/>
  <c r="R88" i="2"/>
  <c r="S88" i="2"/>
  <c r="T88" i="2"/>
  <c r="U88" i="2"/>
  <c r="V88" i="2"/>
  <c r="W88" i="2"/>
  <c r="R89" i="2"/>
  <c r="S89" i="2"/>
  <c r="T89" i="2"/>
  <c r="U89" i="2"/>
  <c r="V89" i="2"/>
  <c r="W89" i="2"/>
  <c r="R90" i="2"/>
  <c r="S90" i="2"/>
  <c r="T90" i="2"/>
  <c r="U90" i="2"/>
  <c r="V90" i="2"/>
  <c r="W90" i="2"/>
  <c r="R91" i="2"/>
  <c r="S91" i="2"/>
  <c r="T91" i="2"/>
  <c r="U91" i="2"/>
  <c r="V91" i="2"/>
  <c r="W91" i="2"/>
  <c r="R92" i="2"/>
  <c r="S92" i="2"/>
  <c r="T92" i="2"/>
  <c r="U92" i="2"/>
  <c r="V92" i="2"/>
  <c r="W92" i="2"/>
  <c r="R93" i="2"/>
  <c r="S93" i="2"/>
  <c r="T93" i="2"/>
  <c r="U93" i="2"/>
  <c r="V93" i="2"/>
  <c r="W93" i="2"/>
  <c r="R94" i="2"/>
  <c r="S94" i="2"/>
  <c r="T94" i="2"/>
  <c r="U94" i="2"/>
  <c r="V94" i="2"/>
  <c r="W94" i="2"/>
  <c r="R95" i="2"/>
  <c r="S95" i="2"/>
  <c r="T95" i="2"/>
  <c r="U95" i="2"/>
  <c r="V95" i="2"/>
  <c r="W95" i="2"/>
  <c r="R96" i="2"/>
  <c r="S96" i="2"/>
  <c r="T96" i="2"/>
  <c r="U96" i="2"/>
  <c r="V96" i="2"/>
  <c r="W96" i="2"/>
  <c r="R97" i="2"/>
  <c r="S97" i="2"/>
  <c r="T97" i="2"/>
  <c r="U97" i="2"/>
  <c r="V97" i="2"/>
  <c r="W97" i="2"/>
  <c r="R98" i="2"/>
  <c r="S98" i="2"/>
  <c r="T98" i="2"/>
  <c r="U98" i="2"/>
  <c r="V98" i="2"/>
  <c r="W98" i="2"/>
  <c r="R99" i="2"/>
  <c r="S99" i="2"/>
  <c r="T99" i="2"/>
  <c r="U99" i="2"/>
  <c r="V99" i="2"/>
  <c r="W99" i="2"/>
  <c r="R100" i="2"/>
  <c r="S100" i="2"/>
  <c r="T100" i="2"/>
  <c r="U100" i="2"/>
  <c r="V100" i="2"/>
  <c r="W100" i="2"/>
  <c r="R101" i="2"/>
  <c r="S101" i="2"/>
  <c r="T101" i="2"/>
  <c r="U101" i="2"/>
  <c r="V101" i="2"/>
  <c r="W101" i="2"/>
  <c r="R102" i="2"/>
  <c r="S102" i="2"/>
  <c r="T102" i="2"/>
  <c r="U102" i="2"/>
  <c r="V102" i="2"/>
  <c r="W102" i="2"/>
  <c r="R103" i="2"/>
  <c r="S103" i="2"/>
  <c r="T103" i="2"/>
  <c r="U103" i="2"/>
  <c r="V103" i="2"/>
  <c r="W103" i="2"/>
  <c r="R104" i="2"/>
  <c r="S104" i="2"/>
  <c r="T104" i="2"/>
  <c r="U104" i="2"/>
  <c r="V104" i="2"/>
  <c r="W104" i="2"/>
  <c r="R105" i="2"/>
  <c r="S105" i="2"/>
  <c r="T105" i="2"/>
  <c r="U105" i="2"/>
  <c r="V105" i="2"/>
  <c r="W105" i="2"/>
  <c r="R106" i="2"/>
  <c r="S106" i="2"/>
  <c r="T106" i="2"/>
  <c r="U106" i="2"/>
  <c r="V106" i="2"/>
  <c r="W106" i="2"/>
  <c r="R107" i="2"/>
  <c r="S107" i="2"/>
  <c r="T107" i="2"/>
  <c r="U107" i="2"/>
  <c r="V107" i="2"/>
  <c r="W107" i="2"/>
  <c r="R108" i="2"/>
  <c r="S108" i="2"/>
  <c r="T108" i="2"/>
  <c r="U108" i="2"/>
  <c r="V108" i="2"/>
  <c r="W108" i="2"/>
  <c r="R109" i="2"/>
  <c r="S109" i="2"/>
  <c r="T109" i="2"/>
  <c r="U109" i="2"/>
  <c r="V109" i="2"/>
  <c r="W109" i="2"/>
  <c r="R110" i="2"/>
  <c r="S110" i="2"/>
  <c r="T110" i="2"/>
  <c r="U110" i="2"/>
  <c r="V110" i="2"/>
  <c r="W110" i="2"/>
  <c r="R111" i="2"/>
  <c r="S111" i="2"/>
  <c r="T111" i="2"/>
  <c r="U111" i="2"/>
  <c r="V111" i="2"/>
  <c r="W111" i="2"/>
  <c r="R112" i="2"/>
  <c r="S112" i="2"/>
  <c r="T112" i="2"/>
  <c r="U112" i="2"/>
  <c r="V112" i="2"/>
  <c r="W112" i="2"/>
  <c r="R113" i="2"/>
  <c r="S113" i="2"/>
  <c r="T113" i="2"/>
  <c r="U113" i="2"/>
  <c r="V113" i="2"/>
  <c r="W113" i="2"/>
  <c r="R114" i="2"/>
  <c r="S114" i="2"/>
  <c r="T114" i="2"/>
  <c r="U114" i="2"/>
  <c r="V114" i="2"/>
  <c r="W114" i="2"/>
  <c r="R115" i="2"/>
  <c r="S115" i="2"/>
  <c r="T115" i="2"/>
  <c r="U115" i="2"/>
  <c r="V115" i="2"/>
  <c r="W115" i="2"/>
  <c r="R116" i="2"/>
  <c r="S116" i="2"/>
  <c r="T116" i="2"/>
  <c r="U116" i="2"/>
  <c r="V116" i="2"/>
  <c r="W116" i="2"/>
  <c r="R117" i="2"/>
  <c r="S117" i="2"/>
  <c r="T117" i="2"/>
  <c r="U117" i="2"/>
  <c r="V117" i="2"/>
  <c r="W117" i="2"/>
  <c r="R118" i="2"/>
  <c r="S118" i="2"/>
  <c r="T118" i="2"/>
  <c r="U118" i="2"/>
  <c r="V118" i="2"/>
  <c r="W118" i="2"/>
  <c r="R119" i="2"/>
  <c r="S119" i="2"/>
  <c r="T119" i="2"/>
  <c r="U119" i="2"/>
  <c r="V119" i="2"/>
  <c r="W119" i="2"/>
  <c r="R120" i="2"/>
  <c r="S120" i="2"/>
  <c r="T120" i="2"/>
  <c r="U120" i="2"/>
  <c r="V120" i="2"/>
  <c r="W120" i="2"/>
  <c r="R121" i="2"/>
  <c r="S121" i="2"/>
  <c r="T121" i="2"/>
  <c r="U121" i="2"/>
  <c r="V121" i="2"/>
  <c r="W121" i="2"/>
  <c r="R122" i="2"/>
  <c r="S122" i="2"/>
  <c r="T122" i="2"/>
  <c r="U122" i="2"/>
  <c r="V122" i="2"/>
  <c r="W122" i="2"/>
  <c r="R123" i="2"/>
  <c r="S123" i="2"/>
  <c r="T123" i="2"/>
  <c r="U123" i="2"/>
  <c r="V123" i="2"/>
  <c r="W123" i="2"/>
  <c r="R124" i="2"/>
  <c r="S124" i="2"/>
  <c r="T124" i="2"/>
  <c r="U124" i="2"/>
  <c r="V124" i="2"/>
  <c r="W124" i="2"/>
  <c r="R125" i="2"/>
  <c r="S125" i="2"/>
  <c r="T125" i="2"/>
  <c r="U125" i="2"/>
  <c r="V125" i="2"/>
  <c r="W125" i="2"/>
  <c r="R126" i="2"/>
  <c r="S126" i="2"/>
  <c r="T126" i="2"/>
  <c r="U126" i="2"/>
  <c r="V126" i="2"/>
  <c r="W126" i="2"/>
  <c r="R127" i="2"/>
  <c r="S127" i="2"/>
  <c r="T127" i="2"/>
  <c r="U127" i="2"/>
  <c r="V127" i="2"/>
  <c r="W127" i="2"/>
  <c r="R128" i="2"/>
  <c r="S128" i="2"/>
  <c r="T128" i="2"/>
  <c r="U128" i="2"/>
  <c r="V128" i="2"/>
  <c r="W128" i="2"/>
  <c r="R129" i="2"/>
  <c r="S129" i="2"/>
  <c r="T129" i="2"/>
  <c r="U129" i="2"/>
  <c r="V129" i="2"/>
  <c r="W129" i="2"/>
  <c r="R130" i="2"/>
  <c r="S130" i="2"/>
  <c r="T130" i="2"/>
  <c r="U130" i="2"/>
  <c r="V130" i="2"/>
  <c r="W130" i="2"/>
  <c r="R131" i="2"/>
  <c r="S131" i="2"/>
  <c r="T131" i="2"/>
  <c r="U131" i="2"/>
  <c r="V131" i="2"/>
  <c r="W131" i="2"/>
  <c r="R132" i="2"/>
  <c r="S132" i="2"/>
  <c r="T132" i="2"/>
  <c r="U132" i="2"/>
  <c r="V132" i="2"/>
  <c r="W132" i="2"/>
  <c r="R133" i="2"/>
  <c r="S133" i="2"/>
  <c r="T133" i="2"/>
  <c r="U133" i="2"/>
  <c r="V133" i="2"/>
  <c r="W133" i="2"/>
  <c r="Z33" i="2"/>
  <c r="Z37" i="2" l="1"/>
  <c r="AA35" i="2"/>
  <c r="AA38" i="2"/>
  <c r="AA37" i="2"/>
  <c r="Z38" i="2"/>
  <c r="Z34" i="2"/>
  <c r="AA34" i="2"/>
  <c r="Z36" i="2"/>
  <c r="AA33" i="2"/>
  <c r="AA36" i="2"/>
  <c r="Z35"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Z28" i="2" l="1"/>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O131" i="2"/>
  <c r="P131" i="2" s="1"/>
  <c r="O132" i="2"/>
  <c r="P132" i="2" s="1"/>
  <c r="O133" i="2"/>
  <c r="P133" i="2" s="1"/>
  <c r="P114" i="2"/>
  <c r="P130" i="2"/>
  <c r="Z24" i="2" l="1"/>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Z16" i="2"/>
  <c r="Z15" i="2"/>
  <c r="Z14" i="2"/>
  <c r="Z13" i="2"/>
  <c r="Z12" i="2"/>
  <c r="Z11" i="2"/>
  <c r="Z10" i="2"/>
  <c r="Z9" i="2"/>
  <c r="Z8" i="2"/>
  <c r="Z7" i="2"/>
  <c r="Z3" i="2"/>
  <c r="Z25" i="2" s="1"/>
  <c r="Z20" i="2" l="1"/>
  <c r="Z21" i="2"/>
  <c r="U2" i="3"/>
  <c r="V2" i="3" s="1"/>
  <c r="W2" i="3" s="1"/>
  <c r="X2" i="3" s="1"/>
</calcChain>
</file>

<file path=xl/connections.xml><?xml version="1.0" encoding="utf-8"?>
<connections xmlns="http://schemas.openxmlformats.org/spreadsheetml/2006/main">
  <connection id="1"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2" keepAlive="1" name="Query - Table4 (2)" description="Connection to the 'Table4 (2)' query in the workbook." type="5" refreshedVersion="0" background="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<sst xmlns="http://schemas.openxmlformats.org/spreadsheetml/2006/main" count="5590" uniqueCount="1355">
  <si>
    <r>
      <rPr>
        <sz val="11"/>
        <rFont val="Arial"/>
      </rPr>
      <t>Patient_ID</t>
    </r>
  </si>
  <si>
    <r>
      <rPr>
        <sz val="11"/>
        <rFont val="Arial"/>
      </rPr>
      <t>Name</t>
    </r>
  </si>
  <si>
    <r>
      <rPr>
        <sz val="11"/>
        <rFont val="Arial"/>
      </rPr>
      <t>Age</t>
    </r>
  </si>
  <si>
    <r>
      <rPr>
        <sz val="11"/>
        <rFont val="Arial"/>
      </rPr>
      <t>Gender</t>
    </r>
  </si>
  <si>
    <r>
      <rPr>
        <sz val="11"/>
        <rFont val="Arial"/>
      </rPr>
      <t>Date_of_Admission</t>
    </r>
  </si>
  <si>
    <r>
      <rPr>
        <sz val="11"/>
        <rFont val="Arial"/>
      </rPr>
      <t>Date_of_Diagnosis</t>
    </r>
  </si>
  <si>
    <r>
      <rPr>
        <sz val="11"/>
        <rFont val="Arial"/>
      </rPr>
      <t>Date_of_Treatment_Start</t>
    </r>
  </si>
  <si>
    <r>
      <rPr>
        <sz val="11"/>
        <rFont val="Arial"/>
      </rPr>
      <t>Date_of_Surgery</t>
    </r>
  </si>
  <si>
    <r>
      <rPr>
        <sz val="11"/>
        <rFont val="Arial"/>
      </rPr>
      <t>Date_of_Discharge</t>
    </r>
  </si>
  <si>
    <r>
      <rPr>
        <sz val="11"/>
        <rFont val="Arial"/>
      </rPr>
      <t>Follow_up_Visit</t>
    </r>
  </si>
  <si>
    <r>
      <rPr>
        <sz val="11"/>
        <rFont val="Arial"/>
      </rPr>
      <t>31/Oct/2023</t>
    </r>
  </si>
  <si>
    <r>
      <rPr>
        <sz val="11"/>
        <rFont val="Arial"/>
      </rPr>
      <t>01/05/2024</t>
    </r>
  </si>
  <si>
    <r>
      <rPr>
        <sz val="11"/>
        <rFont val="Arial"/>
      </rPr>
      <t>2023-11-06</t>
    </r>
  </si>
  <si>
    <r>
      <rPr>
        <sz val="11"/>
        <rFont val="Arial"/>
      </rPr>
      <t>26 December 2024</t>
    </r>
  </si>
  <si>
    <r>
      <rPr>
        <sz val="11"/>
        <rFont val="Arial"/>
      </rPr>
      <t>N/A</t>
    </r>
  </si>
  <si>
    <r>
      <rPr>
        <sz val="11"/>
        <rFont val="Arial"/>
      </rPr>
      <t>2023-10-08</t>
    </r>
  </si>
  <si>
    <r>
      <rPr>
        <sz val="11"/>
        <rFont val="Arial"/>
      </rPr>
      <t>25 February 2023</t>
    </r>
  </si>
  <si>
    <r>
      <rPr>
        <sz val="11"/>
        <rFont val="Arial"/>
      </rPr>
      <t>10/27/2023</t>
    </r>
  </si>
  <si>
    <r>
      <rPr>
        <sz val="11"/>
        <rFont val="Arial"/>
      </rPr>
      <t>27.06.2024</t>
    </r>
  </si>
  <si>
    <r>
      <rPr>
        <sz val="11"/>
        <rFont val="Arial"/>
      </rPr>
      <t>2023-04-16</t>
    </r>
  </si>
  <si>
    <r>
      <rPr>
        <sz val="11"/>
        <rFont val="Arial"/>
      </rPr>
      <t>2024/08/10</t>
    </r>
  </si>
  <si>
    <r>
      <rPr>
        <sz val="11"/>
        <rFont val="Arial"/>
      </rPr>
      <t>27.03.2024</t>
    </r>
  </si>
  <si>
    <r>
      <rPr>
        <sz val="11"/>
        <rFont val="Arial"/>
      </rPr>
      <t>2023-07-08</t>
    </r>
  </si>
  <si>
    <r>
      <rPr>
        <sz val="11"/>
        <rFont val="Arial"/>
      </rPr>
      <t>11 March 2024</t>
    </r>
  </si>
  <si>
    <r>
      <rPr>
        <sz val="11"/>
        <rFont val="Arial"/>
      </rPr>
      <t>N/A</t>
    </r>
  </si>
  <si>
    <r>
      <rPr>
        <sz val="11"/>
        <rFont val="Arial"/>
      </rPr>
      <t>Mar 08, 2023</t>
    </r>
  </si>
  <si>
    <r>
      <rPr>
        <sz val="11"/>
        <rFont val="Arial"/>
      </rPr>
      <t>18-05-2024</t>
    </r>
  </si>
  <si>
    <r>
      <rPr>
        <sz val="11"/>
        <rFont val="Arial"/>
      </rPr>
      <t>N/A</t>
    </r>
  </si>
  <si>
    <r>
      <rPr>
        <sz val="11"/>
        <rFont val="Arial"/>
      </rPr>
      <t>2024-10-06</t>
    </r>
  </si>
  <si>
    <r>
      <rPr>
        <sz val="11"/>
        <rFont val="Arial"/>
      </rPr>
      <t>06/05/2023</t>
    </r>
  </si>
  <si>
    <r>
      <rPr>
        <sz val="11"/>
        <rFont val="Arial"/>
      </rPr>
      <t>2024/07/30</t>
    </r>
  </si>
  <si>
    <r>
      <rPr>
        <sz val="11"/>
        <rFont val="Arial"/>
      </rPr>
      <t>29/Mar/2023</t>
    </r>
  </si>
  <si>
    <r>
      <rPr>
        <sz val="11"/>
        <rFont val="Arial"/>
      </rPr>
      <t>N/A</t>
    </r>
  </si>
  <si>
    <r>
      <rPr>
        <sz val="11"/>
        <rFont val="Arial"/>
      </rPr>
      <t>20213-01-01</t>
    </r>
  </si>
  <si>
    <r>
      <rPr>
        <sz val="11"/>
        <rFont val="Arial"/>
      </rPr>
      <t>02 May 2023</t>
    </r>
  </si>
  <si>
    <r>
      <rPr>
        <sz val="11"/>
        <rFont val="Arial"/>
      </rPr>
      <t>12/09/2024</t>
    </r>
  </si>
  <si>
    <r>
      <rPr>
        <sz val="11"/>
        <rFont val="Arial"/>
      </rPr>
      <t>02/Mar/2024</t>
    </r>
  </si>
  <si>
    <r>
      <rPr>
        <sz val="11"/>
        <rFont val="Arial"/>
      </rPr>
      <t>2022-01-01 (estimated)</t>
    </r>
  </si>
  <si>
    <r>
      <rPr>
        <sz val="11"/>
        <rFont val="Arial"/>
      </rPr>
      <t>N/A</t>
    </r>
  </si>
  <si>
    <r>
      <rPr>
        <sz val="11"/>
        <rFont val="Arial"/>
      </rPr>
      <t>2020-13-01</t>
    </r>
  </si>
  <si>
    <r>
      <rPr>
        <sz val="11"/>
        <rFont val="Arial"/>
      </rPr>
      <t>Unknown</t>
    </r>
  </si>
  <si>
    <r>
      <rPr>
        <sz val="11"/>
        <rFont val="Arial"/>
      </rPr>
      <t>2024/03/29</t>
    </r>
  </si>
  <si>
    <r>
      <rPr>
        <sz val="11"/>
        <rFont val="Arial"/>
      </rPr>
      <t>Aug 25, 2024</t>
    </r>
  </si>
  <si>
    <r>
      <rPr>
        <sz val="11"/>
        <rFont val="Arial"/>
      </rPr>
      <t>16/12/2023</t>
    </r>
  </si>
  <si>
    <r>
      <rPr>
        <sz val="11"/>
        <rFont val="Arial"/>
      </rPr>
      <t>2023-11-09</t>
    </r>
  </si>
  <si>
    <r>
      <rPr>
        <sz val="11"/>
        <rFont val="Arial"/>
      </rPr>
      <t>None</t>
    </r>
  </si>
  <si>
    <r>
      <rPr>
        <sz val="11"/>
        <rFont val="Arial"/>
      </rPr>
      <t>16-09-2024</t>
    </r>
  </si>
  <si>
    <r>
      <rPr>
        <sz val="11"/>
        <rFont val="Arial"/>
      </rPr>
      <t>2022-11-01abc</t>
    </r>
  </si>
  <si>
    <r>
      <rPr>
        <sz val="11"/>
        <rFont val="Arial"/>
      </rPr>
      <t>01/Aug/2023</t>
    </r>
  </si>
  <si>
    <r>
      <rPr>
        <sz val="11"/>
        <rFont val="Arial"/>
      </rPr>
      <t>20213-01-01</t>
    </r>
  </si>
  <si>
    <r>
      <rPr>
        <sz val="11"/>
        <rFont val="Arial"/>
      </rPr>
      <t>2020-13-01</t>
    </r>
  </si>
  <si>
    <r>
      <rPr>
        <sz val="11"/>
        <rFont val="Arial"/>
      </rPr>
      <t>28-09-2023</t>
    </r>
  </si>
  <si>
    <r>
      <rPr>
        <sz val="11"/>
        <rFont val="Arial"/>
      </rPr>
      <t>03/04/2023</t>
    </r>
  </si>
  <si>
    <r>
      <rPr>
        <sz val="11"/>
        <rFont val="Arial"/>
      </rPr>
      <t>N/A</t>
    </r>
  </si>
  <si>
    <r>
      <rPr>
        <sz val="11"/>
        <rFont val="Arial"/>
      </rPr>
      <t>01/02/03</t>
    </r>
  </si>
  <si>
    <r>
      <rPr>
        <sz val="11"/>
        <rFont val="Arial"/>
      </rPr>
      <t>09/03/2023</t>
    </r>
  </si>
  <si>
    <r>
      <rPr>
        <sz val="11"/>
        <rFont val="Arial"/>
      </rPr>
      <t>Unknown</t>
    </r>
  </si>
  <si>
    <r>
      <rPr>
        <sz val="11"/>
        <rFont val="Arial"/>
      </rPr>
      <t>19-07-2024</t>
    </r>
  </si>
  <si>
    <r>
      <rPr>
        <sz val="11"/>
        <rFont val="Arial"/>
      </rPr>
      <t>N/A</t>
    </r>
  </si>
  <si>
    <r>
      <rPr>
        <sz val="11"/>
        <rFont val="Arial"/>
      </rPr>
      <t>2023-06-10</t>
    </r>
  </si>
  <si>
    <r>
      <rPr>
        <sz val="11"/>
        <rFont val="Arial"/>
      </rPr>
      <t>None</t>
    </r>
  </si>
  <si>
    <r>
      <rPr>
        <sz val="11"/>
        <rFont val="Arial"/>
      </rPr>
      <t>01/02/03</t>
    </r>
  </si>
  <si>
    <r>
      <rPr>
        <sz val="11"/>
        <rFont val="Arial"/>
      </rPr>
      <t>2023-10-26</t>
    </r>
  </si>
  <si>
    <r>
      <rPr>
        <sz val="11"/>
        <rFont val="Arial"/>
      </rPr>
      <t>N/A</t>
    </r>
  </si>
  <si>
    <r>
      <rPr>
        <sz val="11"/>
        <rFont val="Arial"/>
      </rPr>
      <t>Late March 2023</t>
    </r>
  </si>
  <si>
    <r>
      <rPr>
        <sz val="11"/>
        <rFont val="Arial"/>
      </rPr>
      <t>Unknown</t>
    </r>
  </si>
  <si>
    <r>
      <rPr>
        <sz val="11"/>
        <rFont val="Arial"/>
      </rPr>
      <t>April 31, 2022</t>
    </r>
  </si>
  <si>
    <r>
      <rPr>
        <sz val="11"/>
        <rFont val="Arial"/>
      </rPr>
      <t>2023/08/26</t>
    </r>
  </si>
  <si>
    <r>
      <rPr>
        <sz val="11"/>
        <rFont val="Arial"/>
      </rPr>
      <t>08/11/2024</t>
    </r>
  </si>
  <si>
    <r>
      <rPr>
        <sz val="11"/>
        <rFont val="Arial"/>
      </rPr>
      <t>2024/12/24</t>
    </r>
  </si>
  <si>
    <r>
      <rPr>
        <sz val="11"/>
        <rFont val="Arial"/>
      </rPr>
      <t>05/12/2024</t>
    </r>
  </si>
  <si>
    <r>
      <rPr>
        <sz val="11"/>
        <rFont val="Arial"/>
      </rPr>
      <t>01/02/03</t>
    </r>
  </si>
  <si>
    <r>
      <rPr>
        <sz val="11"/>
        <rFont val="Arial"/>
      </rPr>
      <t>29/02/2024</t>
    </r>
  </si>
  <si>
    <r>
      <rPr>
        <sz val="11"/>
        <rFont val="Arial"/>
      </rPr>
      <t>09/06/2024</t>
    </r>
  </si>
  <si>
    <r>
      <rPr>
        <sz val="11"/>
        <rFont val="Arial"/>
      </rPr>
      <t>April 31, 2022</t>
    </r>
  </si>
  <si>
    <r>
      <rPr>
        <sz val="11"/>
        <rFont val="Arial"/>
      </rPr>
      <t>?</t>
    </r>
  </si>
  <si>
    <r>
      <rPr>
        <sz val="11"/>
        <rFont val="Arial"/>
      </rPr>
      <t>14/Mar/2023</t>
    </r>
  </si>
  <si>
    <r>
      <rPr>
        <sz val="11"/>
        <rFont val="Arial"/>
      </rPr>
      <t>04/04/2023</t>
    </r>
  </si>
  <si>
    <r>
      <rPr>
        <sz val="11"/>
        <rFont val="Arial"/>
      </rPr>
      <t>2023-02-30</t>
    </r>
  </si>
  <si>
    <r>
      <rPr>
        <sz val="11"/>
        <rFont val="Arial"/>
      </rPr>
      <t>28/Sep/2023</t>
    </r>
  </si>
  <si>
    <r>
      <rPr>
        <sz val="11"/>
        <rFont val="Arial"/>
      </rPr>
      <t>2022-11-01abc</t>
    </r>
  </si>
  <si>
    <r>
      <rPr>
        <sz val="11"/>
        <rFont val="Arial"/>
      </rPr>
      <t>24/12/2023</t>
    </r>
  </si>
  <si>
    <r>
      <rPr>
        <sz val="11"/>
        <rFont val="Arial"/>
      </rPr>
      <t>11-03-2024</t>
    </r>
  </si>
  <si>
    <r>
      <rPr>
        <sz val="11"/>
        <rFont val="Arial"/>
      </rPr>
      <t>04/24/2023</t>
    </r>
  </si>
  <si>
    <r>
      <rPr>
        <sz val="11"/>
        <rFont val="Arial"/>
      </rPr>
      <t>N/A</t>
    </r>
  </si>
  <si>
    <r>
      <rPr>
        <sz val="11"/>
        <rFont val="Arial"/>
      </rPr>
      <t>20213-01-01</t>
    </r>
  </si>
  <si>
    <r>
      <rPr>
        <sz val="11"/>
        <rFont val="Arial"/>
      </rPr>
      <t>2024-10-20 00:00:00</t>
    </r>
  </si>
  <si>
    <r>
      <rPr>
        <sz val="11"/>
        <rFont val="Arial"/>
      </rPr>
      <t>2023/10/05</t>
    </r>
  </si>
  <si>
    <r>
      <rPr>
        <sz val="11"/>
        <rFont val="Arial"/>
      </rPr>
      <t>Late March 2023</t>
    </r>
  </si>
  <si>
    <r>
      <rPr>
        <sz val="11"/>
        <rFont val="Arial"/>
      </rPr>
      <t>02/24/2023</t>
    </r>
  </si>
  <si>
    <r>
      <rPr>
        <sz val="11"/>
        <rFont val="Arial"/>
      </rPr>
      <t>Late March 2023</t>
    </r>
  </si>
  <si>
    <r>
      <rPr>
        <sz val="11"/>
        <rFont val="Arial"/>
      </rPr>
      <t>2024-05-29 00:00:00</t>
    </r>
  </si>
  <si>
    <r>
      <rPr>
        <sz val="11"/>
        <rFont val="Arial"/>
      </rPr>
      <t>08/19/2023</t>
    </r>
  </si>
  <si>
    <r>
      <rPr>
        <sz val="11"/>
        <rFont val="Arial"/>
      </rPr>
      <t>03/04/2023</t>
    </r>
  </si>
  <si>
    <r>
      <rPr>
        <sz val="11"/>
        <rFont val="Arial"/>
      </rPr>
      <t>2022-11-01abc</t>
    </r>
  </si>
  <si>
    <r>
      <rPr>
        <sz val="11"/>
        <rFont val="Arial"/>
      </rPr>
      <t>09/30/2023</t>
    </r>
  </si>
  <si>
    <r>
      <rPr>
        <sz val="11"/>
        <rFont val="Arial"/>
      </rPr>
      <t>23-Jun-2024</t>
    </r>
  </si>
  <si>
    <r>
      <rPr>
        <sz val="11"/>
        <rFont val="Arial"/>
      </rPr>
      <t>2023-02-30</t>
    </r>
  </si>
  <si>
    <r>
      <rPr>
        <sz val="11"/>
        <rFont val="Arial"/>
      </rPr>
      <t>2023-03-15</t>
    </r>
  </si>
  <si>
    <r>
      <rPr>
        <sz val="11"/>
        <rFont val="Arial"/>
      </rPr>
      <t>Late March 2023</t>
    </r>
  </si>
  <si>
    <r>
      <rPr>
        <sz val="11"/>
        <rFont val="Arial"/>
      </rPr>
      <t>2023-03-25 00:00:00</t>
    </r>
  </si>
  <si>
    <r>
      <rPr>
        <sz val="11"/>
        <rFont val="Arial"/>
      </rPr>
      <t>N/A</t>
    </r>
  </si>
  <si>
    <r>
      <rPr>
        <sz val="11"/>
        <rFont val="Arial"/>
      </rPr>
      <t>20213-01-01</t>
    </r>
  </si>
  <si>
    <r>
      <rPr>
        <sz val="11"/>
        <rFont val="Arial"/>
      </rPr>
      <t>2022-11-01abc</t>
    </r>
  </si>
  <si>
    <r>
      <rPr>
        <sz val="11"/>
        <rFont val="Arial"/>
      </rPr>
      <t>2023/11/11</t>
    </r>
  </si>
  <si>
    <r>
      <rPr>
        <sz val="11"/>
        <rFont val="Arial"/>
      </rPr>
      <t>N/A</t>
    </r>
  </si>
  <si>
    <r>
      <rPr>
        <sz val="11"/>
        <rFont val="Arial"/>
      </rPr>
      <t>2023-02-30</t>
    </r>
  </si>
  <si>
    <r>
      <rPr>
        <sz val="11"/>
        <rFont val="Arial"/>
      </rPr>
      <t>25-03-2024</t>
    </r>
  </si>
  <si>
    <r>
      <rPr>
        <sz val="11"/>
        <rFont val="Arial"/>
      </rPr>
      <t>2023-02-30</t>
    </r>
  </si>
  <si>
    <r>
      <rPr>
        <sz val="11"/>
        <rFont val="Arial"/>
      </rPr>
      <t>2020-13-01</t>
    </r>
  </si>
  <si>
    <r>
      <rPr>
        <sz val="11"/>
        <rFont val="Arial"/>
      </rPr>
      <t>2024/04/24</t>
    </r>
  </si>
  <si>
    <r>
      <rPr>
        <sz val="11"/>
        <rFont val="Arial"/>
      </rPr>
      <t>N/A</t>
    </r>
  </si>
  <si>
    <r>
      <rPr>
        <sz val="11"/>
        <rFont val="Arial"/>
      </rPr>
      <t>--</t>
    </r>
  </si>
  <si>
    <r>
      <rPr>
        <sz val="11"/>
        <rFont val="Arial"/>
      </rPr>
      <t>Dec 17, 2024</t>
    </r>
  </si>
  <si>
    <r>
      <rPr>
        <sz val="11"/>
        <rFont val="Arial"/>
      </rPr>
      <t>2020-13-01</t>
    </r>
  </si>
  <si>
    <r>
      <rPr>
        <sz val="11"/>
        <rFont val="Arial"/>
      </rPr>
      <t>15/Sep/2023</t>
    </r>
  </si>
  <si>
    <r>
      <rPr>
        <sz val="11"/>
        <rFont val="Arial"/>
      </rPr>
      <t>2022-01-01 (estimated)</t>
    </r>
  </si>
  <si>
    <r>
      <rPr>
        <sz val="11"/>
        <rFont val="Arial"/>
      </rPr>
      <t>2020-13-01</t>
    </r>
  </si>
  <si>
    <r>
      <rPr>
        <sz val="11"/>
        <rFont val="Arial"/>
      </rPr>
      <t>06 October 2023</t>
    </r>
  </si>
  <si>
    <r>
      <rPr>
        <sz val="11"/>
        <rFont val="Arial"/>
      </rPr>
      <t>April 31, 2022</t>
    </r>
  </si>
  <si>
    <r>
      <rPr>
        <sz val="11"/>
        <rFont val="Arial"/>
      </rPr>
      <t>?</t>
    </r>
  </si>
  <si>
    <r>
      <rPr>
        <sz val="11"/>
        <rFont val="Arial"/>
      </rPr>
      <t>20213-01-01</t>
    </r>
  </si>
  <si>
    <r>
      <rPr>
        <sz val="11"/>
        <rFont val="Arial"/>
      </rPr>
      <t>?</t>
    </r>
  </si>
  <si>
    <r>
      <rPr>
        <sz val="11"/>
        <rFont val="Arial"/>
      </rPr>
      <t>N/A</t>
    </r>
  </si>
  <si>
    <r>
      <rPr>
        <sz val="11"/>
        <rFont val="Arial"/>
      </rPr>
      <t>2020-13-01</t>
    </r>
  </si>
  <si>
    <r>
      <rPr>
        <sz val="11"/>
        <rFont val="Arial"/>
      </rPr>
      <t>N/A</t>
    </r>
  </si>
  <si>
    <r>
      <rPr>
        <sz val="11"/>
        <rFont val="Arial"/>
      </rPr>
      <t>20213-01-01</t>
    </r>
  </si>
  <si>
    <r>
      <rPr>
        <sz val="11"/>
        <rFont val="Arial"/>
      </rPr>
      <t>13-Dec-2024</t>
    </r>
  </si>
  <si>
    <r>
      <rPr>
        <sz val="11"/>
        <rFont val="Arial"/>
      </rPr>
      <t>2023-03-24</t>
    </r>
  </si>
  <si>
    <r>
      <rPr>
        <sz val="11"/>
        <rFont val="Arial"/>
      </rPr>
      <t>16-Mar-2024</t>
    </r>
  </si>
  <si>
    <r>
      <rPr>
        <sz val="11"/>
        <rFont val="Arial"/>
      </rPr>
      <t>?</t>
    </r>
  </si>
  <si>
    <r>
      <rPr>
        <sz val="11"/>
        <rFont val="Arial"/>
      </rPr>
      <t>18.03.2024</t>
    </r>
  </si>
  <si>
    <r>
      <rPr>
        <sz val="11"/>
        <rFont val="Arial"/>
      </rPr>
      <t>None</t>
    </r>
  </si>
  <si>
    <r>
      <rPr>
        <sz val="11"/>
        <rFont val="Arial"/>
      </rPr>
      <t>04-Apr-2024</t>
    </r>
  </si>
  <si>
    <r>
      <rPr>
        <sz val="11"/>
        <rFont val="Arial"/>
      </rPr>
      <t>01/02/03</t>
    </r>
  </si>
  <si>
    <t>Patient_ID</t>
  </si>
  <si>
    <t>Name</t>
  </si>
  <si>
    <t>Age</t>
  </si>
  <si>
    <t>Gender</t>
  </si>
  <si>
    <t>Date_of_Admission</t>
  </si>
  <si>
    <t>Date_of_Diagnosis</t>
  </si>
  <si>
    <t>Date_of_Treatment_Start</t>
  </si>
  <si>
    <t>Date_of_Surgery</t>
  </si>
  <si>
    <t>Date_of_Discharge</t>
  </si>
  <si>
    <t>Follow_up_Visit</t>
  </si>
  <si>
    <t>PID1000</t>
  </si>
  <si>
    <t>Male</t>
  </si>
  <si>
    <t>12/13-2023</t>
  </si>
  <si>
    <t>Sep 13, 2024</t>
  </si>
  <si>
    <t>10.11.2023</t>
  </si>
  <si>
    <t>20213-01-01</t>
  </si>
  <si>
    <t>PID1001</t>
  </si>
  <si>
    <t>Patient_1</t>
  </si>
  <si>
    <t>16-10-2024</t>
  </si>
  <si>
    <t>05 August 2023</t>
  </si>
  <si>
    <t>25/10/2016</t>
  </si>
  <si>
    <t>29 April 2024</t>
  </si>
  <si>
    <t>01/06/2024</t>
  </si>
  <si>
    <t>PID1010</t>
  </si>
  <si>
    <t>Patient_2</t>
  </si>
  <si>
    <t>Female</t>
  </si>
  <si>
    <t>April 31, 2022</t>
  </si>
  <si>
    <t>Friday, November 11, 2016</t>
  </si>
  <si>
    <t>25/6/2018</t>
  </si>
  <si>
    <t>04/May/2023</t>
  </si>
  <si>
    <t>01/02/03</t>
  </si>
  <si>
    <t>PID1100</t>
  </si>
  <si>
    <t>Patient_3</t>
  </si>
  <si>
    <t>03/21/2024</t>
  </si>
  <si>
    <t>13.04.2024</t>
  </si>
  <si>
    <t>2024/09/10</t>
  </si>
  <si>
    <t>04/12/2023</t>
  </si>
  <si>
    <t>PID1101</t>
  </si>
  <si>
    <t>Patient_4</t>
  </si>
  <si>
    <t>2024-04-09</t>
  </si>
  <si>
    <t>2023-03-16</t>
  </si>
  <si>
    <t>22/4/2017</t>
  </si>
  <si>
    <t>04/Apr/2023</t>
  </si>
  <si>
    <t>PID1102</t>
  </si>
  <si>
    <t>27 September 2023</t>
  </si>
  <si>
    <t>15/5/2016</t>
  </si>
  <si>
    <t>Jul 05, 2023</t>
  </si>
  <si>
    <t>2022-01-01 (estimated)</t>
  </si>
  <si>
    <t>PID1103</t>
  </si>
  <si>
    <t>1/9/2016</t>
  </si>
  <si>
    <t>PID1104</t>
  </si>
  <si>
    <t>Patient_7</t>
  </si>
  <si>
    <t>03/04/2023</t>
  </si>
  <si>
    <t>2024-11-21</t>
  </si>
  <si>
    <t>PID1105</t>
  </si>
  <si>
    <t>2023-02-30</t>
  </si>
  <si>
    <t>01-05-2024</t>
  </si>
  <si>
    <t>17/12/2018</t>
  </si>
  <si>
    <t>2024/11/19</t>
  </si>
  <si>
    <t>PID1106</t>
  </si>
  <si>
    <t>Patient_9</t>
  </si>
  <si>
    <t>14-04-2024</t>
  </si>
  <si>
    <t>01/26/2023</t>
  </si>
  <si>
    <t>N/A</t>
  </si>
  <si>
    <t>22/08/2023</t>
  </si>
  <si>
    <t>PID1107</t>
  </si>
  <si>
    <t>Patient_10</t>
  </si>
  <si>
    <t>13/12/2018</t>
  </si>
  <si>
    <t>02 January 2023</t>
  </si>
  <si>
    <t>18/6/2018</t>
  </si>
  <si>
    <t>02/11/2023</t>
  </si>
  <si>
    <t>12/14/2023</t>
  </si>
  <si>
    <t>PID1108</t>
  </si>
  <si>
    <t>03-06-2024</t>
  </si>
  <si>
    <t>02/21/2024</t>
  </si>
  <si>
    <t>26 April 2024</t>
  </si>
  <si>
    <t>13/02/2024</t>
  </si>
  <si>
    <t>PID1109</t>
  </si>
  <si>
    <t>Patient_12</t>
  </si>
  <si>
    <t>17 March 2023</t>
  </si>
  <si>
    <t>04 November 2023</t>
  </si>
  <si>
    <t>04/08/2023</t>
  </si>
  <si>
    <t>PID1011</t>
  </si>
  <si>
    <t>Patient_13</t>
  </si>
  <si>
    <t>1/11/2022</t>
  </si>
  <si>
    <t>Friday, May 13, 2016</t>
  </si>
  <si>
    <t>04.01.2023</t>
  </si>
  <si>
    <t>20-11-2023</t>
  </si>
  <si>
    <t>2020-13-01</t>
  </si>
  <si>
    <t>PID1110</t>
  </si>
  <si>
    <t>2024/10/02</t>
  </si>
  <si>
    <t>07 August 2023</t>
  </si>
  <si>
    <t>04/01/2024</t>
  </si>
  <si>
    <t>Dec 23, 2023</t>
  </si>
  <si>
    <t>11/17/2023</t>
  </si>
  <si>
    <t>PID1111</t>
  </si>
  <si>
    <t>Patient_15</t>
  </si>
  <si>
    <t>04/Aug/2023</t>
  </si>
  <si>
    <t>08.12.2023</t>
  </si>
  <si>
    <t>Late March 2023</t>
  </si>
  <si>
    <t>PID1112</t>
  </si>
  <si>
    <t>Patient_16</t>
  </si>
  <si>
    <t>16 October 2024</t>
  </si>
  <si>
    <t>16.05.2023</t>
  </si>
  <si>
    <t>04/Dec/2024</t>
  </si>
  <si>
    <t>PID1113</t>
  </si>
  <si>
    <t>Patient_17</t>
  </si>
  <si>
    <t>15/Sep/2024</t>
  </si>
  <si>
    <t>18/7/2019</t>
  </si>
  <si>
    <t>06/Apr/2023</t>
  </si>
  <si>
    <t>30/11/2017</t>
  </si>
  <si>
    <t>2022-11-01abc</t>
  </si>
  <si>
    <t>PID1114</t>
  </si>
  <si>
    <t>Patient_18</t>
  </si>
  <si>
    <t>06.06.2023</t>
  </si>
  <si>
    <t>12/Mar/2023</t>
  </si>
  <si>
    <t>06/Oct/2024</t>
  </si>
  <si>
    <t>PID1115</t>
  </si>
  <si>
    <t>Patient_19</t>
  </si>
  <si>
    <t>30/9/2017</t>
  </si>
  <si>
    <t>07/21/2024</t>
  </si>
  <si>
    <t>Nov 09, 2024</t>
  </si>
  <si>
    <t>PID1116</t>
  </si>
  <si>
    <t>15 June 2023</t>
  </si>
  <si>
    <t>2024/01/14</t>
  </si>
  <si>
    <t>08/31/2023</t>
  </si>
  <si>
    <t>PID1117</t>
  </si>
  <si>
    <t>Patient_21</t>
  </si>
  <si>
    <t>2024-06-27</t>
  </si>
  <si>
    <t>09-02-2023</t>
  </si>
  <si>
    <t>11/09/2023</t>
  </si>
  <si>
    <t>PID1118</t>
  </si>
  <si>
    <t>Patient_22</t>
  </si>
  <si>
    <t>05.09.2024</t>
  </si>
  <si>
    <t>2024/07/10</t>
  </si>
  <si>
    <t>10/12/2016</t>
  </si>
  <si>
    <t>17-11-2024</t>
  </si>
  <si>
    <t>Unknown</t>
  </si>
  <si>
    <t>PID1119</t>
  </si>
  <si>
    <t>Patient_23</t>
  </si>
  <si>
    <t>2024-05-15</t>
  </si>
  <si>
    <t>18 September 2024</t>
  </si>
  <si>
    <t>10-11-2024</t>
  </si>
  <si>
    <t>14.06.2023</t>
  </si>
  <si>
    <t>PID1012</t>
  </si>
  <si>
    <t>Patient_24</t>
  </si>
  <si>
    <t>Thursday, November 8, 2018</t>
  </si>
  <si>
    <t>10.02.2023</t>
  </si>
  <si>
    <t>07/02/2024</t>
  </si>
  <si>
    <t>04/09/2023</t>
  </si>
  <si>
    <t>PID1120</t>
  </si>
  <si>
    <t>Patient_25</t>
  </si>
  <si>
    <t>25.04.2023</t>
  </si>
  <si>
    <t>09 January 2023</t>
  </si>
  <si>
    <t>10.10.2024</t>
  </si>
  <si>
    <t>23/9/2018</t>
  </si>
  <si>
    <t>PID1121</t>
  </si>
  <si>
    <t>Patient_26</t>
  </si>
  <si>
    <t>11/Nov/2023</t>
  </si>
  <si>
    <t>10/01/2023</t>
  </si>
  <si>
    <t>17/9/2019</t>
  </si>
  <si>
    <t>PID1122</t>
  </si>
  <si>
    <t>Patient_27</t>
  </si>
  <si>
    <t>11/24/2024</t>
  </si>
  <si>
    <t>5-Nov-24</t>
  </si>
  <si>
    <t>PID1123</t>
  </si>
  <si>
    <t>Patient_28</t>
  </si>
  <si>
    <t>01/Mar/2023</t>
  </si>
  <si>
    <t>2023/05/18</t>
  </si>
  <si>
    <t>11/Mar/2024</t>
  </si>
  <si>
    <t>PID1124</t>
  </si>
  <si>
    <t>Patient_29</t>
  </si>
  <si>
    <t>03-08-2024</t>
  </si>
  <si>
    <t>29-04-2023</t>
  </si>
  <si>
    <t>12 March 2024</t>
  </si>
  <si>
    <t>2024-07-17</t>
  </si>
  <si>
    <t>PID1125</t>
  </si>
  <si>
    <t>Patient_30</t>
  </si>
  <si>
    <t>07/20/2024</t>
  </si>
  <si>
    <t>12.11.2023</t>
  </si>
  <si>
    <t>11/12/2019</t>
  </si>
  <si>
    <t>10-04-2024</t>
  </si>
  <si>
    <t>PID1126</t>
  </si>
  <si>
    <t>Patient_31</t>
  </si>
  <si>
    <t>2023/10/06</t>
  </si>
  <si>
    <t>13-10-2023</t>
  </si>
  <si>
    <t>2023/11/19</t>
  </si>
  <si>
    <t>PID1127</t>
  </si>
  <si>
    <t>Patient_32</t>
  </si>
  <si>
    <t>13-11-2024</t>
  </si>
  <si>
    <t>PID1128</t>
  </si>
  <si>
    <t>Patient_33</t>
  </si>
  <si>
    <t>06/29/2024</t>
  </si>
  <si>
    <t>04.08.2023</t>
  </si>
  <si>
    <t>13.02.2024</t>
  </si>
  <si>
    <t>Apr 29, 2023</t>
  </si>
  <si>
    <t>PID1129</t>
  </si>
  <si>
    <t>Patient_34</t>
  </si>
  <si>
    <t>2023/07/28</t>
  </si>
  <si>
    <t>13.03.2023</t>
  </si>
  <si>
    <t>15/6/2018</t>
  </si>
  <si>
    <t>2024-06-10</t>
  </si>
  <si>
    <t>Early Feb. 2022</t>
  </si>
  <si>
    <t>PID1013</t>
  </si>
  <si>
    <t>Patient_35</t>
  </si>
  <si>
    <t>31-01-2023</t>
  </si>
  <si>
    <t>Saturday, August 27, 2016</t>
  </si>
  <si>
    <t>13.10.2023</t>
  </si>
  <si>
    <t>16/Jul/2023</t>
  </si>
  <si>
    <t>12/29/2023</t>
  </si>
  <si>
    <t>PID1130</t>
  </si>
  <si>
    <t>Patient_36</t>
  </si>
  <si>
    <t>07/16/2024</t>
  </si>
  <si>
    <t>13/Aug/2024</t>
  </si>
  <si>
    <t>16/10/2016</t>
  </si>
  <si>
    <t>04 November 2024</t>
  </si>
  <si>
    <t>PID1131</t>
  </si>
  <si>
    <t>Patient_37</t>
  </si>
  <si>
    <t>29 September 2023</t>
  </si>
  <si>
    <t>2023-09-15</t>
  </si>
  <si>
    <t>14 February 2024</t>
  </si>
  <si>
    <t>Apr 18, 2024</t>
  </si>
  <si>
    <t>02/22/2023</t>
  </si>
  <si>
    <t>PID1014</t>
  </si>
  <si>
    <t>Patient_38</t>
  </si>
  <si>
    <t>12/Aug/2023</t>
  </si>
  <si>
    <t>12th of Dec. 2019</t>
  </si>
  <si>
    <t>14 November 2024</t>
  </si>
  <si>
    <t>8/9/2017</t>
  </si>
  <si>
    <t>2024/05/10</t>
  </si>
  <si>
    <t>PID1015</t>
  </si>
  <si>
    <t>Patient_39</t>
  </si>
  <si>
    <t>2024-06-01</t>
  </si>
  <si>
    <t>18-Aug-21</t>
  </si>
  <si>
    <t>16.03.2024</t>
  </si>
  <si>
    <t>16/11/2019</t>
  </si>
  <si>
    <t>26 August 2024</t>
  </si>
  <si>
    <t>PID1016</t>
  </si>
  <si>
    <t>Patient_40</t>
  </si>
  <si>
    <t>28/Jul/2024</t>
  </si>
  <si>
    <t>16/Nov/2024</t>
  </si>
  <si>
    <t>30/5/2019</t>
  </si>
  <si>
    <t>2024/09/03</t>
  </si>
  <si>
    <t>PID1017</t>
  </si>
  <si>
    <t>Patient_41</t>
  </si>
  <si>
    <t>27 October 2024</t>
  </si>
  <si>
    <t>Sunday, December 9, 2018</t>
  </si>
  <si>
    <t>17/Feb/2023</t>
  </si>
  <si>
    <t>13/Apr/2023</t>
  </si>
  <si>
    <t>PID1018</t>
  </si>
  <si>
    <t>Patient_42</t>
  </si>
  <si>
    <t>05/Mar/2024</t>
  </si>
  <si>
    <t>18 October 2023</t>
  </si>
  <si>
    <t>PID1019</t>
  </si>
  <si>
    <t>Patient_43</t>
  </si>
  <si>
    <t>2017-11-26</t>
  </si>
  <si>
    <t>18 October 2024</t>
  </si>
  <si>
    <t>10/4/2018</t>
  </si>
  <si>
    <t>31/Oct/2023</t>
  </si>
  <si>
    <t>PID1002</t>
  </si>
  <si>
    <t>Patient_44</t>
  </si>
  <si>
    <t>2023/01/26</t>
  </si>
  <si>
    <t>11/11/2018</t>
  </si>
  <si>
    <t>19-12-2024</t>
  </si>
  <si>
    <t>22/9/2018</t>
  </si>
  <si>
    <t>PID1020</t>
  </si>
  <si>
    <t>Patient_45</t>
  </si>
  <si>
    <t>2024/04/04</t>
  </si>
  <si>
    <t>Monday, September 25, 2017</t>
  </si>
  <si>
    <t>19/Aug/2023</t>
  </si>
  <si>
    <t>PID1021</t>
  </si>
  <si>
    <t>Patient_46</t>
  </si>
  <si>
    <t>01/07/2023</t>
  </si>
  <si>
    <t>20 February 2024</t>
  </si>
  <si>
    <t>01/05/2024</t>
  </si>
  <si>
    <t>PID1022</t>
  </si>
  <si>
    <t>Patient_47</t>
  </si>
  <si>
    <t>Dec 15, 2024</t>
  </si>
  <si>
    <t>20.12.2023</t>
  </si>
  <si>
    <t>2023-11-06</t>
  </si>
  <si>
    <t>18-Aug-2023</t>
  </si>
  <si>
    <t>PID1023</t>
  </si>
  <si>
    <t>Patient_48</t>
  </si>
  <si>
    <t>2023/12/15</t>
  </si>
  <si>
    <t>2018-12-10</t>
  </si>
  <si>
    <t>2023-05-11</t>
  </si>
  <si>
    <t>PID1024</t>
  </si>
  <si>
    <t>09/Jun/2023</t>
  </si>
  <si>
    <t>2023-05-31</t>
  </si>
  <si>
    <t>26 December 2024</t>
  </si>
  <si>
    <t>PID1025</t>
  </si>
  <si>
    <t>Patient_50</t>
  </si>
  <si>
    <t>11-12-2023</t>
  </si>
  <si>
    <t>Tuesday, July 16, 2019</t>
  </si>
  <si>
    <t>2023-06-01</t>
  </si>
  <si>
    <t>12/11/2019</t>
  </si>
  <si>
    <t>PID1026</t>
  </si>
  <si>
    <t>Patient_51</t>
  </si>
  <si>
    <t>Apr 05, 2023</t>
  </si>
  <si>
    <t>2023-09-18</t>
  </si>
  <si>
    <t>11/11/2019</t>
  </si>
  <si>
    <t>2023-10-08</t>
  </si>
  <si>
    <t>PID1027</t>
  </si>
  <si>
    <t>Patient_52</t>
  </si>
  <si>
    <t>Tuesday, January 16, 2018</t>
  </si>
  <si>
    <t>2023-10-11</t>
  </si>
  <si>
    <t>20/6/2019</t>
  </si>
  <si>
    <t>25 February 2023</t>
  </si>
  <si>
    <t>PID1028</t>
  </si>
  <si>
    <t>Patient_53</t>
  </si>
  <si>
    <t>10.04.2023</t>
  </si>
  <si>
    <t>21/11/2025</t>
  </si>
  <si>
    <t>2023-12-06</t>
  </si>
  <si>
    <t>11/9/2018</t>
  </si>
  <si>
    <t>10/27/2023</t>
  </si>
  <si>
    <t>PID1029</t>
  </si>
  <si>
    <t>2023/12/19</t>
  </si>
  <si>
    <t>2023/01/01</t>
  </si>
  <si>
    <t>PID1003</t>
  </si>
  <si>
    <t>Patient_55</t>
  </si>
  <si>
    <t>08/Sep/2023</t>
  </si>
  <si>
    <t>2023/04/29</t>
  </si>
  <si>
    <t>27.06.2024</t>
  </si>
  <si>
    <t>PID1030</t>
  </si>
  <si>
    <t>Patient_56</t>
  </si>
  <si>
    <t>2023/05/14</t>
  </si>
  <si>
    <t>07/28/2024</t>
  </si>
  <si>
    <t>PID1031</t>
  </si>
  <si>
    <t>Patient_57</t>
  </si>
  <si>
    <t>2023/07/02</t>
  </si>
  <si>
    <t>2023-04-16</t>
  </si>
  <si>
    <t>PID1032</t>
  </si>
  <si>
    <t>03-07-2024</t>
  </si>
  <si>
    <t>2023/12/25</t>
  </si>
  <si>
    <t>17/11/2017</t>
  </si>
  <si>
    <t>2024/08/10</t>
  </si>
  <si>
    <t>PID1033</t>
  </si>
  <si>
    <t>Patient_59</t>
  </si>
  <si>
    <t>23-01-2024</t>
  </si>
  <si>
    <t>Early June 2023</t>
  </si>
  <si>
    <t>PID1034</t>
  </si>
  <si>
    <t>Patient_60</t>
  </si>
  <si>
    <t>2024/07/19</t>
  </si>
  <si>
    <t>PID1035</t>
  </si>
  <si>
    <t>Patient_61</t>
  </si>
  <si>
    <t>05.10.2024</t>
  </si>
  <si>
    <t>Apr 29, 2024</t>
  </si>
  <si>
    <t>28/11/2019</t>
  </si>
  <si>
    <t>27.03.2024</t>
  </si>
  <si>
    <t>PID1036</t>
  </si>
  <si>
    <t>Patient_62</t>
  </si>
  <si>
    <t>14/Aug/2024</t>
  </si>
  <si>
    <t>14-07-2023</t>
  </si>
  <si>
    <t>PID1037</t>
  </si>
  <si>
    <t>Patient_63</t>
  </si>
  <si>
    <t>22-12-2024</t>
  </si>
  <si>
    <t>Apr 10, 2023</t>
  </si>
  <si>
    <t>2024-01-27</t>
  </si>
  <si>
    <t>2023-07-08</t>
  </si>
  <si>
    <t>PID1038</t>
  </si>
  <si>
    <t>16/Feb/2023</t>
  </si>
  <si>
    <t>Dec 29, 2023</t>
  </si>
  <si>
    <t>2024-04-20</t>
  </si>
  <si>
    <t>20/10/2017</t>
  </si>
  <si>
    <t>PID1039</t>
  </si>
  <si>
    <t>Patient_65</t>
  </si>
  <si>
    <t>2024/08/05</t>
  </si>
  <si>
    <t>30/12/2019</t>
  </si>
  <si>
    <t>PID1004</t>
  </si>
  <si>
    <t>Patient_66</t>
  </si>
  <si>
    <t>23-05-2023</t>
  </si>
  <si>
    <t>2023/07/25</t>
  </si>
  <si>
    <t>10/11/2018</t>
  </si>
  <si>
    <t>11 March 2024</t>
  </si>
  <si>
    <t>PID1040</t>
  </si>
  <si>
    <t>Patient_67</t>
  </si>
  <si>
    <t>24-10-2023</t>
  </si>
  <si>
    <t>2024-04-23</t>
  </si>
  <si>
    <t>2024/12/14</t>
  </si>
  <si>
    <t>None</t>
  </si>
  <si>
    <t>PID1041</t>
  </si>
  <si>
    <t>Patient_68</t>
  </si>
  <si>
    <t>20-11-2024</t>
  </si>
  <si>
    <t>Mar 08, 2023</t>
  </si>
  <si>
    <t>PID1042</t>
  </si>
  <si>
    <t>Patient_69</t>
  </si>
  <si>
    <t>27-08-2023</t>
  </si>
  <si>
    <t>Mar 04, 2023</t>
  </si>
  <si>
    <t>18-05-2024</t>
  </si>
  <si>
    <t>PID1043</t>
  </si>
  <si>
    <t>2024/01/25</t>
  </si>
  <si>
    <t>18/10/2017</t>
  </si>
  <si>
    <t>21/Oct/2023</t>
  </si>
  <si>
    <t>PID1044</t>
  </si>
  <si>
    <t>Patient_71</t>
  </si>
  <si>
    <t>09.04.2024</t>
  </si>
  <si>
    <t>14-12-2023</t>
  </si>
  <si>
    <t>22 March 2024</t>
  </si>
  <si>
    <t>PID1045</t>
  </si>
  <si>
    <t>Patient_72</t>
  </si>
  <si>
    <t>16.06.2023</t>
  </si>
  <si>
    <t>22/Aug/2023</t>
  </si>
  <si>
    <t>PID1046</t>
  </si>
  <si>
    <t>Patient_73</t>
  </si>
  <si>
    <t>30/Dec/2023</t>
  </si>
  <si>
    <t>23-06-2023</t>
  </si>
  <si>
    <t>10/4/2017</t>
  </si>
  <si>
    <t>2024-10-06</t>
  </si>
  <si>
    <t>PID1047</t>
  </si>
  <si>
    <t>Patient_74</t>
  </si>
  <si>
    <t>2024/11/17</t>
  </si>
  <si>
    <t>24/Jul/2024</t>
  </si>
  <si>
    <t>06/05/2023</t>
  </si>
  <si>
    <t>PID1048</t>
  </si>
  <si>
    <t>Patient_75</t>
  </si>
  <si>
    <t>May 24, 2023</t>
  </si>
  <si>
    <t>25/Jan/2023</t>
  </si>
  <si>
    <t>2024/07/30</t>
  </si>
  <si>
    <t>PID1049</t>
  </si>
  <si>
    <t>Patient_76</t>
  </si>
  <si>
    <t>09/15/2024</t>
  </si>
  <si>
    <t>2023/07/07</t>
  </si>
  <si>
    <t>26.07.2024</t>
  </si>
  <si>
    <t>29/Mar/2023</t>
  </si>
  <si>
    <t>PID1005</t>
  </si>
  <si>
    <t>Patient_77</t>
  </si>
  <si>
    <t>23 November 2024</t>
  </si>
  <si>
    <t>26/Apr/2024</t>
  </si>
  <si>
    <t>PID1050</t>
  </si>
  <si>
    <t>30/Jun/2024</t>
  </si>
  <si>
    <t>18/Apr/2024</t>
  </si>
  <si>
    <t>28/Mar/2024</t>
  </si>
  <si>
    <t>02 May 2023</t>
  </si>
  <si>
    <t>12/09/2024</t>
  </si>
  <si>
    <t>PID1051</t>
  </si>
  <si>
    <t>Patient_79</t>
  </si>
  <si>
    <t>29 December 2023</t>
  </si>
  <si>
    <t>28/12/2016</t>
  </si>
  <si>
    <t>02/Mar/2024</t>
  </si>
  <si>
    <t>PID1052</t>
  </si>
  <si>
    <t>Patient_80</t>
  </si>
  <si>
    <t>17-07-2024</t>
  </si>
  <si>
    <t>29 March 2024</t>
  </si>
  <si>
    <t>25/9/2016</t>
  </si>
  <si>
    <t>PID1053</t>
  </si>
  <si>
    <t>Patient_81</t>
  </si>
  <si>
    <t>21 February 2023</t>
  </si>
  <si>
    <t>30 June 2023</t>
  </si>
  <si>
    <t>PID1054</t>
  </si>
  <si>
    <t>Patient_82</t>
  </si>
  <si>
    <t>04 October 2023</t>
  </si>
  <si>
    <t>30.09.2024</t>
  </si>
  <si>
    <t>2024/03/29</t>
  </si>
  <si>
    <t>PID1055</t>
  </si>
  <si>
    <t>Patient_83</t>
  </si>
  <si>
    <t>13.08.2023</t>
  </si>
  <si>
    <t>14/6/2016</t>
  </si>
  <si>
    <t>Apr 11, 2024</t>
  </si>
  <si>
    <t>PID1056</t>
  </si>
  <si>
    <t>Patient_84</t>
  </si>
  <si>
    <t>16-01-2023</t>
  </si>
  <si>
    <t>Aug 25, 2024</t>
  </si>
  <si>
    <t>16/12/2023</t>
  </si>
  <si>
    <t>PID1057</t>
  </si>
  <si>
    <t>Patient_85</t>
  </si>
  <si>
    <t>Dec 01, 2023</t>
  </si>
  <si>
    <t>2023-11-09</t>
  </si>
  <si>
    <t>PID1058</t>
  </si>
  <si>
    <t>Patient_86</t>
  </si>
  <si>
    <t>27/Feb/2023</t>
  </si>
  <si>
    <t>Dec 07, 2023</t>
  </si>
  <si>
    <t>16-09-2024</t>
  </si>
  <si>
    <t>PID1059</t>
  </si>
  <si>
    <t>Patient_87</t>
  </si>
  <si>
    <t>07/May/2024</t>
  </si>
  <si>
    <t>Dec 14, 2024</t>
  </si>
  <si>
    <t>01/Aug/2023</t>
  </si>
  <si>
    <t>PID1006</t>
  </si>
  <si>
    <t>01/20/2023</t>
  </si>
  <si>
    <t>Dec 26, 2024</t>
  </si>
  <si>
    <t>19/10/2018</t>
  </si>
  <si>
    <t>PID1060</t>
  </si>
  <si>
    <t>Patient_89</t>
  </si>
  <si>
    <t>02.02.2023</t>
  </si>
  <si>
    <t>2024-02-15</t>
  </si>
  <si>
    <t>Jan 08, 2024</t>
  </si>
  <si>
    <t>28-09-2023</t>
  </si>
  <si>
    <t>PID1061</t>
  </si>
  <si>
    <t>Patient_90</t>
  </si>
  <si>
    <t>2024/02/15</t>
  </si>
  <si>
    <t>Jun 18, 2023</t>
  </si>
  <si>
    <t>Jul 01, 2023</t>
  </si>
  <si>
    <t>PID1062</t>
  </si>
  <si>
    <t>Patient_91</t>
  </si>
  <si>
    <t>Jul 16, 2023</t>
  </si>
  <si>
    <t>09/03/2023</t>
  </si>
  <si>
    <t>PID1063</t>
  </si>
  <si>
    <t>Patient_92</t>
  </si>
  <si>
    <t>Jan 03, 2023</t>
  </si>
  <si>
    <t>Jul 18, 2024</t>
  </si>
  <si>
    <t>19-07-2024</t>
  </si>
  <si>
    <t>PID1064</t>
  </si>
  <si>
    <t>Patient_93</t>
  </si>
  <si>
    <t>09/Mar/2023</t>
  </si>
  <si>
    <t>May 21, 2024</t>
  </si>
  <si>
    <t>2023-06-10</t>
  </si>
  <si>
    <t>PID1065</t>
  </si>
  <si>
    <t>Patient_94</t>
  </si>
  <si>
    <t>03.08.2024</t>
  </si>
  <si>
    <t>Oct 20, 2023</t>
  </si>
  <si>
    <t>9/6/2016</t>
  </si>
  <si>
    <t>PID1066</t>
  </si>
  <si>
    <t>Patient_95</t>
  </si>
  <si>
    <t>14 December 2024</t>
  </si>
  <si>
    <t>9/7/2016</t>
  </si>
  <si>
    <t>PID1067</t>
  </si>
  <si>
    <t>Patient_96</t>
  </si>
  <si>
    <t>9/8/2016</t>
  </si>
  <si>
    <t>23/9/2019</t>
  </si>
  <si>
    <t>2023-10-26</t>
  </si>
  <si>
    <t>PID1068</t>
  </si>
  <si>
    <t>Patient_97</t>
  </si>
  <si>
    <t>2023/05/27</t>
  </si>
  <si>
    <t>9/9/2016</t>
  </si>
  <si>
    <t>PID1069</t>
  </si>
  <si>
    <t>Patient_98</t>
  </si>
  <si>
    <t>08/Jun/2023</t>
  </si>
  <si>
    <t>9/10/2016</t>
  </si>
  <si>
    <t>PID1007</t>
  </si>
  <si>
    <t>Patient_99</t>
  </si>
  <si>
    <t>21/03/2023</t>
  </si>
  <si>
    <t>16/6/2018</t>
  </si>
  <si>
    <t>9/11/2016</t>
  </si>
  <si>
    <t>27/12/2019</t>
  </si>
  <si>
    <t>PID1070</t>
  </si>
  <si>
    <t>Patient_100</t>
  </si>
  <si>
    <t>9/12/2016</t>
  </si>
  <si>
    <t>12/9/2017</t>
  </si>
  <si>
    <t>2023/08/26</t>
  </si>
  <si>
    <t>08/11/2024</t>
  </si>
  <si>
    <t>PID1071</t>
  </si>
  <si>
    <t>Patient_101</t>
  </si>
  <si>
    <t>23/May/2023</t>
  </si>
  <si>
    <t>01 March 2023</t>
  </si>
  <si>
    <t>9/1/2017</t>
  </si>
  <si>
    <t>28/10/2016</t>
  </si>
  <si>
    <t>2024/12/24</t>
  </si>
  <si>
    <t>05/12/2024</t>
  </si>
  <si>
    <t>PID1072</t>
  </si>
  <si>
    <t>Patient_102</t>
  </si>
  <si>
    <t>28 July 2024</t>
  </si>
  <si>
    <t>Nov 13, 2023</t>
  </si>
  <si>
    <t>9/12/2018</t>
  </si>
  <si>
    <t>PID1073</t>
  </si>
  <si>
    <t>Patient_103</t>
  </si>
  <si>
    <t>04.03.2023</t>
  </si>
  <si>
    <t>Oct 11, 2024</t>
  </si>
  <si>
    <t>29/02/2024</t>
  </si>
  <si>
    <t>PID1074</t>
  </si>
  <si>
    <t>Patient_104</t>
  </si>
  <si>
    <t>2023-02-28</t>
  </si>
  <si>
    <t>Sep 02, 2024</t>
  </si>
  <si>
    <t>09/06/2024</t>
  </si>
  <si>
    <t>PID1075</t>
  </si>
  <si>
    <t>Patient_105</t>
  </si>
  <si>
    <t>Sep 27, 2023</t>
  </si>
  <si>
    <t>?</t>
  </si>
  <si>
    <t>14/Mar/2023</t>
  </si>
  <si>
    <t>PID1076</t>
  </si>
  <si>
    <t>Patient_106</t>
  </si>
  <si>
    <t>Aug 20, 2024</t>
  </si>
  <si>
    <t>29 May 2024</t>
  </si>
  <si>
    <t>04/04/2023</t>
  </si>
  <si>
    <t>PID1077</t>
  </si>
  <si>
    <t>Patient_107</t>
  </si>
  <si>
    <t>06/Jan/2024</t>
  </si>
  <si>
    <t>2023-06-11</t>
  </si>
  <si>
    <t>28/Sep/2023</t>
  </si>
  <si>
    <t>PID1078</t>
  </si>
  <si>
    <t>Patient_108</t>
  </si>
  <si>
    <t>22 May 2023</t>
  </si>
  <si>
    <t>24/12/2023</t>
  </si>
  <si>
    <t>11-03-2024</t>
  </si>
  <si>
    <t>04/24/2023</t>
  </si>
  <si>
    <t>PID1079</t>
  </si>
  <si>
    <t>Patient_109</t>
  </si>
  <si>
    <t>20-05-2024</t>
  </si>
  <si>
    <t>04-06-2024</t>
  </si>
  <si>
    <t>PID1008</t>
  </si>
  <si>
    <t>Patient_110</t>
  </si>
  <si>
    <t>Mar 31, 2023</t>
  </si>
  <si>
    <t>Wednesday, November 22, 2017</t>
  </si>
  <si>
    <t>2024-10-20 00:00:00</t>
  </si>
  <si>
    <t>2023/10/05</t>
  </si>
  <si>
    <t>PID1080</t>
  </si>
  <si>
    <t>Patient_111</t>
  </si>
  <si>
    <t>18-02-2023</t>
  </si>
  <si>
    <t>10-07-2023</t>
  </si>
  <si>
    <t>02/24/2023</t>
  </si>
  <si>
    <t>PID1081</t>
  </si>
  <si>
    <t>Patient_112</t>
  </si>
  <si>
    <t>2024-05-29 00:00:00</t>
  </si>
  <si>
    <t>08/19/2023</t>
  </si>
  <si>
    <t>PID1082</t>
  </si>
  <si>
    <t>Patient_113</t>
  </si>
  <si>
    <t>9/2/2017</t>
  </si>
  <si>
    <t>09/30/2023</t>
  </si>
  <si>
    <t>23-Jun-2024</t>
  </si>
  <si>
    <t>PID1083</t>
  </si>
  <si>
    <t>Patient_114</t>
  </si>
  <si>
    <t>01-09-2024</t>
  </si>
  <si>
    <t>9/3/2017</t>
  </si>
  <si>
    <t>2023-03-15</t>
  </si>
  <si>
    <t>PID1084</t>
  </si>
  <si>
    <t>Patient_115</t>
  </si>
  <si>
    <t>22/Nov/2024</t>
  </si>
  <si>
    <t>7/4/2017</t>
  </si>
  <si>
    <t>2023-03-25 00:00:00</t>
  </si>
  <si>
    <t>PID1085</t>
  </si>
  <si>
    <t>Patient_116</t>
  </si>
  <si>
    <t>18-02-2024</t>
  </si>
  <si>
    <t>9/5/2017</t>
  </si>
  <si>
    <t>2023/11/11</t>
  </si>
  <si>
    <t>PID1086</t>
  </si>
  <si>
    <t>Patient_117</t>
  </si>
  <si>
    <t>06/Aug/2024</t>
  </si>
  <si>
    <t>9/6/2017</t>
  </si>
  <si>
    <t>25-03-2024</t>
  </si>
  <si>
    <t>PID1087</t>
  </si>
  <si>
    <t>Patient_118</t>
  </si>
  <si>
    <t>08-03-2024</t>
  </si>
  <si>
    <t>2024-08-15</t>
  </si>
  <si>
    <t>7/7/2017</t>
  </si>
  <si>
    <t>PID1088</t>
  </si>
  <si>
    <t>Patient_119</t>
  </si>
  <si>
    <t>26-09-2024</t>
  </si>
  <si>
    <t>9/8/2017</t>
  </si>
  <si>
    <t>2024/04/24</t>
  </si>
  <si>
    <t>PID1089</t>
  </si>
  <si>
    <t>Patient_120</t>
  </si>
  <si>
    <t>Jan 30, 2024</t>
  </si>
  <si>
    <t>20/4/2019</t>
  </si>
  <si>
    <t>--</t>
  </si>
  <si>
    <t>Dec 17, 2024</t>
  </si>
  <si>
    <t>PID1009</t>
  </si>
  <si>
    <t>Patient_121</t>
  </si>
  <si>
    <t>05/18/2023</t>
  </si>
  <si>
    <t>9/10/2017</t>
  </si>
  <si>
    <t>15/Sep/2023</t>
  </si>
  <si>
    <t>PID1090</t>
  </si>
  <si>
    <t>Patient_122</t>
  </si>
  <si>
    <t>05 March 2024</t>
  </si>
  <si>
    <t>PID1091</t>
  </si>
  <si>
    <t>Patient_123</t>
  </si>
  <si>
    <t>2023/11/20</t>
  </si>
  <si>
    <t>10/12/2018</t>
  </si>
  <si>
    <t>06 October 2023</t>
  </si>
  <si>
    <t>PID1092</t>
  </si>
  <si>
    <t>Patient_124</t>
  </si>
  <si>
    <t>2024/06/25</t>
  </si>
  <si>
    <t>29.07.2023</t>
  </si>
  <si>
    <t>11/12/2018</t>
  </si>
  <si>
    <t>PID1093</t>
  </si>
  <si>
    <t>Patient_125</t>
  </si>
  <si>
    <t>2024-07-20</t>
  </si>
  <si>
    <t>2023/09/02</t>
  </si>
  <si>
    <t>12/12/2018</t>
  </si>
  <si>
    <t>PID1094</t>
  </si>
  <si>
    <t>Patient_126</t>
  </si>
  <si>
    <t>27-11-2024</t>
  </si>
  <si>
    <t>PID1095</t>
  </si>
  <si>
    <t>Patient_127</t>
  </si>
  <si>
    <t>14/12/2018</t>
  </si>
  <si>
    <t>PID1096</t>
  </si>
  <si>
    <t>Patient_128</t>
  </si>
  <si>
    <t>26/11/2017</t>
  </si>
  <si>
    <t>15/12/2018</t>
  </si>
  <si>
    <t>13-Dec-2024</t>
  </si>
  <si>
    <t>2023-03-24</t>
  </si>
  <si>
    <t>16-Mar-2024</t>
  </si>
  <si>
    <t>PID1097</t>
  </si>
  <si>
    <t>Patient_129</t>
  </si>
  <si>
    <t>2024/07/03</t>
  </si>
  <si>
    <t>16/12/2018</t>
  </si>
  <si>
    <t>18.03.2024</t>
  </si>
  <si>
    <t>PID1098</t>
  </si>
  <si>
    <t>Patient_130</t>
  </si>
  <si>
    <t>18.10.2024</t>
  </si>
  <si>
    <t>18/11/2016</t>
  </si>
  <si>
    <t>04-Apr-2024</t>
  </si>
  <si>
    <t>PID1099</t>
  </si>
  <si>
    <t>Patient_131</t>
  </si>
  <si>
    <t>2023/04/25</t>
  </si>
  <si>
    <t>2023/05/15</t>
  </si>
  <si>
    <t>number of columns</t>
  </si>
  <si>
    <t>number of rows</t>
  </si>
  <si>
    <t>Headers</t>
  </si>
  <si>
    <t>Number of Blank Cells</t>
  </si>
  <si>
    <t>check for no of columns and rows</t>
  </si>
  <si>
    <t>check for no of blank cells</t>
  </si>
  <si>
    <t>duplicates in patient id</t>
  </si>
  <si>
    <t>check of duplicates</t>
  </si>
  <si>
    <t>duplicates in name</t>
  </si>
  <si>
    <t>column</t>
  </si>
  <si>
    <t>patient id</t>
  </si>
  <si>
    <t>name</t>
  </si>
  <si>
    <t>Patient_@5</t>
  </si>
  <si>
    <t>Patient_49%</t>
  </si>
  <si>
    <t>Patient%_54&gt;</t>
  </si>
  <si>
    <t>Patient_58,</t>
  </si>
  <si>
    <t>Patient(_64</t>
  </si>
  <si>
    <t>Patient)_70</t>
  </si>
  <si>
    <t>Patient_$78</t>
  </si>
  <si>
    <t>Pa(tient_88*</t>
  </si>
  <si>
    <t>Pati^ent_0</t>
  </si>
  <si>
    <t>Patient_6?+</t>
  </si>
  <si>
    <t>Pa&amp;)tient_8</t>
  </si>
  <si>
    <t>Patient_/11</t>
  </si>
  <si>
    <t>Patient_?20:</t>
  </si>
  <si>
    <t>Patient_14</t>
  </si>
  <si>
    <t>Name Inconsistency Check</t>
  </si>
  <si>
    <t>number of FALSE (no duplicates)</t>
  </si>
  <si>
    <t>Count Inconsistency Cells in Name</t>
  </si>
  <si>
    <t>inconsistent cells</t>
  </si>
  <si>
    <t>count for inconsistent cells in Name Column</t>
  </si>
  <si>
    <t>check for incosistent cells in Age Column</t>
  </si>
  <si>
    <t>Age Inconsistency Check</t>
  </si>
  <si>
    <t>consistent cells</t>
  </si>
  <si>
    <t>number of TRUE (cells with only numeric values)</t>
  </si>
  <si>
    <t>Date of Admission Inconsistency Check</t>
  </si>
  <si>
    <t>Date of Diagnosis Inconsistency Check</t>
  </si>
  <si>
    <t>Date of Treatment Start Inconsistency Check</t>
  </si>
  <si>
    <t>Date of Surgery Inconsistency Check</t>
  </si>
  <si>
    <t>Date of Discharge Inconsistency Check</t>
  </si>
  <si>
    <t>Follow Up Visit Inconsistency Check</t>
  </si>
  <si>
    <t>check for inconsistet cells in (E - J) Columns</t>
  </si>
  <si>
    <t>correct format</t>
  </si>
  <si>
    <t>incorrect format</t>
  </si>
  <si>
    <t>Name Cleaned</t>
  </si>
  <si>
    <t>Date_of_Admission Cleaned 1</t>
  </si>
  <si>
    <t>Date_of_Admission Cleaned 2</t>
  </si>
  <si>
    <t>Date_of_Admission Cleaned 3</t>
  </si>
  <si>
    <t>Date_of_Admission Cleaned 4</t>
  </si>
  <si>
    <t>Date_of_Diagnosis Cleaned 1</t>
  </si>
  <si>
    <t>Date_of_Diagnosis Cleaned 2</t>
  </si>
  <si>
    <t>Date_of_Diagnosis Cleaned 3</t>
  </si>
  <si>
    <t>Date_of_Treatment_Start Cleaned 1</t>
  </si>
  <si>
    <t>Date_of_Treatment_Start Cleaned 2</t>
  </si>
  <si>
    <t>Date_of_Treatment_Start Cleaned 3</t>
  </si>
  <si>
    <t>Date_of_Treatment_Start Cleaned 4</t>
  </si>
  <si>
    <t>Date_of_Surgery Cleaned 1</t>
  </si>
  <si>
    <t>Date_of_Surgery Cleaned 2</t>
  </si>
  <si>
    <t>Date_of_Surgery Cleaned 3</t>
  </si>
  <si>
    <t>Date_of_Surgery Cleaned 4</t>
  </si>
  <si>
    <t>Date_of_Surgery Cleaned 5</t>
  </si>
  <si>
    <t>13/03/2018</t>
  </si>
  <si>
    <t>27/08/2016</t>
  </si>
  <si>
    <t>Date_of_Surgery Cleaned 6</t>
  </si>
  <si>
    <t>25/06/2018</t>
  </si>
  <si>
    <t>22/04/2017</t>
  </si>
  <si>
    <t>18/06/2018</t>
  </si>
  <si>
    <t>05/05/2017</t>
  </si>
  <si>
    <t>12/10/2016</t>
  </si>
  <si>
    <t>06/06/2018</t>
  </si>
  <si>
    <t>23/09/2018</t>
  </si>
  <si>
    <t>17/09/2019</t>
  </si>
  <si>
    <t>05/02/2017</t>
  </si>
  <si>
    <t>12/01/2016</t>
  </si>
  <si>
    <t>15/06/2018</t>
  </si>
  <si>
    <t>09/08/2017</t>
  </si>
  <si>
    <t>30/05/2019</t>
  </si>
  <si>
    <t>11/02/2019</t>
  </si>
  <si>
    <t>04/10/2018</t>
  </si>
  <si>
    <t>22/09/2018</t>
  </si>
  <si>
    <t>02/05/2017</t>
  </si>
  <si>
    <t>20/06/2019</t>
  </si>
  <si>
    <t>09/11/2018</t>
  </si>
  <si>
    <t>09/02/2018</t>
  </si>
  <si>
    <t>12/04/2018</t>
  </si>
  <si>
    <t>11/10/2018</t>
  </si>
  <si>
    <t>03/06/2017</t>
  </si>
  <si>
    <t>04/10/2017</t>
  </si>
  <si>
    <t>25/09/2016</t>
  </si>
  <si>
    <t>02/05/2019</t>
  </si>
  <si>
    <t>09/07/2018</t>
  </si>
  <si>
    <t>23/09/2019</t>
  </si>
  <si>
    <t>09/12/2017</t>
  </si>
  <si>
    <t>12/09/2018</t>
  </si>
  <si>
    <t>06/09/2024</t>
  </si>
  <si>
    <t>20/10/2024</t>
  </si>
  <si>
    <t>24/02/2023</t>
  </si>
  <si>
    <t>29/05/2024</t>
  </si>
  <si>
    <t>01/11/2022</t>
  </si>
  <si>
    <t>25/03/2023</t>
  </si>
  <si>
    <t>01/01/2022</t>
  </si>
  <si>
    <t>01/01/2023</t>
  </si>
  <si>
    <t>13/12/2024</t>
  </si>
  <si>
    <t>04/04/2024</t>
  </si>
  <si>
    <t>02/01/2003</t>
  </si>
  <si>
    <t>30-03-2023</t>
  </si>
  <si>
    <t>29-05-2024 00:00:00</t>
  </si>
  <si>
    <t>01-11-2022abc</t>
  </si>
  <si>
    <t>30-02-2023</t>
  </si>
  <si>
    <t>25-03-2023 00:00:00</t>
  </si>
  <si>
    <t>13-01-2020</t>
  </si>
  <si>
    <t>01-01-2022 (estimated)</t>
  </si>
  <si>
    <t>Date_of_Discharge Cleaned 1</t>
  </si>
  <si>
    <t>Date_of_Discharge Cleaned 2</t>
  </si>
  <si>
    <t>Date_of_Discharge Cleaned 3</t>
  </si>
  <si>
    <t>Date_of_Discharge Cleaned 4</t>
  </si>
  <si>
    <t>Follow_up_Visit Cleaned 1</t>
  </si>
  <si>
    <t>Follow_up_Visit Cleaned 2</t>
  </si>
  <si>
    <t>Follow_up_Visit Cleaned 3</t>
  </si>
  <si>
    <t>Follow_up_Visit Cleaned 4</t>
  </si>
  <si>
    <t>Follow_up_Visit Cleaned 5</t>
  </si>
  <si>
    <t>01-01-2022(estimated)</t>
  </si>
  <si>
    <t>11-01-2022abc</t>
  </si>
  <si>
    <t>Patient_0</t>
  </si>
  <si>
    <t>Patient_5</t>
  </si>
  <si>
    <t>Patient_6</t>
  </si>
  <si>
    <t>Patient_8</t>
  </si>
  <si>
    <t>Patient_11</t>
  </si>
  <si>
    <t>Patient_20</t>
  </si>
  <si>
    <t>Patient_49</t>
  </si>
  <si>
    <t>Patient_54&gt;</t>
  </si>
  <si>
    <t>Patient_58</t>
  </si>
  <si>
    <t>Patient_64</t>
  </si>
  <si>
    <t>Patient_70</t>
  </si>
  <si>
    <t>Patient_78</t>
  </si>
  <si>
    <t>Patient_88</t>
  </si>
  <si>
    <t>13/12/2023</t>
  </si>
  <si>
    <t>16/10/2024</t>
  </si>
  <si>
    <t>30/04/2022</t>
  </si>
  <si>
    <t>21/03/2024</t>
  </si>
  <si>
    <t>09/04/2024</t>
  </si>
  <si>
    <t>27/09/2023</t>
  </si>
  <si>
    <t>04/03/2023</t>
  </si>
  <si>
    <t>28/02/2023</t>
  </si>
  <si>
    <t>06/03/2024</t>
  </si>
  <si>
    <t>11/01/2022</t>
  </si>
  <si>
    <t>02/10/2024</t>
  </si>
  <si>
    <t>15/09/2024</t>
  </si>
  <si>
    <t>06/06/2023</t>
  </si>
  <si>
    <t>15/06/2023</t>
  </si>
  <si>
    <t>27/06/2024</t>
  </si>
  <si>
    <t>09/05/2024</t>
  </si>
  <si>
    <t>15/05/2024</t>
  </si>
  <si>
    <t>01/10/2024</t>
  </si>
  <si>
    <t>25/04/2023</t>
  </si>
  <si>
    <t>11/11/2023</t>
  </si>
  <si>
    <t>03/01/2023</t>
  </si>
  <si>
    <t>08/03/2024</t>
  </si>
  <si>
    <t>29/03/2023</t>
  </si>
  <si>
    <t>29/06/2024</t>
  </si>
  <si>
    <t>12/05/2023</t>
  </si>
  <si>
    <t>31/01/2023</t>
  </si>
  <si>
    <t>16/07/2024</t>
  </si>
  <si>
    <t>29/09/2023</t>
  </si>
  <si>
    <t>08/12/2023</t>
  </si>
  <si>
    <t>28/07/2024</t>
  </si>
  <si>
    <t>27/10/2024</t>
  </si>
  <si>
    <t>03/05/2024</t>
  </si>
  <si>
    <t>26/01/2023</t>
  </si>
  <si>
    <t>07/01/2023</t>
  </si>
  <si>
    <t>15/12/2024</t>
  </si>
  <si>
    <t>15/12/2023</t>
  </si>
  <si>
    <t>09/06/2023</t>
  </si>
  <si>
    <t>12/11/2023</t>
  </si>
  <si>
    <t>05/04/2023</t>
  </si>
  <si>
    <t>04/10/2023</t>
  </si>
  <si>
    <t>19/12/2023</t>
  </si>
  <si>
    <t>09/08/2023</t>
  </si>
  <si>
    <t>14/02/2023</t>
  </si>
  <si>
    <t>07/03/2024</t>
  </si>
  <si>
    <t>23/01/2024</t>
  </si>
  <si>
    <t>19/07/2024</t>
  </si>
  <si>
    <t>10/05/2024</t>
  </si>
  <si>
    <t>14/08/2024</t>
  </si>
  <si>
    <t>22/12/2024</t>
  </si>
  <si>
    <t>16/02/2023</t>
  </si>
  <si>
    <t>23/05/2023</t>
  </si>
  <si>
    <t>24/10/2023</t>
  </si>
  <si>
    <t>27/08/2023</t>
  </si>
  <si>
    <t>25/01/2024</t>
  </si>
  <si>
    <t>04/09/2024</t>
  </si>
  <si>
    <t>16/06/2023</t>
  </si>
  <si>
    <t>30/12/2023</t>
  </si>
  <si>
    <t>17/11/2024</t>
  </si>
  <si>
    <t>19/12/2024</t>
  </si>
  <si>
    <t>23/11/2024</t>
  </si>
  <si>
    <t>30/06/2024</t>
  </si>
  <si>
    <t>17/06/2023</t>
  </si>
  <si>
    <t>13/08/2023</t>
  </si>
  <si>
    <t>27/02/2023</t>
  </si>
  <si>
    <t>20/01/2023</t>
  </si>
  <si>
    <t>02/02/2023</t>
  </si>
  <si>
    <t>15/02/2024</t>
  </si>
  <si>
    <t>03/09/2023</t>
  </si>
  <si>
    <t>06/08/2023</t>
  </si>
  <si>
    <t>27/05/2023</t>
  </si>
  <si>
    <t>20/08/2024</t>
  </si>
  <si>
    <t>22/05/2023</t>
  </si>
  <si>
    <t>20/05/2024</t>
  </si>
  <si>
    <t>31/03/2023</t>
  </si>
  <si>
    <t>18/02/2023</t>
  </si>
  <si>
    <t>14/12/2023</t>
  </si>
  <si>
    <t>08/04/2023</t>
  </si>
  <si>
    <t>13/01/2020</t>
  </si>
  <si>
    <t>03/08/2024</t>
  </si>
  <si>
    <t>30/01/2024</t>
  </si>
  <si>
    <t>18/05/2023</t>
  </si>
  <si>
    <t>02/09/2024</t>
  </si>
  <si>
    <t>25/06/2024</t>
  </si>
  <si>
    <t>20/07/2024</t>
  </si>
  <si>
    <t>27/11/2024</t>
  </si>
  <si>
    <t>03/07/2024</t>
  </si>
  <si>
    <t>18/10/2024</t>
  </si>
  <si>
    <t>13/09/2024</t>
  </si>
  <si>
    <t>08/05/2023</t>
  </si>
  <si>
    <t>11/11/2016</t>
  </si>
  <si>
    <t>13/04/2024</t>
  </si>
  <si>
    <t>16/03/2023</t>
  </si>
  <si>
    <t>15/05/2016</t>
  </si>
  <si>
    <t>09/01/2016</t>
  </si>
  <si>
    <t>14/04/2024</t>
  </si>
  <si>
    <t>17/03/2023</t>
  </si>
  <si>
    <t>13/05/2016</t>
  </si>
  <si>
    <t>08/07/2023</t>
  </si>
  <si>
    <t>16/05/2023</t>
  </si>
  <si>
    <t>18/07/2019</t>
  </si>
  <si>
    <t>03/12/2023</t>
  </si>
  <si>
    <t>30/09/2017</t>
  </si>
  <si>
    <t>14/01/2024</t>
  </si>
  <si>
    <t>11/06/2023</t>
  </si>
  <si>
    <t>10/07/2024</t>
  </si>
  <si>
    <t>18/09/2024</t>
  </si>
  <si>
    <t>08/11/2018</t>
  </si>
  <si>
    <t>01/09/2023</t>
  </si>
  <si>
    <t>11/10/2024</t>
  </si>
  <si>
    <t>29/04/2023</t>
  </si>
  <si>
    <t>06/10/2023</t>
  </si>
  <si>
    <t>28/07/2023</t>
  </si>
  <si>
    <t>15/09/2023</t>
  </si>
  <si>
    <t>12/12/2019</t>
  </si>
  <si>
    <t>18/08/2021</t>
  </si>
  <si>
    <t>19/05/2022</t>
  </si>
  <si>
    <t>09/12/2018</t>
  </si>
  <si>
    <t>25/09/2017</t>
  </si>
  <si>
    <t>28/12/2023</t>
  </si>
  <si>
    <t>16/07/2019</t>
  </si>
  <si>
    <t>16/01/2018</t>
  </si>
  <si>
    <t>09/05/2018</t>
  </si>
  <si>
    <t>16/11/2024</t>
  </si>
  <si>
    <t>29/04/2024</t>
  </si>
  <si>
    <t>14/07/2023</t>
  </si>
  <si>
    <t>10/04/2023</t>
  </si>
  <si>
    <t>29/12/2023</t>
  </si>
  <si>
    <t>25/07/2023</t>
  </si>
  <si>
    <t>23/04/2024</t>
  </si>
  <si>
    <t>20/11/2024</t>
  </si>
  <si>
    <t>16/07/2023</t>
  </si>
  <si>
    <t>24/05/2023</t>
  </si>
  <si>
    <t>07/07/2023</t>
  </si>
  <si>
    <t>18/04/2024</t>
  </si>
  <si>
    <t>19/03/2023</t>
  </si>
  <si>
    <t>17/07/2024</t>
  </si>
  <si>
    <t>21/02/2023</t>
  </si>
  <si>
    <t>14/06/2016</t>
  </si>
  <si>
    <t>16/01/2023</t>
  </si>
  <si>
    <t>31/08/2023</t>
  </si>
  <si>
    <t>21/02/2024</t>
  </si>
  <si>
    <t>05/07/2024</t>
  </si>
  <si>
    <t>18/06/2023</t>
  </si>
  <si>
    <t>20/10/2023</t>
  </si>
  <si>
    <t>14/12/2024</t>
  </si>
  <si>
    <t>16/06/2018</t>
  </si>
  <si>
    <t>31/10/2023</t>
  </si>
  <si>
    <t>01/03/2023</t>
  </si>
  <si>
    <t>21/08/2024</t>
  </si>
  <si>
    <t>06/04/2024</t>
  </si>
  <si>
    <t>22/11/2017</t>
  </si>
  <si>
    <t>07/10/2023</t>
  </si>
  <si>
    <t>09/01/2024</t>
  </si>
  <si>
    <t>22/11/2024</t>
  </si>
  <si>
    <t>18/02/2024</t>
  </si>
  <si>
    <t>06/08/2024</t>
  </si>
  <si>
    <t>15/08/2024</t>
  </si>
  <si>
    <t>26/09/2024</t>
  </si>
  <si>
    <t>20/04/2019</t>
  </si>
  <si>
    <t>05/03/2024</t>
  </si>
  <si>
    <t>20/11/2023</t>
  </si>
  <si>
    <t>29/07/2023</t>
  </si>
  <si>
    <t>02/09/2023</t>
  </si>
  <si>
    <t>12/10/2018</t>
  </si>
  <si>
    <t>15/05/2023</t>
  </si>
  <si>
    <t>20/01/2018</t>
  </si>
  <si>
    <t>01/01/2024</t>
  </si>
  <si>
    <t>18/03/2025</t>
  </si>
  <si>
    <t>09/04/2025</t>
  </si>
  <si>
    <t>05/01/2024</t>
  </si>
  <si>
    <t>02/01/2023</t>
  </si>
  <si>
    <t>04/11/2023</t>
  </si>
  <si>
    <t>01/04/2023</t>
  </si>
  <si>
    <t>01/04/2024</t>
  </si>
  <si>
    <t>04/12/2024</t>
  </si>
  <si>
    <t>06/04/2023</t>
  </si>
  <si>
    <t>06/10/2024</t>
  </si>
  <si>
    <t>21/07/2024</t>
  </si>
  <si>
    <t>02/10/2023</t>
  </si>
  <si>
    <t>10/10/2024</t>
  </si>
  <si>
    <t>01/10/2023</t>
  </si>
  <si>
    <t>24/11/2024</t>
  </si>
  <si>
    <t>11/03/2024</t>
  </si>
  <si>
    <t>12/03/2024</t>
  </si>
  <si>
    <t>11/12/2023</t>
  </si>
  <si>
    <t>13/10/2023</t>
  </si>
  <si>
    <t>13/11/2024</t>
  </si>
  <si>
    <t>13/03/2023</t>
  </si>
  <si>
    <t>13/08/2024</t>
  </si>
  <si>
    <t>14/02/2024</t>
  </si>
  <si>
    <t>14/11/2024</t>
  </si>
  <si>
    <t>16/03/2024</t>
  </si>
  <si>
    <t>17/02/2023</t>
  </si>
  <si>
    <t>18/10/2023</t>
  </si>
  <si>
    <t>19/08/2023</t>
  </si>
  <si>
    <t>20/02/2024</t>
  </si>
  <si>
    <t>20/12/2023</t>
  </si>
  <si>
    <t>11/05/2023</t>
  </si>
  <si>
    <t>31/05/2023</t>
  </si>
  <si>
    <t>01/06/2023</t>
  </si>
  <si>
    <t>18/09/2023</t>
  </si>
  <si>
    <t>11/10/2023</t>
  </si>
  <si>
    <t>06/12/2023</t>
  </si>
  <si>
    <t>14/05/2023</t>
  </si>
  <si>
    <t>02/07/2023</t>
  </si>
  <si>
    <t>25/12/2023</t>
  </si>
  <si>
    <t>05/05/2023</t>
  </si>
  <si>
    <t>17/05/2023</t>
  </si>
  <si>
    <t>24/07/2023</t>
  </si>
  <si>
    <t>27/01/2024</t>
  </si>
  <si>
    <t>20/04/2024</t>
  </si>
  <si>
    <t>05/08/2024</t>
  </si>
  <si>
    <t>19/11/2024</t>
  </si>
  <si>
    <t>21/04/2024</t>
  </si>
  <si>
    <t>07/06/2024</t>
  </si>
  <si>
    <t>21/10/2023</t>
  </si>
  <si>
    <t>22/03/2024</t>
  </si>
  <si>
    <t>23/06/2023</t>
  </si>
  <si>
    <t>24/07/2024</t>
  </si>
  <si>
    <t>25/01/2023</t>
  </si>
  <si>
    <t>26/07/2024</t>
  </si>
  <si>
    <t>26/04/2024</t>
  </si>
  <si>
    <t>28/03/2024</t>
  </si>
  <si>
    <t>29/03/2024</t>
  </si>
  <si>
    <t>30/06/2023</t>
  </si>
  <si>
    <t>30/09/2024</t>
  </si>
  <si>
    <t>04/11/2024</t>
  </si>
  <si>
    <t>04/29/2023</t>
  </si>
  <si>
    <t>12/01/2023</t>
  </si>
  <si>
    <t>12/07/2023</t>
  </si>
  <si>
    <t>12/14/2024</t>
  </si>
  <si>
    <t>12/26/2024</t>
  </si>
  <si>
    <t>01/08/2024</t>
  </si>
  <si>
    <t>07/16/2023</t>
  </si>
  <si>
    <t>07/18/2024</t>
  </si>
  <si>
    <t>05/21/2024</t>
  </si>
  <si>
    <t>06/09/2016</t>
  </si>
  <si>
    <t>07/09/2016</t>
  </si>
  <si>
    <t>08/09/2016</t>
  </si>
  <si>
    <t>09/09/2016</t>
  </si>
  <si>
    <t>10/09/2016</t>
  </si>
  <si>
    <t>11/09/2016</t>
  </si>
  <si>
    <t>12/09/2016</t>
  </si>
  <si>
    <t>01/09/2017</t>
  </si>
  <si>
    <t>11/13/2023</t>
  </si>
  <si>
    <t>10/11/2024</t>
  </si>
  <si>
    <t>09/02/2024</t>
  </si>
  <si>
    <t>02/09/2017</t>
  </si>
  <si>
    <t>03/09/2017</t>
  </si>
  <si>
    <t>04/07/2017</t>
  </si>
  <si>
    <t>05/09/2017</t>
  </si>
  <si>
    <t>06/09/2017</t>
  </si>
  <si>
    <t>07/07/2017</t>
  </si>
  <si>
    <t>08/09/2017</t>
  </si>
  <si>
    <t>10/09/2017</t>
  </si>
  <si>
    <t>12/11/2018</t>
  </si>
  <si>
    <t>30/03/2023</t>
  </si>
  <si>
    <t>30/02/2023</t>
  </si>
  <si>
    <t>10/11/2023</t>
  </si>
  <si>
    <t>04/05/2023</t>
  </si>
  <si>
    <t>10/09/2024</t>
  </si>
  <si>
    <t>05/07/2023</t>
  </si>
  <si>
    <t>21/11/2024</t>
  </si>
  <si>
    <t>11/02/2023</t>
  </si>
  <si>
    <t>29/10/2024</t>
  </si>
  <si>
    <t>23/12/2023</t>
  </si>
  <si>
    <t>12/10/2024</t>
  </si>
  <si>
    <t>09/11/2024</t>
  </si>
  <si>
    <t>14/06/2023</t>
  </si>
  <si>
    <t>02/07/2024</t>
  </si>
  <si>
    <t>26/02/2024</t>
  </si>
  <si>
    <t>05/11/2024</t>
  </si>
  <si>
    <t>04/10/2024</t>
  </si>
  <si>
    <t>19/11/2023</t>
  </si>
  <si>
    <t>10/06/2024</t>
  </si>
  <si>
    <t>26/08/2024</t>
  </si>
  <si>
    <t>03/09/2024</t>
  </si>
  <si>
    <t>13/04/2023</t>
  </si>
  <si>
    <t>06/11/2023</t>
  </si>
  <si>
    <t>26/12/2024</t>
  </si>
  <si>
    <t>08/10/2023</t>
  </si>
  <si>
    <t>25/02/2023</t>
  </si>
  <si>
    <t>27/10/2023</t>
  </si>
  <si>
    <t>15/10/2024</t>
  </si>
  <si>
    <t>16/04/2023</t>
  </si>
  <si>
    <t>10/08/2024</t>
  </si>
  <si>
    <t>25/04/2024</t>
  </si>
  <si>
    <t>27/03/2024</t>
  </si>
  <si>
    <t>16/09/2023</t>
  </si>
  <si>
    <t>08/03/2023</t>
  </si>
  <si>
    <t>18/05/2024</t>
  </si>
  <si>
    <t>05/06/2023</t>
  </si>
  <si>
    <t>30/07/2024</t>
  </si>
  <si>
    <t>02/05/2023</t>
  </si>
  <si>
    <t>02/03/2024</t>
  </si>
  <si>
    <t>25/08/2024</t>
  </si>
  <si>
    <t>09/11/2023</t>
  </si>
  <si>
    <t>16/09/2024</t>
  </si>
  <si>
    <t>01/08/2023</t>
  </si>
  <si>
    <t>27/12/2023</t>
  </si>
  <si>
    <t>28/09/2023</t>
  </si>
  <si>
    <t>10/06/2023</t>
  </si>
  <si>
    <t>23/02/2024</t>
  </si>
  <si>
    <t>06/12/2024</t>
  </si>
  <si>
    <t>26/10/2023</t>
  </si>
  <si>
    <t>26/08/2023</t>
  </si>
  <si>
    <t>24/12/2024</t>
  </si>
  <si>
    <t>20/12/2024</t>
  </si>
  <si>
    <t>14/03/2023</t>
  </si>
  <si>
    <t>03/11/2024</t>
  </si>
  <si>
    <t>05/10/2023</t>
  </si>
  <si>
    <t>30/09/2023</t>
  </si>
  <si>
    <t>15/03/2023</t>
  </si>
  <si>
    <t>25/03/2024</t>
  </si>
  <si>
    <t>24/04/2024</t>
  </si>
  <si>
    <t>17/12/2024</t>
  </si>
  <si>
    <t>24/03/2023</t>
  </si>
  <si>
    <t>18/03/2024</t>
  </si>
  <si>
    <t>06/01/2024</t>
  </si>
  <si>
    <t>12/04/2023</t>
  </si>
  <si>
    <t>24/06/2022</t>
  </si>
  <si>
    <t>17/11/2023</t>
  </si>
  <si>
    <t>04/31/2022</t>
  </si>
  <si>
    <t>09/04/2023</t>
  </si>
  <si>
    <t>11/06/2026</t>
  </si>
  <si>
    <t>03/02/2022</t>
  </si>
  <si>
    <t>22/02/2023</t>
  </si>
  <si>
    <t>15/07/2024</t>
  </si>
  <si>
    <t>18/08/2023</t>
  </si>
  <si>
    <t>02/11/2022</t>
  </si>
  <si>
    <t>03/06/2023</t>
  </si>
  <si>
    <t>09/12/2024</t>
  </si>
  <si>
    <t>15/06/2021</t>
  </si>
  <si>
    <t>11/08/2024</t>
  </si>
  <si>
    <t>12/05/2024</t>
  </si>
  <si>
    <t>08/06/2024</t>
  </si>
  <si>
    <t>24/04/2023</t>
  </si>
  <si>
    <t>23/06/2024</t>
  </si>
  <si>
    <t>05/09/2024</t>
  </si>
  <si>
    <t>01/02/2023</t>
  </si>
  <si>
    <t>05/11/2023</t>
  </si>
  <si>
    <t>21/05/2023</t>
  </si>
  <si>
    <t>Row Labels</t>
  </si>
  <si>
    <t>Grand Total</t>
  </si>
  <si>
    <t>Count of Patient_ID</t>
  </si>
  <si>
    <t>age group</t>
  </si>
  <si>
    <t>20-29</t>
  </si>
  <si>
    <t>30-39</t>
  </si>
  <si>
    <t>40-49</t>
  </si>
  <si>
    <t>50-59</t>
  </si>
  <si>
    <t>60-69</t>
  </si>
  <si>
    <t>70-79</t>
  </si>
  <si>
    <t>80-89</t>
  </si>
  <si>
    <t>Age Group</t>
  </si>
  <si>
    <t>age count</t>
  </si>
  <si>
    <t>Admission Trend</t>
  </si>
  <si>
    <t>10/02/2024</t>
  </si>
  <si>
    <t>Admission Year</t>
  </si>
  <si>
    <t>Diagnosis Year</t>
  </si>
  <si>
    <t>Treatment Start Year</t>
  </si>
  <si>
    <t>Surgery Year</t>
  </si>
  <si>
    <t>Discharge Year</t>
  </si>
  <si>
    <t>Follow Up Visit Year</t>
  </si>
  <si>
    <t>08/09/2023</t>
  </si>
  <si>
    <t>14-08-2025</t>
  </si>
  <si>
    <t>14/08/2025</t>
  </si>
  <si>
    <t>Admission Year 1</t>
  </si>
  <si>
    <t>Admission Year 2</t>
  </si>
  <si>
    <t>Diagnosis Year 1</t>
  </si>
  <si>
    <t>Diagnosis Year 2</t>
  </si>
  <si>
    <t>Surgery Year 2</t>
  </si>
  <si>
    <t>Surgery Year 1</t>
  </si>
  <si>
    <t>Discharge Year 1</t>
  </si>
  <si>
    <t>Discharge Year 2</t>
  </si>
  <si>
    <t>Follow Up Visit Year 1</t>
  </si>
  <si>
    <t>Follow Up Visit Year 2</t>
  </si>
  <si>
    <t>check for incorrect sequence</t>
  </si>
  <si>
    <t>New Sequence</t>
  </si>
  <si>
    <t>Diagnosis Trend</t>
  </si>
  <si>
    <t>Treatment Start Timeline</t>
  </si>
  <si>
    <t>Surgery Count</t>
  </si>
  <si>
    <t>Discharge Trend</t>
  </si>
  <si>
    <t>Follow Up Visit Schedule</t>
  </si>
  <si>
    <t>Diagnosis Delay</t>
  </si>
  <si>
    <t>Treatment Delay</t>
  </si>
  <si>
    <t>Total Journey</t>
  </si>
  <si>
    <t>Average of Diagnosis Delay</t>
  </si>
  <si>
    <t>Average of Treatment Delay</t>
  </si>
  <si>
    <t>Count of Total Journey</t>
  </si>
  <si>
    <t>count incorrect sequence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</si>
</sst>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x14ac:knownFonts="1">
    <font>
      <sz val="11"/>
      <name val="Arial"/>
    </font>
    <font>
      <sz val="11"/>
      <name val="Arial"/>
      <family val="2"/>
    </font>
    <font>
      <sz val="8"/>
      <name val="Arial"/>
    </font>
  </fonts>
  <fills count="6">
    <fill>
      <patternFill patternType="none"/>
    </fill>
    <fill>
      <patternFill patternType="gray125"/>
    </fill>
    <fill>
      <patternFill patternType="none">
        <bgColor indexed="64"/>
      </patternFill>
    </fill>
    <fill>
      <patternFill patternType="solid">
        <fgColor theme="9"/>
        <bgColor indexed="64"/>
      </patternFill>
    </fill>
    <fill>
      <patternFill patternType="solid">
        <fgColor theme="7" tint="-0.499984740745262"/>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6">
    <xf numFmtId="0" fontId="0" fillId="0" borderId="0" xfId="0">
      <alignment vertical="center"/>
    </xf>
    <xf numFmtId="0" fontId="0" fillId="2" borderId="0" xfId="0" applyFill="1" applyAlignment="1">
      <alignment horizontal="center" vertical="top" wrapText="1"/>
    </xf>
    <xf numFmtId="0" fontId="0" fillId="2" borderId="0" xfId="0" applyFill="1" applyAlignment="1">
      <alignment vertical="top" wrapText="1"/>
    </xf>
    <xf numFmtId="0" fontId="0" fillId="2" borderId="0" xfId="0" applyFill="1" applyAlignment="1">
      <alignment wrapText="1"/>
    </xf>
    <xf numFmtId="0" fontId="0" fillId="2" borderId="0" xfId="0" applyFill="1" applyAlignment="1">
      <alignment horizontal="right" wrapText="1"/>
    </xf>
    <xf numFmtId="0" fontId="0" fillId="0" borderId="1" xfId="0" applyBorder="1">
      <alignment vertical="center"/>
    </xf>
    <xf numFmtId="0" fontId="1" fillId="0" borderId="0" xfId="0" applyFont="1">
      <alignment vertical="center"/>
    </xf>
    <xf numFmtId="0" fontId="1" fillId="0" borderId="1" xfId="0" applyFont="1" applyBorder="1">
      <alignment vertical="center"/>
    </xf>
    <xf numFmtId="0" fontId="1" fillId="2" borderId="0" xfId="0" applyFont="1" applyFill="1">
      <alignment vertical="center"/>
    </xf>
    <xf numFmtId="0" fontId="1" fillId="2" borderId="1" xfId="0" applyFont="1" applyFill="1" applyBorder="1">
      <alignment vertical="center"/>
    </xf>
    <xf numFmtId="0" fontId="0" fillId="3" borderId="0" xfId="0" applyFill="1">
      <alignment vertical="center"/>
    </xf>
    <xf numFmtId="15" fontId="0" fillId="0" borderId="0" xfId="0" applyNumberFormat="1">
      <alignment vertical="center"/>
    </xf>
    <xf numFmtId="14" fontId="0" fillId="0" borderId="0" xfId="0" applyNumberFormat="1">
      <alignment vertical="center"/>
    </xf>
    <xf numFmtId="0" fontId="1" fillId="3" borderId="0" xfId="0" applyFont="1" applyFill="1">
      <alignment vertical="center"/>
    </xf>
    <xf numFmtId="0" fontId="1" fillId="4" borderId="0" xfId="0" applyFont="1" applyFill="1">
      <alignment vertical="center"/>
    </xf>
    <xf numFmtId="0" fontId="0" fillId="4" borderId="0" xfId="0" applyFill="1">
      <alignment vertical="center"/>
    </xf>
    <xf numFmtId="164" fontId="1" fillId="3" borderId="0" xfId="0" applyNumberFormat="1" applyFont="1" applyFill="1">
      <alignment vertical="center"/>
    </xf>
    <xf numFmtId="164" fontId="0" fillId="3" borderId="0" xfId="0" applyNumberFormat="1" applyFill="1">
      <alignment vertical="center"/>
    </xf>
    <xf numFmtId="14" fontId="1" fillId="0" borderId="0" xfId="0" applyNumberFormat="1" applyFont="1">
      <alignment vertical="center"/>
    </xf>
    <xf numFmtId="22" fontId="0" fillId="0" borderId="0" xfId="0" applyNumberFormat="1">
      <alignment vertical="center"/>
    </xf>
    <xf numFmtId="164" fontId="1" fillId="4" borderId="0" xfId="0" applyNumberFormat="1" applyFont="1" applyFill="1">
      <alignment vertical="center"/>
    </xf>
    <xf numFmtId="164" fontId="0" fillId="4" borderId="0" xfId="0" applyNumberFormat="1" applyFill="1">
      <alignment vertical="center"/>
    </xf>
    <xf numFmtId="0" fontId="0" fillId="0" borderId="0" xfId="0" pivotButton="1">
      <alignment vertical="center"/>
    </xf>
    <xf numFmtId="0" fontId="0" fillId="0" borderId="0" xfId="0" applyAlignment="1">
      <alignment horizontal="left" vertical="center"/>
    </xf>
    <xf numFmtId="14" fontId="0" fillId="2" borderId="0" xfId="0" applyNumberFormat="1" applyFill="1" applyAlignment="1">
      <alignment wrapText="1"/>
    </xf>
    <xf numFmtId="0" fontId="1" fillId="2" borderId="0" xfId="0" applyFont="1" applyFill="1" applyAlignment="1">
      <alignment wrapText="1"/>
    </xf>
    <xf numFmtId="0" fontId="1" fillId="5" borderId="0" xfId="0" applyFont="1" applyFill="1">
      <alignment vertical="center"/>
    </xf>
    <xf numFmtId="0" fontId="0" fillId="5" borderId="0" xfId="0" applyFill="1">
      <alignment vertical="center"/>
    </xf>
    <xf numFmtId="164" fontId="1" fillId="5" borderId="0" xfId="0" applyNumberFormat="1" applyFont="1" applyFill="1">
      <alignment vertical="center"/>
    </xf>
    <xf numFmtId="164" fontId="0" fillId="5" borderId="0" xfId="0" applyNumberFormat="1" applyFill="1">
      <alignment vertical="center"/>
    </xf>
    <xf numFmtId="0" fontId="0" fillId="0" borderId="0" xfId="0" applyNumberFormat="1">
      <alignment vertical="center"/>
    </xf>
    <xf numFmtId="0" fontId="0" fillId="0" borderId="0" xfId="0" applyFont="1" applyAlignment="1">
      <alignment horizontal="left" vertical="center"/>
    </xf>
    <xf numFmtId="0" fontId="0" fillId="0" borderId="0" xfId="0" applyAlignment="1">
      <alignment horizontal="right" vertical="center"/>
    </xf>
    <xf numFmtId="0" fontId="0" fillId="0" borderId="0" xfId="0" applyBorder="1">
      <alignment vertical="center"/>
    </xf>
    <xf numFmtId="0" fontId="0" fillId="0" borderId="0" xfId="0" applyAlignment="1"/>
    <xf numFmtId="0" fontId="0" fillId="0" borderId="0" xfId="0" applyAlignment="1">
      <alignment horizontal="center" vertical="center"/>
    </xf>
  </cellXfs>
  <cellStyles count="1">
    <cellStyle name="Normal" xfId="0" builtinId="0"/>
  </cellStyles>
  <dxfs count="62">
    <dxf>
      <numFmt numFmtId="0" formatCode="General"/>
    </dxf>
    <dxf>
      <numFmt numFmtId="0" formatCode="General"/>
    </dxf>
    <dxf>
      <numFmt numFmtId="0" formatCode="General"/>
    </dxf>
    <dxf>
      <numFmt numFmtId="0" formatCode="General"/>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Arial"/>
        <scheme val="none"/>
      </font>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Arial"/>
        <scheme val="none"/>
      </font>
    </dxf>
    <dxf>
      <numFmt numFmtId="0" formatCode="General"/>
      <fill>
        <patternFill patternType="solid">
          <fgColor indexed="64"/>
          <bgColor theme="5"/>
        </patternFill>
      </fill>
    </dxf>
    <dxf>
      <numFmt numFmtId="0" formatCode="General"/>
      <fill>
        <patternFill patternType="solid">
          <fgColor indexed="64"/>
          <bgColor theme="5"/>
        </patternFill>
      </fill>
    </dxf>
    <dxf>
      <numFmt numFmtId="0" formatCode="General"/>
      <fill>
        <patternFill patternType="solid">
          <fgColor indexed="64"/>
          <bgColor theme="9"/>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5"/>
        </patternFill>
      </fill>
    </dxf>
    <dxf>
      <numFmt numFmtId="0" formatCode="General"/>
      <fill>
        <patternFill patternType="solid">
          <fgColor indexed="64"/>
          <bgColor theme="5"/>
        </patternFill>
      </fill>
    </dxf>
    <dxf>
      <numFmt numFmtId="0" formatCode="General"/>
      <fill>
        <patternFill patternType="solid">
          <fgColor indexed="64"/>
          <bgColor theme="9"/>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5"/>
        </patternFill>
      </fill>
    </dxf>
    <dxf>
      <numFmt numFmtId="0" formatCode="General"/>
      <fill>
        <patternFill patternType="solid">
          <fgColor indexed="64"/>
          <bgColor theme="5"/>
        </patternFill>
      </fill>
    </dxf>
    <dxf>
      <numFmt numFmtId="0" formatCode="General"/>
      <fill>
        <patternFill patternType="solid">
          <fgColor indexed="64"/>
          <bgColor theme="9"/>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font>
        <b val="0"/>
        <i val="0"/>
        <strike val="0"/>
        <condense val="0"/>
        <extend val="0"/>
        <outline val="0"/>
        <shadow val="0"/>
        <u val="none"/>
        <vertAlign val="baseline"/>
        <sz val="11"/>
        <color auto="1"/>
        <name val="Arial"/>
        <scheme val="none"/>
      </font>
      <numFmt numFmtId="164" formatCode="dd\,mm\,yyyy"/>
      <fill>
        <patternFill patternType="solid">
          <fgColor indexed="64"/>
          <bgColor theme="5"/>
        </patternFill>
      </fill>
    </dxf>
    <dxf>
      <numFmt numFmtId="164" formatCode="dd\,mm\,yyyy"/>
      <fill>
        <patternFill patternType="solid">
          <fgColor indexed="64"/>
          <bgColor theme="9"/>
        </patternFill>
      </fill>
    </dxf>
    <dxf>
      <numFmt numFmtId="164" formatCode="dd\,mm\,yyyy"/>
      <fill>
        <patternFill patternType="solid">
          <fgColor indexed="64"/>
          <bgColor theme="7" tint="-0.499984740745262"/>
        </patternFill>
      </fill>
    </dxf>
    <dxf>
      <numFmt numFmtId="164" formatCode="dd\,mm\,yyyy"/>
      <fill>
        <patternFill patternType="solid">
          <fgColor indexed="64"/>
          <bgColor theme="7" tint="-0.499984740745262"/>
        </patternFill>
      </fill>
    </dxf>
    <dxf>
      <numFmt numFmtId="164" formatCode="dd\,mm\,yyyy"/>
      <fill>
        <patternFill patternType="solid">
          <fgColor indexed="64"/>
          <bgColor theme="7" tint="-0.499984740745262"/>
        </patternFill>
      </fill>
    </dxf>
    <dxf>
      <numFmt numFmtId="0" formatCode="General"/>
      <fill>
        <patternFill patternType="solid">
          <fgColor indexed="64"/>
          <bgColor theme="5"/>
        </patternFill>
      </fill>
    </dxf>
    <dxf>
      <numFmt numFmtId="0" formatCode="General"/>
      <fill>
        <patternFill patternType="solid">
          <fgColor indexed="64"/>
          <bgColor theme="5"/>
        </patternFill>
      </fill>
    </dxf>
    <dxf>
      <numFmt numFmtId="0" formatCode="General"/>
      <fill>
        <patternFill patternType="solid">
          <fgColor indexed="64"/>
          <bgColor theme="9"/>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5"/>
        </patternFill>
      </fill>
    </dxf>
    <dxf>
      <numFmt numFmtId="0" formatCode="General"/>
      <fill>
        <patternFill patternType="solid">
          <fgColor indexed="64"/>
          <bgColor theme="5"/>
        </patternFill>
      </fill>
    </dxf>
    <dxf>
      <numFmt numFmtId="0" formatCode="General"/>
      <fill>
        <patternFill patternType="solid">
          <fgColor indexed="64"/>
          <bgColor theme="9"/>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7" tint="-0.499984740745262"/>
        </patternFill>
      </fill>
    </dxf>
    <dxf>
      <numFmt numFmtId="0" formatCode="General"/>
      <fill>
        <patternFill patternType="solid">
          <fgColor indexed="64"/>
          <bgColor theme="9"/>
        </patternFill>
      </fill>
    </dxf>
    <dxf>
      <font>
        <b val="0"/>
        <i val="0"/>
        <sz val="8"/>
        <name val="Calibri"/>
        <scheme val="minor"/>
      </font>
      <fill>
        <patternFill patternType="solid">
          <bgColor theme="0"/>
        </patternFill>
      </fill>
    </dxf>
  </dxfs>
  <tableStyles count="1" defaultTableStyle="TableStyleMedium2" defaultPivotStyle="PivotStyleLight16">
    <tableStyle name="Slicer Style 1" pivot="0" table="0" count="3">
      <tableStyleElement type="wholeTable" dxfId="61"/>
    </tableStyle>
  </tableStyles>
  <extLst>
    <ext xmlns:x14="http://schemas.microsoft.com/office/spreadsheetml/2009/9/main" uri="{46F421CA-312F-682f-3DD2-61675219B42D}">
      <x14:dxfs count="2">
        <dxf>
          <font>
            <b val="0"/>
            <i val="0"/>
            <sz val="8"/>
            <name val="Calibri"/>
            <scheme val="minor"/>
          </font>
          <fill>
            <patternFill>
              <bgColor theme="4" tint="0.39994506668294322"/>
            </patternFill>
          </fill>
          <border diagonalUp="0" diagonalDown="0">
            <left/>
            <right/>
            <top/>
            <bottom/>
            <vertical/>
            <horizontal/>
          </border>
        </dxf>
        <dxf>
          <font>
            <b val="0"/>
            <i val="0"/>
            <sz val="8"/>
            <color theme="0"/>
            <name val="Calibri"/>
            <scheme val="minor"/>
          </font>
          <fill>
            <patternFill>
              <bgColor theme="4"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pivotFmt>
      <c:pivotFmt>
        <c:idx val="1"/>
        <c:spPr>
          <a:solidFill>
            <a:schemeClr val="accent2"/>
          </a:solidFill>
          <a:ln>
            <a:noFill/>
          </a:ln>
          <a:effectLst/>
        </c:spPr>
      </c:pivotFmt>
      <c:pivotFmt>
        <c:idx val="2"/>
      </c:pivotFmt>
    </c:pivotFmts>
    <c:plotArea>
      <c:layout/>
      <c:doughnutChart>
        <c:varyColors val="1"/>
        <c:ser>
          <c:idx val="0"/>
          <c:order val="0"/>
          <c:tx>
            <c:strRef>
              <c:f>'Pivot Table'!$B$3</c:f>
              <c:strCache>
                <c:ptCount val="1"/>
                <c:pt idx="0">
                  <c:v>Total</c:v>
                </c:pt>
              </c:strCache>
            </c:strRef>
          </c:tx>
          <c:dPt>
            <c:idx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1-57DA-4EFB-96D0-2EB75E36F69B}"/>
              </c:ext>
            </c:extLst>
          </c:dPt>
          <c:cat>
            <c:strRef>
              <c:f>'Pivot Table'!$A$4:$A$6</c:f>
              <c:strCache>
                <c:ptCount val="2"/>
                <c:pt idx="0">
                  <c:v>Female</c:v>
                </c:pt>
                <c:pt idx="1">
                  <c:v>Male</c:v>
                </c:pt>
              </c:strCache>
            </c:strRef>
          </c:cat>
          <c:val>
            <c:numRef>
              <c:f>'Pivot Table'!$B$4:$B$6</c:f>
              <c:numCache>
                <c:formatCode>General</c:formatCode>
                <c:ptCount val="2"/>
                <c:pt idx="0">
                  <c:v>67</c:v>
                </c:pt>
                <c:pt idx="1">
                  <c:v>65</c:v>
                </c:pt>
              </c:numCache>
            </c:numRef>
          </c:val>
          <c:extLst xmlns:c16r2="http://schemas.microsoft.com/office/drawing/2015/06/chart">
            <c:ext xmlns:c16="http://schemas.microsoft.com/office/drawing/2014/chart" uri="{C3380CC4-5D6E-409C-BE32-E72D297353CC}">
              <c16:uniqueId val="{00000000-BEB3-41AF-97B6-E683FF0D3B4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effectLst/>
        </c:spPr>
        <c:marker>
          <c:symbol val="none"/>
        </c:marker>
      </c:pivotFmt>
    </c:pivotFmts>
    <c:plotArea>
      <c:layout/>
      <c:barChart>
        <c:barDir val="col"/>
        <c:grouping val="stacked"/>
        <c:varyColors val="0"/>
        <c:ser>
          <c:idx val="0"/>
          <c:order val="0"/>
          <c:tx>
            <c:strRef>
              <c:f>'Pivot Table'!$B$10</c:f>
              <c:strCache>
                <c:ptCount val="1"/>
                <c:pt idx="0">
                  <c:v>Total</c:v>
                </c:pt>
              </c:strCache>
            </c:strRef>
          </c:tx>
          <c:spPr>
            <a:solidFill>
              <a:schemeClr val="accent1"/>
            </a:solidFill>
            <a:effectLst/>
          </c:spPr>
          <c:invertIfNegative val="0"/>
          <c:cat>
            <c:strRef>
              <c:f>'Pivot Table'!$A$11:$A$18</c:f>
              <c:strCache>
                <c:ptCount val="7"/>
                <c:pt idx="0">
                  <c:v>20-29</c:v>
                </c:pt>
                <c:pt idx="1">
                  <c:v>30-39</c:v>
                </c:pt>
                <c:pt idx="2">
                  <c:v>40-49</c:v>
                </c:pt>
                <c:pt idx="3">
                  <c:v>50-59</c:v>
                </c:pt>
                <c:pt idx="4">
                  <c:v>60-69</c:v>
                </c:pt>
                <c:pt idx="5">
                  <c:v>70-79</c:v>
                </c:pt>
                <c:pt idx="6">
                  <c:v>80-89</c:v>
                </c:pt>
              </c:strCache>
            </c:strRef>
          </c:cat>
          <c:val>
            <c:numRef>
              <c:f>'Pivot Table'!$B$11:$B$18</c:f>
              <c:numCache>
                <c:formatCode>General</c:formatCode>
                <c:ptCount val="7"/>
                <c:pt idx="0">
                  <c:v>26</c:v>
                </c:pt>
                <c:pt idx="1">
                  <c:v>14</c:v>
                </c:pt>
                <c:pt idx="2">
                  <c:v>19</c:v>
                </c:pt>
                <c:pt idx="3">
                  <c:v>16</c:v>
                </c:pt>
                <c:pt idx="4">
                  <c:v>19</c:v>
                </c:pt>
                <c:pt idx="5">
                  <c:v>20</c:v>
                </c:pt>
                <c:pt idx="6">
                  <c:v>18</c:v>
                </c:pt>
              </c:numCache>
            </c:numRef>
          </c:val>
          <c:extLst xmlns:c16r2="http://schemas.microsoft.com/office/drawing/2015/06/chart">
            <c:ext xmlns:c16="http://schemas.microsoft.com/office/drawing/2014/chart" uri="{C3380CC4-5D6E-409C-BE32-E72D297353CC}">
              <c16:uniqueId val="{00000000-8387-4002-854A-D2DFC3750C8B}"/>
            </c:ext>
          </c:extLst>
        </c:ser>
        <c:dLbls>
          <c:showLegendKey val="0"/>
          <c:showVal val="0"/>
          <c:showCatName val="0"/>
          <c:showSerName val="0"/>
          <c:showPercent val="0"/>
          <c:showBubbleSize val="0"/>
        </c:dLbls>
        <c:gapWidth val="219"/>
        <c:overlap val="100"/>
        <c:axId val="149912960"/>
        <c:axId val="149914752"/>
      </c:barChart>
      <c:catAx>
        <c:axId val="14991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4752"/>
        <c:crosses val="autoZero"/>
        <c:auto val="1"/>
        <c:lblAlgn val="ctr"/>
        <c:lblOffset val="100"/>
        <c:noMultiLvlLbl val="0"/>
      </c:catAx>
      <c:valAx>
        <c:axId val="14991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Table'!$B$22</c:f>
              <c:strCache>
                <c:ptCount val="1"/>
                <c:pt idx="0">
                  <c:v>Total</c:v>
                </c:pt>
              </c:strCache>
            </c:strRef>
          </c:tx>
          <c:spPr>
            <a:ln w="28575" cap="rnd">
              <a:solidFill>
                <a:schemeClr val="accent1"/>
              </a:solidFill>
              <a:round/>
            </a:ln>
            <a:effectLst/>
          </c:spPr>
          <c:marker>
            <c:symbol val="none"/>
          </c:marker>
          <c:cat>
            <c:strRef>
              <c:f>'Pivot Table'!$A$23:$A$30</c:f>
              <c:strCache>
                <c:ptCount val="7"/>
                <c:pt idx="0">
                  <c:v>2003</c:v>
                </c:pt>
                <c:pt idx="1">
                  <c:v>2016</c:v>
                </c:pt>
                <c:pt idx="2">
                  <c:v>2017</c:v>
                </c:pt>
                <c:pt idx="3">
                  <c:v>2018</c:v>
                </c:pt>
                <c:pt idx="4">
                  <c:v>2019</c:v>
                </c:pt>
                <c:pt idx="5">
                  <c:v>2022</c:v>
                </c:pt>
                <c:pt idx="6">
                  <c:v>2023</c:v>
                </c:pt>
              </c:strCache>
            </c:strRef>
          </c:cat>
          <c:val>
            <c:numRef>
              <c:f>'Pivot Table'!$B$23:$B$30</c:f>
              <c:numCache>
                <c:formatCode>General</c:formatCode>
                <c:ptCount val="7"/>
                <c:pt idx="0">
                  <c:v>10</c:v>
                </c:pt>
                <c:pt idx="1">
                  <c:v>38</c:v>
                </c:pt>
                <c:pt idx="2">
                  <c:v>32</c:v>
                </c:pt>
                <c:pt idx="3">
                  <c:v>36</c:v>
                </c:pt>
                <c:pt idx="4">
                  <c:v>14</c:v>
                </c:pt>
                <c:pt idx="5">
                  <c:v>1</c:v>
                </c:pt>
                <c:pt idx="6">
                  <c:v>1</c:v>
                </c:pt>
              </c:numCache>
            </c:numRef>
          </c:val>
          <c:smooth val="0"/>
          <c:extLst xmlns:c16r2="http://schemas.microsoft.com/office/drawing/2015/06/chart">
            <c:ext xmlns:c16="http://schemas.microsoft.com/office/drawing/2014/chart" uri="{C3380CC4-5D6E-409C-BE32-E72D297353CC}">
              <c16:uniqueId val="{00000000-FFC4-45C2-B41F-1CF0301705D3}"/>
            </c:ext>
          </c:extLst>
        </c:ser>
        <c:dLbls>
          <c:showLegendKey val="0"/>
          <c:showVal val="0"/>
          <c:showCatName val="0"/>
          <c:showSerName val="0"/>
          <c:showPercent val="0"/>
          <c:showBubbleSize val="0"/>
        </c:dLbls>
        <c:marker val="1"/>
        <c:smooth val="0"/>
        <c:axId val="151001728"/>
        <c:axId val="151007616"/>
      </c:lineChart>
      <c:catAx>
        <c:axId val="1510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7616"/>
        <c:crosses val="autoZero"/>
        <c:auto val="1"/>
        <c:lblAlgn val="ctr"/>
        <c:lblOffset val="100"/>
        <c:noMultiLvlLbl val="0"/>
      </c:catAx>
      <c:valAx>
        <c:axId val="15100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none"/>
          </c:marker>
          <c:cat>
            <c:strRef>
              <c:f>'Pivot Table'!$A$35:$A$44</c:f>
              <c:strCache>
                <c:ptCount val="9"/>
                <c:pt idx="0">
                  <c:v>2016</c:v>
                </c:pt>
                <c:pt idx="1">
                  <c:v>2017</c:v>
                </c:pt>
                <c:pt idx="2">
                  <c:v>2018</c:v>
                </c:pt>
                <c:pt idx="3">
                  <c:v>2019</c:v>
                </c:pt>
                <c:pt idx="4">
                  <c:v>2020</c:v>
                </c:pt>
                <c:pt idx="5">
                  <c:v>2021</c:v>
                </c:pt>
                <c:pt idx="6">
                  <c:v>2022</c:v>
                </c:pt>
                <c:pt idx="7">
                  <c:v>2023</c:v>
                </c:pt>
                <c:pt idx="8">
                  <c:v>2024</c:v>
                </c:pt>
              </c:strCache>
            </c:strRef>
          </c:cat>
          <c:val>
            <c:numRef>
              <c:f>'Pivot Table'!$B$35:$B$44</c:f>
              <c:numCache>
                <c:formatCode>General</c:formatCode>
                <c:ptCount val="9"/>
                <c:pt idx="0">
                  <c:v>6</c:v>
                </c:pt>
                <c:pt idx="1">
                  <c:v>12</c:v>
                </c:pt>
                <c:pt idx="2">
                  <c:v>28</c:v>
                </c:pt>
                <c:pt idx="3">
                  <c:v>12</c:v>
                </c:pt>
                <c:pt idx="4">
                  <c:v>7</c:v>
                </c:pt>
                <c:pt idx="5">
                  <c:v>1</c:v>
                </c:pt>
                <c:pt idx="6">
                  <c:v>19</c:v>
                </c:pt>
                <c:pt idx="7">
                  <c:v>45</c:v>
                </c:pt>
                <c:pt idx="8">
                  <c:v>2</c:v>
                </c:pt>
              </c:numCache>
            </c:numRef>
          </c:val>
          <c:smooth val="0"/>
          <c:extLst xmlns:c16r2="http://schemas.microsoft.com/office/drawing/2015/06/chart">
            <c:ext xmlns:c16="http://schemas.microsoft.com/office/drawing/2014/chart" uri="{C3380CC4-5D6E-409C-BE32-E72D297353CC}">
              <c16:uniqueId val="{00000000-FFDD-46F8-B5FF-A6F810BE8E62}"/>
            </c:ext>
          </c:extLst>
        </c:ser>
        <c:dLbls>
          <c:showLegendKey val="0"/>
          <c:showVal val="0"/>
          <c:showCatName val="0"/>
          <c:showSerName val="0"/>
          <c:showPercent val="0"/>
          <c:showBubbleSize val="0"/>
        </c:dLbls>
        <c:marker val="1"/>
        <c:smooth val="0"/>
        <c:axId val="151041920"/>
        <c:axId val="151043456"/>
      </c:lineChart>
      <c:catAx>
        <c:axId val="1510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3456"/>
        <c:crosses val="autoZero"/>
        <c:auto val="1"/>
        <c:lblAlgn val="ctr"/>
        <c:lblOffset val="100"/>
        <c:noMultiLvlLbl val="0"/>
      </c:catAx>
      <c:valAx>
        <c:axId val="15104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Table'!$B$48</c:f>
              <c:strCache>
                <c:ptCount val="1"/>
                <c:pt idx="0">
                  <c:v>Total</c:v>
                </c:pt>
              </c:strCache>
            </c:strRef>
          </c:tx>
          <c:spPr>
            <a:ln w="28575" cap="rnd">
              <a:solidFill>
                <a:schemeClr val="accent1"/>
              </a:solidFill>
              <a:round/>
            </a:ln>
            <a:effectLst/>
          </c:spPr>
          <c:marker>
            <c:symbol val="none"/>
          </c:marker>
          <c:cat>
            <c:strRef>
              <c:f>'Pivot Table'!$A$49:$A$58</c:f>
              <c:strCache>
                <c:ptCount val="9"/>
                <c:pt idx="0">
                  <c:v>2017</c:v>
                </c:pt>
                <c:pt idx="1">
                  <c:v>2018</c:v>
                </c:pt>
                <c:pt idx="2">
                  <c:v>2019</c:v>
                </c:pt>
                <c:pt idx="3">
                  <c:v>2020</c:v>
                </c:pt>
                <c:pt idx="4">
                  <c:v>2021</c:v>
                </c:pt>
                <c:pt idx="5">
                  <c:v>2022</c:v>
                </c:pt>
                <c:pt idx="6">
                  <c:v>2023</c:v>
                </c:pt>
                <c:pt idx="7">
                  <c:v>2024</c:v>
                </c:pt>
                <c:pt idx="8">
                  <c:v>Unknown</c:v>
                </c:pt>
              </c:strCache>
            </c:strRef>
          </c:cat>
          <c:val>
            <c:numRef>
              <c:f>'Pivot Table'!$B$49:$B$58</c:f>
              <c:numCache>
                <c:formatCode>General</c:formatCode>
                <c:ptCount val="9"/>
                <c:pt idx="0">
                  <c:v>1</c:v>
                </c:pt>
                <c:pt idx="1">
                  <c:v>3</c:v>
                </c:pt>
                <c:pt idx="2">
                  <c:v>2</c:v>
                </c:pt>
                <c:pt idx="3">
                  <c:v>4</c:v>
                </c:pt>
                <c:pt idx="4">
                  <c:v>1</c:v>
                </c:pt>
                <c:pt idx="5">
                  <c:v>11</c:v>
                </c:pt>
                <c:pt idx="6">
                  <c:v>95</c:v>
                </c:pt>
                <c:pt idx="7">
                  <c:v>14</c:v>
                </c:pt>
                <c:pt idx="8">
                  <c:v>1</c:v>
                </c:pt>
              </c:numCache>
            </c:numRef>
          </c:val>
          <c:smooth val="0"/>
          <c:extLst xmlns:c16r2="http://schemas.microsoft.com/office/drawing/2015/06/chart">
            <c:ext xmlns:c16="http://schemas.microsoft.com/office/drawing/2014/chart" uri="{C3380CC4-5D6E-409C-BE32-E72D297353CC}">
              <c16:uniqueId val="{00000000-006E-4D6E-83AD-7622AA768A3A}"/>
            </c:ext>
          </c:extLst>
        </c:ser>
        <c:dLbls>
          <c:showLegendKey val="0"/>
          <c:showVal val="0"/>
          <c:showCatName val="0"/>
          <c:showSerName val="0"/>
          <c:showPercent val="0"/>
          <c:showBubbleSize val="0"/>
        </c:dLbls>
        <c:marker val="1"/>
        <c:smooth val="0"/>
        <c:axId val="150825984"/>
        <c:axId val="150827776"/>
      </c:lineChart>
      <c:catAx>
        <c:axId val="1508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27776"/>
        <c:crosses val="autoZero"/>
        <c:auto val="1"/>
        <c:lblAlgn val="ctr"/>
        <c:lblOffset val="100"/>
        <c:noMultiLvlLbl val="0"/>
      </c:catAx>
      <c:valAx>
        <c:axId val="15082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Table'!$B$61</c:f>
              <c:strCache>
                <c:ptCount val="1"/>
                <c:pt idx="0">
                  <c:v>Total</c:v>
                </c:pt>
              </c:strCache>
            </c:strRef>
          </c:tx>
          <c:spPr>
            <a:solidFill>
              <a:schemeClr val="accent1"/>
            </a:solidFill>
            <a:ln>
              <a:noFill/>
            </a:ln>
            <a:effectLst/>
          </c:spPr>
          <c:invertIfNegative val="0"/>
          <c:cat>
            <c:strRef>
              <c:f>'Pivot Table'!$A$62:$A$68</c:f>
              <c:strCache>
                <c:ptCount val="6"/>
                <c:pt idx="0">
                  <c:v>2018</c:v>
                </c:pt>
                <c:pt idx="1">
                  <c:v>2022</c:v>
                </c:pt>
                <c:pt idx="2">
                  <c:v>2023</c:v>
                </c:pt>
                <c:pt idx="3">
                  <c:v>2024</c:v>
                </c:pt>
                <c:pt idx="4">
                  <c:v>2026</c:v>
                </c:pt>
                <c:pt idx="5">
                  <c:v>Unknown</c:v>
                </c:pt>
              </c:strCache>
            </c:strRef>
          </c:cat>
          <c:val>
            <c:numRef>
              <c:f>'Pivot Table'!$B$62:$B$68</c:f>
              <c:numCache>
                <c:formatCode>General</c:formatCode>
                <c:ptCount val="6"/>
                <c:pt idx="0">
                  <c:v>1</c:v>
                </c:pt>
                <c:pt idx="1">
                  <c:v>3</c:v>
                </c:pt>
                <c:pt idx="2">
                  <c:v>79</c:v>
                </c:pt>
                <c:pt idx="3">
                  <c:v>46</c:v>
                </c:pt>
                <c:pt idx="4">
                  <c:v>1</c:v>
                </c:pt>
                <c:pt idx="5">
                  <c:v>2</c:v>
                </c:pt>
              </c:numCache>
            </c:numRef>
          </c:val>
          <c:extLst xmlns:c16r2="http://schemas.microsoft.com/office/drawing/2015/06/chart">
            <c:ext xmlns:c16="http://schemas.microsoft.com/office/drawing/2014/chart" uri="{C3380CC4-5D6E-409C-BE32-E72D297353CC}">
              <c16:uniqueId val="{00000000-A2BB-43FE-BE52-B6C925A4E7E4}"/>
            </c:ext>
          </c:extLst>
        </c:ser>
        <c:dLbls>
          <c:showLegendKey val="0"/>
          <c:showVal val="0"/>
          <c:showCatName val="0"/>
          <c:showSerName val="0"/>
          <c:showPercent val="0"/>
          <c:showBubbleSize val="0"/>
        </c:dLbls>
        <c:gapWidth val="219"/>
        <c:overlap val="-27"/>
        <c:axId val="150874368"/>
        <c:axId val="150876160"/>
      </c:barChart>
      <c:catAx>
        <c:axId val="15087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6160"/>
        <c:crosses val="autoZero"/>
        <c:auto val="1"/>
        <c:lblAlgn val="ctr"/>
        <c:lblOffset val="100"/>
        <c:noMultiLvlLbl val="0"/>
      </c:catAx>
      <c:valAx>
        <c:axId val="15087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Table'!$B$71</c:f>
              <c:strCache>
                <c:ptCount val="1"/>
                <c:pt idx="0">
                  <c:v>Total</c:v>
                </c:pt>
              </c:strCache>
            </c:strRef>
          </c:tx>
          <c:spPr>
            <a:ln w="28575" cap="rnd">
              <a:solidFill>
                <a:schemeClr val="accent1"/>
              </a:solidFill>
              <a:round/>
            </a:ln>
            <a:effectLst/>
          </c:spPr>
          <c:marker>
            <c:symbol val="none"/>
          </c:marker>
          <c:cat>
            <c:strRef>
              <c:f>'Pivot Table'!$A$72:$A$78</c:f>
              <c:strCache>
                <c:ptCount val="6"/>
                <c:pt idx="0">
                  <c:v>2022</c:v>
                </c:pt>
                <c:pt idx="1">
                  <c:v>2023</c:v>
                </c:pt>
                <c:pt idx="2">
                  <c:v>2024</c:v>
                </c:pt>
                <c:pt idx="3">
                  <c:v>2025</c:v>
                </c:pt>
                <c:pt idx="4">
                  <c:v>2026</c:v>
                </c:pt>
                <c:pt idx="5">
                  <c:v>Unknown</c:v>
                </c:pt>
              </c:strCache>
            </c:strRef>
          </c:cat>
          <c:val>
            <c:numRef>
              <c:f>'Pivot Table'!$B$72:$B$78</c:f>
              <c:numCache>
                <c:formatCode>General</c:formatCode>
                <c:ptCount val="6"/>
                <c:pt idx="0">
                  <c:v>1</c:v>
                </c:pt>
                <c:pt idx="1">
                  <c:v>44</c:v>
                </c:pt>
                <c:pt idx="2">
                  <c:v>70</c:v>
                </c:pt>
                <c:pt idx="3">
                  <c:v>1</c:v>
                </c:pt>
                <c:pt idx="4">
                  <c:v>1</c:v>
                </c:pt>
                <c:pt idx="5">
                  <c:v>15</c:v>
                </c:pt>
              </c:numCache>
            </c:numRef>
          </c:val>
          <c:smooth val="0"/>
          <c:extLst xmlns:c16r2="http://schemas.microsoft.com/office/drawing/2015/06/chart">
            <c:ext xmlns:c16="http://schemas.microsoft.com/office/drawing/2014/chart" uri="{C3380CC4-5D6E-409C-BE32-E72D297353CC}">
              <c16:uniqueId val="{00000000-0F88-40EB-8FFA-1F37A809C4D5}"/>
            </c:ext>
          </c:extLst>
        </c:ser>
        <c:dLbls>
          <c:showLegendKey val="0"/>
          <c:showVal val="0"/>
          <c:showCatName val="0"/>
          <c:showSerName val="0"/>
          <c:showPercent val="0"/>
          <c:showBubbleSize val="0"/>
        </c:dLbls>
        <c:marker val="1"/>
        <c:smooth val="0"/>
        <c:axId val="150917120"/>
        <c:axId val="150918656"/>
      </c:lineChart>
      <c:catAx>
        <c:axId val="15091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8656"/>
        <c:crosses val="autoZero"/>
        <c:auto val="1"/>
        <c:lblAlgn val="ctr"/>
        <c:lblOffset val="100"/>
        <c:noMultiLvlLbl val="0"/>
      </c:catAx>
      <c:valAx>
        <c:axId val="15091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Table!PivotTable12</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Table'!$B$81</c:f>
              <c:strCache>
                <c:ptCount val="1"/>
                <c:pt idx="0">
                  <c:v>Total</c:v>
                </c:pt>
              </c:strCache>
            </c:strRef>
          </c:tx>
          <c:spPr>
            <a:solidFill>
              <a:schemeClr val="accent1"/>
            </a:solidFill>
            <a:ln>
              <a:noFill/>
            </a:ln>
            <a:effectLst/>
          </c:spPr>
          <c:invertIfNegative val="0"/>
          <c:cat>
            <c:strRef>
              <c:f>'Pivot Table'!$A$82:$A$86</c:f>
              <c:strCache>
                <c:ptCount val="4"/>
                <c:pt idx="0">
                  <c:v>2023</c:v>
                </c:pt>
                <c:pt idx="1">
                  <c:v>2024</c:v>
                </c:pt>
                <c:pt idx="2">
                  <c:v>2025</c:v>
                </c:pt>
                <c:pt idx="3">
                  <c:v>Unknown</c:v>
                </c:pt>
              </c:strCache>
            </c:strRef>
          </c:cat>
          <c:val>
            <c:numRef>
              <c:f>'Pivot Table'!$B$82:$B$86</c:f>
              <c:numCache>
                <c:formatCode>General</c:formatCode>
                <c:ptCount val="4"/>
                <c:pt idx="0">
                  <c:v>8</c:v>
                </c:pt>
                <c:pt idx="1">
                  <c:v>62</c:v>
                </c:pt>
                <c:pt idx="2">
                  <c:v>3</c:v>
                </c:pt>
                <c:pt idx="3">
                  <c:v>59</c:v>
                </c:pt>
              </c:numCache>
            </c:numRef>
          </c:val>
          <c:extLst xmlns:c16r2="http://schemas.microsoft.com/office/drawing/2015/06/chart">
            <c:ext xmlns:c16="http://schemas.microsoft.com/office/drawing/2014/chart" uri="{C3380CC4-5D6E-409C-BE32-E72D297353CC}">
              <c16:uniqueId val="{00000000-223A-4334-8BF6-546F278521FE}"/>
            </c:ext>
          </c:extLst>
        </c:ser>
        <c:dLbls>
          <c:showLegendKey val="0"/>
          <c:showVal val="0"/>
          <c:showCatName val="0"/>
          <c:showSerName val="0"/>
          <c:showPercent val="0"/>
          <c:showBubbleSize val="0"/>
        </c:dLbls>
        <c:gapWidth val="219"/>
        <c:overlap val="-27"/>
        <c:axId val="150952576"/>
        <c:axId val="150954368"/>
      </c:barChart>
      <c:catAx>
        <c:axId val="15095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54368"/>
        <c:crosses val="autoZero"/>
        <c:auto val="1"/>
        <c:lblAlgn val="ctr"/>
        <c:lblOffset val="100"/>
        <c:noMultiLvlLbl val="0"/>
      </c:catAx>
      <c:valAx>
        <c:axId val="15095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52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Table!PivotTable14</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Table'!$B$101</c:f>
              <c:strCache>
                <c:ptCount val="1"/>
                <c:pt idx="0">
                  <c:v>Total</c:v>
                </c:pt>
              </c:strCache>
            </c:strRef>
          </c:tx>
          <c:spPr>
            <a:solidFill>
              <a:schemeClr val="accent1"/>
            </a:solidFill>
            <a:ln>
              <a:noFill/>
            </a:ln>
            <a:effectLst/>
          </c:spPr>
          <c:invertIfNegative val="0"/>
          <c:cat>
            <c:strRef>
              <c:f>'Pivot Table'!$A$102:$A$107</c:f>
              <c:strCache>
                <c:ptCount val="5"/>
                <c:pt idx="0">
                  <c:v>2016</c:v>
                </c:pt>
                <c:pt idx="1">
                  <c:v>2019</c:v>
                </c:pt>
                <c:pt idx="2">
                  <c:v>2022</c:v>
                </c:pt>
                <c:pt idx="3">
                  <c:v>2023</c:v>
                </c:pt>
                <c:pt idx="4">
                  <c:v>2024</c:v>
                </c:pt>
              </c:strCache>
            </c:strRef>
          </c:cat>
          <c:val>
            <c:numRef>
              <c:f>'Pivot Table'!$B$102:$B$107</c:f>
              <c:numCache>
                <c:formatCode>General</c:formatCode>
                <c:ptCount val="5"/>
                <c:pt idx="0">
                  <c:v>8.6666666666666661</c:v>
                </c:pt>
                <c:pt idx="1">
                  <c:v>4.25</c:v>
                </c:pt>
                <c:pt idx="2">
                  <c:v>4.2105263157894735</c:v>
                </c:pt>
                <c:pt idx="3">
                  <c:v>5.4</c:v>
                </c:pt>
                <c:pt idx="4">
                  <c:v>6.5</c:v>
                </c:pt>
              </c:numCache>
            </c:numRef>
          </c:val>
          <c:extLst xmlns:c16r2="http://schemas.microsoft.com/office/drawing/2015/06/chart">
            <c:ext xmlns:c16="http://schemas.microsoft.com/office/drawing/2014/chart" uri="{C3380CC4-5D6E-409C-BE32-E72D297353CC}">
              <c16:uniqueId val="{00000000-DA6A-4D19-A285-F5890C2A576E}"/>
            </c:ext>
          </c:extLst>
        </c:ser>
        <c:dLbls>
          <c:showLegendKey val="0"/>
          <c:showVal val="0"/>
          <c:showCatName val="0"/>
          <c:showSerName val="0"/>
          <c:showPercent val="0"/>
          <c:showBubbleSize val="0"/>
        </c:dLbls>
        <c:gapWidth val="219"/>
        <c:overlap val="-27"/>
        <c:axId val="151463424"/>
        <c:axId val="151464960"/>
      </c:barChart>
      <c:catAx>
        <c:axId val="1514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4960"/>
        <c:crosses val="autoZero"/>
        <c:auto val="1"/>
        <c:lblAlgn val="ctr"/>
        <c:lblOffset val="100"/>
        <c:noMultiLvlLbl val="0"/>
      </c:catAx>
      <c:valAx>
        <c:axId val="15146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3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Table'!$B$111</c:f>
              <c:strCache>
                <c:ptCount val="1"/>
                <c:pt idx="0">
                  <c:v>Total</c:v>
                </c:pt>
              </c:strCache>
            </c:strRef>
          </c:tx>
          <c:spPr>
            <a:solidFill>
              <a:schemeClr val="accent1"/>
            </a:solidFill>
            <a:ln>
              <a:noFill/>
            </a:ln>
            <a:effectLst/>
          </c:spPr>
          <c:invertIfNegative val="0"/>
          <c:cat>
            <c:strRef>
              <c:f>'Pivot Table'!$A$112:$A$120</c:f>
              <c:strCache>
                <c:ptCount val="8"/>
                <c:pt idx="0">
                  <c:v>2017</c:v>
                </c:pt>
                <c:pt idx="1">
                  <c:v>2018</c:v>
                </c:pt>
                <c:pt idx="2">
                  <c:v>2019</c:v>
                </c:pt>
                <c:pt idx="3">
                  <c:v>2020</c:v>
                </c:pt>
                <c:pt idx="4">
                  <c:v>2021</c:v>
                </c:pt>
                <c:pt idx="5">
                  <c:v>2022</c:v>
                </c:pt>
                <c:pt idx="6">
                  <c:v>2023</c:v>
                </c:pt>
                <c:pt idx="7">
                  <c:v>2024</c:v>
                </c:pt>
              </c:strCache>
            </c:strRef>
          </c:cat>
          <c:val>
            <c:numRef>
              <c:f>'Pivot Table'!$B$112:$B$120</c:f>
              <c:numCache>
                <c:formatCode>General</c:formatCode>
                <c:ptCount val="8"/>
                <c:pt idx="0">
                  <c:v>1</c:v>
                </c:pt>
                <c:pt idx="1">
                  <c:v>2</c:v>
                </c:pt>
                <c:pt idx="2">
                  <c:v>2</c:v>
                </c:pt>
                <c:pt idx="3">
                  <c:v>2.5</c:v>
                </c:pt>
                <c:pt idx="4">
                  <c:v>2</c:v>
                </c:pt>
                <c:pt idx="5">
                  <c:v>3.4545454545454546</c:v>
                </c:pt>
                <c:pt idx="6">
                  <c:v>2.2210526315789472</c:v>
                </c:pt>
                <c:pt idx="7">
                  <c:v>2.2142857142857144</c:v>
                </c:pt>
              </c:numCache>
            </c:numRef>
          </c:val>
          <c:extLst xmlns:c16r2="http://schemas.microsoft.com/office/drawing/2015/06/chart">
            <c:ext xmlns:c16="http://schemas.microsoft.com/office/drawing/2014/chart" uri="{C3380CC4-5D6E-409C-BE32-E72D297353CC}">
              <c16:uniqueId val="{00000000-6E6F-47FE-8AC8-B75ABFF902F8}"/>
            </c:ext>
          </c:extLst>
        </c:ser>
        <c:dLbls>
          <c:showLegendKey val="0"/>
          <c:showVal val="0"/>
          <c:showCatName val="0"/>
          <c:showSerName val="0"/>
          <c:showPercent val="0"/>
          <c:showBubbleSize val="0"/>
        </c:dLbls>
        <c:gapWidth val="182"/>
        <c:axId val="151499520"/>
        <c:axId val="151501056"/>
      </c:barChart>
      <c:catAx>
        <c:axId val="15149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1056"/>
        <c:crosses val="autoZero"/>
        <c:auto val="1"/>
        <c:lblAlgn val="ctr"/>
        <c:lblOffset val="100"/>
        <c:noMultiLvlLbl val="0"/>
      </c:catAx>
      <c:valAx>
        <c:axId val="15150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Table!PivotTable13</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marker>
          <c:symbol val="none"/>
        </c:marker>
      </c:pivotFmt>
    </c:pivotFmts>
    <c:plotArea>
      <c:layout/>
      <c:barChart>
        <c:barDir val="bar"/>
        <c:grouping val="clustered"/>
        <c:varyColors val="0"/>
        <c:ser>
          <c:idx val="0"/>
          <c:order val="0"/>
          <c:tx>
            <c:strRef>
              <c:f>'Pivot Table'!$B$89</c:f>
              <c:strCache>
                <c:ptCount val="1"/>
                <c:pt idx="0">
                  <c:v>Total</c:v>
                </c:pt>
              </c:strCache>
            </c:strRef>
          </c:tx>
          <c:invertIfNegative val="0"/>
          <c:cat>
            <c:strRef>
              <c:f>'Pivot Table'!$A$90:$A$97</c:f>
              <c:strCache>
                <c:ptCount val="7"/>
                <c:pt idx="0">
                  <c:v>20-29</c:v>
                </c:pt>
                <c:pt idx="1">
                  <c:v>30-39</c:v>
                </c:pt>
                <c:pt idx="2">
                  <c:v>40-49</c:v>
                </c:pt>
                <c:pt idx="3">
                  <c:v>50-59</c:v>
                </c:pt>
                <c:pt idx="4">
                  <c:v>60-69</c:v>
                </c:pt>
                <c:pt idx="5">
                  <c:v>70-79</c:v>
                </c:pt>
                <c:pt idx="6">
                  <c:v>80-89</c:v>
                </c:pt>
              </c:strCache>
            </c:strRef>
          </c:cat>
          <c:val>
            <c:numRef>
              <c:f>'Pivot Table'!$B$90:$B$97</c:f>
              <c:numCache>
                <c:formatCode>General</c:formatCode>
                <c:ptCount val="7"/>
                <c:pt idx="0">
                  <c:v>26</c:v>
                </c:pt>
                <c:pt idx="1">
                  <c:v>14</c:v>
                </c:pt>
                <c:pt idx="2">
                  <c:v>19</c:v>
                </c:pt>
                <c:pt idx="3">
                  <c:v>16</c:v>
                </c:pt>
                <c:pt idx="4">
                  <c:v>19</c:v>
                </c:pt>
                <c:pt idx="5">
                  <c:v>20</c:v>
                </c:pt>
                <c:pt idx="6">
                  <c:v>18</c:v>
                </c:pt>
              </c:numCache>
            </c:numRef>
          </c:val>
          <c:extLst xmlns:c16r2="http://schemas.microsoft.com/office/drawing/2015/06/chart">
            <c:ext xmlns:c16="http://schemas.microsoft.com/office/drawing/2014/chart" uri="{C3380CC4-5D6E-409C-BE32-E72D297353CC}">
              <c16:uniqueId val="{00000000-F8F9-42FE-8136-4814A635095A}"/>
            </c:ext>
          </c:extLst>
        </c:ser>
        <c:dLbls>
          <c:showLegendKey val="0"/>
          <c:showVal val="0"/>
          <c:showCatName val="0"/>
          <c:showSerName val="0"/>
          <c:showPercent val="0"/>
          <c:showBubbleSize val="0"/>
        </c:dLbls>
        <c:gapWidth val="182"/>
        <c:axId val="151543808"/>
        <c:axId val="151545344"/>
      </c:barChart>
      <c:catAx>
        <c:axId val="15154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5344"/>
        <c:crosses val="autoZero"/>
        <c:auto val="1"/>
        <c:lblAlgn val="ctr"/>
        <c:lblOffset val="100"/>
        <c:noMultiLvlLbl val="0"/>
      </c:catAx>
      <c:valAx>
        <c:axId val="15154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3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Table!PivotTable6</c:name>
    <c:fmtId val="7"/>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900" b="1">
                <a:solidFill>
                  <a:schemeClr val="tx1"/>
                </a:solidFill>
              </a:rPr>
              <a:t>Age Group</a:t>
            </a:r>
          </a:p>
        </c:rich>
      </c:tx>
      <c:layout>
        <c:manualLayout>
          <c:xMode val="edge"/>
          <c:yMode val="edge"/>
          <c:x val="0.30492411912198125"/>
          <c:y val="1.7361111111111112E-2"/>
        </c:manualLayout>
      </c:layout>
      <c:overlay val="0"/>
      <c:spPr>
        <a:noFill/>
        <a:ln>
          <a:noFill/>
        </a:ln>
        <a:effectLst/>
      </c:spPr>
    </c:title>
    <c:autoTitleDeleted val="0"/>
    <c:pivotFmts>
      <c:pivotFmt>
        <c:idx val="0"/>
        <c:spPr>
          <a:solidFill>
            <a:schemeClr val="accent1"/>
          </a:solidFill>
          <a:effectLst/>
        </c:spPr>
      </c:pivotFmt>
      <c:pivotFmt>
        <c:idx val="1"/>
        <c:spPr>
          <a:solidFill>
            <a:schemeClr val="accent1"/>
          </a:solidFill>
          <a:effectLst/>
        </c:spPr>
      </c:pivotFmt>
      <c:pivotFmt>
        <c:idx val="2"/>
        <c:spPr>
          <a:solidFill>
            <a:schemeClr val="accent1">
              <a:lumMod val="60000"/>
              <a:lumOff val="40000"/>
            </a:schemeClr>
          </a:solidFill>
          <a:ln>
            <a:noFill/>
          </a:ln>
          <a:effectLst/>
        </c:spPr>
        <c:marker>
          <c:symbol val="none"/>
        </c:marker>
        <c:dLbl>
          <c:idx val="0"/>
          <c:layout/>
          <c:spPr/>
          <c:txPr>
            <a:bodyPr/>
            <a:lstStyle/>
            <a:p>
              <a:pPr>
                <a:defRPr sz="900"/>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lumMod val="50000"/>
            </a:schemeClr>
          </a:solidFill>
          <a:ln>
            <a:noFill/>
          </a:ln>
          <a:effectLst/>
        </c:spPr>
      </c:pivotFmt>
    </c:pivotFmts>
    <c:plotArea>
      <c:layout>
        <c:manualLayout>
          <c:layoutTarget val="inner"/>
          <c:xMode val="edge"/>
          <c:yMode val="edge"/>
          <c:x val="9.925107187688495E-2"/>
          <c:y val="0.21652586395450568"/>
          <c:w val="0.89540568298527901"/>
          <c:h val="0.53403051181102357"/>
        </c:manualLayout>
      </c:layout>
      <c:barChart>
        <c:barDir val="col"/>
        <c:grouping val="stacked"/>
        <c:varyColors val="0"/>
        <c:ser>
          <c:idx val="0"/>
          <c:order val="0"/>
          <c:tx>
            <c:strRef>
              <c:f>'Pivot Table'!$B$10</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50000"/>
                </a:schemeClr>
              </a:solidFill>
              <a:ln>
                <a:noFill/>
              </a:ln>
              <a:effectLst/>
            </c:spPr>
            <c:extLst xmlns:c16r2="http://schemas.microsoft.com/office/drawing/2015/06/chart">
              <c:ext xmlns:c16="http://schemas.microsoft.com/office/drawing/2014/chart" uri="{C3380CC4-5D6E-409C-BE32-E72D297353CC}">
                <c16:uniqueId val="{00000001-F8AB-4646-AD56-C4BEBBCFEFE1}"/>
              </c:ext>
            </c:extLst>
          </c:dPt>
          <c:dLbls>
            <c:spPr/>
            <c:txPr>
              <a:bodyPr/>
              <a:lstStyle/>
              <a:p>
                <a:pPr>
                  <a:defRPr sz="900"/>
                </a:pPr>
                <a:endParaRPr lang="en-US"/>
              </a:p>
            </c:txPr>
            <c:dLblPos val="inEnd"/>
            <c:showLegendKey val="0"/>
            <c:showVal val="1"/>
            <c:showCatName val="0"/>
            <c:showSerName val="0"/>
            <c:showPercent val="0"/>
            <c:showBubbleSize val="0"/>
            <c:showLeaderLines val="0"/>
          </c:dLbls>
          <c:cat>
            <c:strRef>
              <c:f>'Pivot Table'!$A$11:$A$18</c:f>
              <c:strCache>
                <c:ptCount val="7"/>
                <c:pt idx="0">
                  <c:v>20-29</c:v>
                </c:pt>
                <c:pt idx="1">
                  <c:v>30-39</c:v>
                </c:pt>
                <c:pt idx="2">
                  <c:v>40-49</c:v>
                </c:pt>
                <c:pt idx="3">
                  <c:v>50-59</c:v>
                </c:pt>
                <c:pt idx="4">
                  <c:v>60-69</c:v>
                </c:pt>
                <c:pt idx="5">
                  <c:v>70-79</c:v>
                </c:pt>
                <c:pt idx="6">
                  <c:v>80-89</c:v>
                </c:pt>
              </c:strCache>
            </c:strRef>
          </c:cat>
          <c:val>
            <c:numRef>
              <c:f>'Pivot Table'!$B$11:$B$18</c:f>
              <c:numCache>
                <c:formatCode>General</c:formatCode>
                <c:ptCount val="7"/>
                <c:pt idx="0">
                  <c:v>26</c:v>
                </c:pt>
                <c:pt idx="1">
                  <c:v>14</c:v>
                </c:pt>
                <c:pt idx="2">
                  <c:v>19</c:v>
                </c:pt>
                <c:pt idx="3">
                  <c:v>16</c:v>
                </c:pt>
                <c:pt idx="4">
                  <c:v>19</c:v>
                </c:pt>
                <c:pt idx="5">
                  <c:v>20</c:v>
                </c:pt>
                <c:pt idx="6">
                  <c:v>18</c:v>
                </c:pt>
              </c:numCache>
            </c:numRef>
          </c:val>
          <c:extLst xmlns:c16r2="http://schemas.microsoft.com/office/drawing/2015/06/chart">
            <c:ext xmlns:c16="http://schemas.microsoft.com/office/drawing/2014/chart" uri="{C3380CC4-5D6E-409C-BE32-E72D297353CC}">
              <c16:uniqueId val="{00000000-8387-4002-854A-D2DFC3750C8B}"/>
            </c:ext>
          </c:extLst>
        </c:ser>
        <c:dLbls>
          <c:showLegendKey val="0"/>
          <c:showVal val="0"/>
          <c:showCatName val="0"/>
          <c:showSerName val="0"/>
          <c:showPercent val="0"/>
          <c:showBubbleSize val="0"/>
        </c:dLbls>
        <c:gapWidth val="219"/>
        <c:overlap val="100"/>
        <c:axId val="151407616"/>
        <c:axId val="151409408"/>
      </c:barChart>
      <c:catAx>
        <c:axId val="15140761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409408"/>
        <c:crosses val="autoZero"/>
        <c:auto val="1"/>
        <c:lblAlgn val="ctr"/>
        <c:lblOffset val="100"/>
        <c:noMultiLvlLbl val="0"/>
      </c:catAx>
      <c:valAx>
        <c:axId val="151409408"/>
        <c:scaling>
          <c:orientation val="minMax"/>
        </c:scaling>
        <c:delete val="1"/>
        <c:axPos val="l"/>
        <c:numFmt formatCode="General" sourceLinked="1"/>
        <c:majorTickMark val="none"/>
        <c:minorTickMark val="none"/>
        <c:tickLblPos val="nextTo"/>
        <c:crossAx val="151407616"/>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Table!PivotTable5</c:name>
    <c:fmtId val="9"/>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Gender</a:t>
            </a:r>
          </a:p>
        </c:rich>
      </c:tx>
      <c:layout>
        <c:manualLayout>
          <c:xMode val="edge"/>
          <c:yMode val="edge"/>
          <c:x val="0.3193671624380286"/>
          <c:y val="2.3755331364829397E-2"/>
        </c:manualLayout>
      </c:layout>
      <c:overlay val="0"/>
      <c:spPr>
        <a:noFill/>
        <a:ln>
          <a:noFill/>
        </a:ln>
        <a:effectLst/>
      </c:spPr>
    </c:title>
    <c:autoTitleDeleted val="0"/>
    <c:pivotFmts>
      <c:pivotFmt>
        <c:idx val="0"/>
      </c:pivotFmt>
      <c:pivotFmt>
        <c:idx val="1"/>
        <c:spPr>
          <a:solidFill>
            <a:schemeClr val="accent2"/>
          </a:solidFill>
          <a:ln>
            <a:noFill/>
          </a:ln>
          <a:effectLst/>
        </c:spPr>
      </c:pivotFmt>
      <c:pivotFmt>
        <c:idx val="2"/>
      </c:pivotFmt>
      <c:pivotFmt>
        <c:idx val="3"/>
        <c:marker>
          <c:symbol val="none"/>
        </c:marker>
      </c:pivotFmt>
      <c:pivotFmt>
        <c:idx val="4"/>
        <c:spPr>
          <a:solidFill>
            <a:schemeClr val="accent2"/>
          </a:solidFill>
          <a:ln>
            <a:noFill/>
          </a:ln>
          <a:effectLst/>
        </c:spPr>
      </c:pivotFmt>
      <c:pivotFmt>
        <c:idx val="5"/>
        <c:spPr>
          <a:solidFill>
            <a:schemeClr val="accent1">
              <a:lumMod val="60000"/>
              <a:lumOff val="40000"/>
            </a:schemeClr>
          </a:solidFill>
        </c:spPr>
        <c:marker>
          <c:symbol val="none"/>
        </c:marker>
      </c:pivotFmt>
      <c:pivotFmt>
        <c:idx val="6"/>
        <c:spPr>
          <a:solidFill>
            <a:schemeClr val="accent1">
              <a:lumMod val="60000"/>
              <a:lumOff val="40000"/>
            </a:schemeClr>
          </a:solidFill>
          <a:ln>
            <a:noFill/>
          </a:ln>
          <a:effectLst/>
        </c:spPr>
      </c:pivotFmt>
      <c:pivotFmt>
        <c:idx val="7"/>
        <c:spPr>
          <a:solidFill>
            <a:schemeClr val="accent1">
              <a:lumMod val="75000"/>
            </a:schemeClr>
          </a:solidFill>
        </c:spPr>
      </c:pivotFmt>
      <c:pivotFmt>
        <c:idx val="8"/>
        <c:spPr>
          <a:solidFill>
            <a:schemeClr val="accent1">
              <a:lumMod val="60000"/>
              <a:lumOff val="40000"/>
            </a:schemeClr>
          </a:solidFill>
        </c:spPr>
        <c:marker>
          <c:symbol val="none"/>
        </c:marker>
      </c:pivotFmt>
      <c:pivotFmt>
        <c:idx val="9"/>
        <c:spPr>
          <a:solidFill>
            <a:schemeClr val="accent1">
              <a:lumMod val="60000"/>
              <a:lumOff val="40000"/>
            </a:schemeClr>
          </a:solidFill>
          <a:ln>
            <a:noFill/>
          </a:ln>
          <a:effectLst/>
        </c:spPr>
      </c:pivotFmt>
      <c:pivotFmt>
        <c:idx val="10"/>
        <c:spPr>
          <a:solidFill>
            <a:schemeClr val="accent1">
              <a:lumMod val="75000"/>
            </a:schemeClr>
          </a:solidFill>
        </c:spPr>
      </c:pivotFmt>
      <c:pivotFmt>
        <c:idx val="11"/>
        <c:spPr>
          <a:solidFill>
            <a:schemeClr val="accent1">
              <a:lumMod val="60000"/>
              <a:lumOff val="40000"/>
            </a:schemeClr>
          </a:solidFill>
        </c:spPr>
        <c:marker>
          <c:symbol val="none"/>
        </c:marker>
      </c:pivotFmt>
      <c:pivotFmt>
        <c:idx val="12"/>
        <c:spPr>
          <a:solidFill>
            <a:schemeClr val="accent1">
              <a:lumMod val="60000"/>
              <a:lumOff val="40000"/>
            </a:schemeClr>
          </a:solidFill>
          <a:ln>
            <a:noFill/>
          </a:ln>
          <a:effectLst/>
        </c:spPr>
      </c:pivotFmt>
      <c:pivotFmt>
        <c:idx val="13"/>
        <c:spPr>
          <a:solidFill>
            <a:schemeClr val="accent1">
              <a:lumMod val="75000"/>
            </a:schemeClr>
          </a:solidFill>
        </c:spPr>
      </c:pivotFmt>
      <c:pivotFmt>
        <c:idx val="14"/>
        <c:spPr>
          <a:solidFill>
            <a:schemeClr val="accent1">
              <a:lumMod val="60000"/>
              <a:lumOff val="40000"/>
            </a:schemeClr>
          </a:solidFill>
        </c:spPr>
        <c:marker>
          <c:symbol val="none"/>
        </c:marker>
      </c:pivotFmt>
      <c:pivotFmt>
        <c:idx val="15"/>
        <c:spPr>
          <a:solidFill>
            <a:schemeClr val="accent1">
              <a:lumMod val="60000"/>
              <a:lumOff val="40000"/>
            </a:schemeClr>
          </a:solidFill>
          <a:ln>
            <a:noFill/>
          </a:ln>
          <a:effectLst/>
        </c:spPr>
      </c:pivotFmt>
      <c:pivotFmt>
        <c:idx val="16"/>
        <c:spPr>
          <a:solidFill>
            <a:schemeClr val="accent1">
              <a:lumMod val="75000"/>
              <a:alpha val="18000"/>
            </a:schemeClr>
          </a:solidFill>
        </c:spPr>
      </c:pivotFmt>
    </c:pivotFmts>
    <c:plotArea>
      <c:layout>
        <c:manualLayout>
          <c:layoutTarget val="inner"/>
          <c:xMode val="edge"/>
          <c:yMode val="edge"/>
          <c:x val="0.246913740263595"/>
          <c:y val="0.22863147965879266"/>
          <c:w val="0.50990409248183299"/>
          <c:h val="0.53778912401574808"/>
        </c:manualLayout>
      </c:layout>
      <c:doughnutChart>
        <c:varyColors val="1"/>
        <c:ser>
          <c:idx val="0"/>
          <c:order val="0"/>
          <c:tx>
            <c:strRef>
              <c:f>'Pivot Table'!$B$3</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1-368B-4E94-83AE-202A81739F93}"/>
              </c:ext>
            </c:extLst>
          </c:dPt>
          <c:dPt>
            <c:idx val="1"/>
            <c:bubble3D val="0"/>
            <c:spPr>
              <a:solidFill>
                <a:schemeClr val="accent1">
                  <a:lumMod val="75000"/>
                  <a:alpha val="18000"/>
                </a:schemeClr>
              </a:solidFill>
            </c:spPr>
            <c:extLst xmlns:c16r2="http://schemas.microsoft.com/office/drawing/2015/06/chart">
              <c:ext xmlns:c16="http://schemas.microsoft.com/office/drawing/2014/chart" uri="{C3380CC4-5D6E-409C-BE32-E72D297353CC}">
                <c16:uniqueId val="{00000003-368B-4E94-83AE-202A81739F93}"/>
              </c:ext>
            </c:extLst>
          </c:dPt>
          <c:cat>
            <c:strRef>
              <c:f>'Pivot Table'!$A$4:$A$6</c:f>
              <c:strCache>
                <c:ptCount val="2"/>
                <c:pt idx="0">
                  <c:v>Female</c:v>
                </c:pt>
                <c:pt idx="1">
                  <c:v>Male</c:v>
                </c:pt>
              </c:strCache>
            </c:strRef>
          </c:cat>
          <c:val>
            <c:numRef>
              <c:f>'Pivot Table'!$B$4:$B$6</c:f>
              <c:numCache>
                <c:formatCode>General</c:formatCode>
                <c:ptCount val="2"/>
                <c:pt idx="0">
                  <c:v>67</c:v>
                </c:pt>
                <c:pt idx="1">
                  <c:v>65</c:v>
                </c:pt>
              </c:numCache>
            </c:numRef>
          </c:val>
          <c:extLst xmlns:c16r2="http://schemas.microsoft.com/office/drawing/2015/06/chart">
            <c:ext xmlns:c16="http://schemas.microsoft.com/office/drawing/2014/chart" uri="{C3380CC4-5D6E-409C-BE32-E72D297353CC}">
              <c16:uniqueId val="{00000000-BEB3-41AF-97B6-E683FF0D3B47}"/>
            </c:ext>
          </c:extLst>
        </c:ser>
        <c:dLbls>
          <c:showLegendKey val="0"/>
          <c:showVal val="0"/>
          <c:showCatName val="0"/>
          <c:showSerName val="0"/>
          <c:showPercent val="0"/>
          <c:showBubbleSize val="0"/>
          <c:showLeaderLines val="1"/>
        </c:dLbls>
        <c:firstSliceAng val="0"/>
        <c:holeSize val="79"/>
      </c:doughnutChart>
      <c:spPr>
        <a:noFill/>
        <a:ln>
          <a:noFill/>
        </a:ln>
        <a:effectLst/>
      </c:spPr>
    </c:plotArea>
    <c:legend>
      <c:legendPos val="r"/>
      <c:layout>
        <c:manualLayout>
          <c:xMode val="edge"/>
          <c:yMode val="edge"/>
          <c:x val="0"/>
          <c:y val="0.7026027996500438"/>
          <c:w val="1"/>
          <c:h val="0.29739720034995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Table!PivotTable7</c:name>
    <c:fmtId val="4"/>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Admission Trend</a:t>
            </a:r>
          </a:p>
        </c:rich>
      </c:tx>
      <c:layout>
        <c:manualLayout>
          <c:xMode val="edge"/>
          <c:yMode val="edge"/>
          <c:x val="0.27101917336552933"/>
          <c:y val="1.7361111111111112E-2"/>
        </c:manualLayout>
      </c:layout>
      <c:overlay val="0"/>
      <c:spPr>
        <a:noFill/>
        <a:ln>
          <a:noFill/>
        </a:ln>
        <a:effectLst/>
      </c:spPr>
    </c:title>
    <c:autoTitleDeleted val="0"/>
    <c:pivotFmts>
      <c:pivotFmt>
        <c:idx val="0"/>
        <c:spPr>
          <a:ln w="28575" cap="rnd">
            <a:solidFill>
              <a:schemeClr val="accent1"/>
            </a:solidFill>
            <a:round/>
          </a:ln>
          <a:effectLst/>
        </c:spPr>
      </c:pivotFmt>
      <c:pivotFmt>
        <c:idx val="1"/>
        <c:spPr>
          <a:ln w="28575" cap="rnd">
            <a:solidFill>
              <a:schemeClr val="accent1"/>
            </a:solidFill>
            <a:round/>
          </a:ln>
          <a:effectLst/>
        </c:spPr>
      </c:pivotFmt>
      <c:pivotFmt>
        <c:idx val="2"/>
        <c:spPr>
          <a:ln w="28575" cap="rnd">
            <a:solidFill>
              <a:schemeClr val="accent1">
                <a:lumMod val="60000"/>
                <a:lumOff val="40000"/>
              </a:schemeClr>
            </a:solidFill>
            <a:round/>
          </a:ln>
          <a:effectLst/>
        </c:spPr>
        <c:marker>
          <c:spPr>
            <a:solidFill>
              <a:schemeClr val="accent1">
                <a:lumMod val="60000"/>
                <a:lumOff val="40000"/>
              </a:schemeClr>
            </a:solidFill>
          </c:spPr>
        </c:marker>
      </c:pivotFmt>
    </c:pivotFmts>
    <c:plotArea>
      <c:layout/>
      <c:lineChart>
        <c:grouping val="standard"/>
        <c:varyColors val="0"/>
        <c:ser>
          <c:idx val="0"/>
          <c:order val="0"/>
          <c:tx>
            <c:strRef>
              <c:f>'Pivot Table'!$B$22</c:f>
              <c:strCache>
                <c:ptCount val="1"/>
                <c:pt idx="0">
                  <c:v>Total</c:v>
                </c:pt>
              </c:strCache>
            </c:strRef>
          </c:tx>
          <c:spPr>
            <a:ln w="28575" cap="rnd">
              <a:solidFill>
                <a:schemeClr val="accent1">
                  <a:lumMod val="60000"/>
                  <a:lumOff val="40000"/>
                </a:schemeClr>
              </a:solidFill>
              <a:round/>
            </a:ln>
            <a:effectLst/>
          </c:spPr>
          <c:marker>
            <c:spPr>
              <a:solidFill>
                <a:schemeClr val="accent1">
                  <a:lumMod val="60000"/>
                  <a:lumOff val="40000"/>
                </a:schemeClr>
              </a:solidFill>
            </c:spPr>
          </c:marker>
          <c:cat>
            <c:strRef>
              <c:f>'Pivot Table'!$A$23:$A$30</c:f>
              <c:strCache>
                <c:ptCount val="7"/>
                <c:pt idx="0">
                  <c:v>2003</c:v>
                </c:pt>
                <c:pt idx="1">
                  <c:v>2016</c:v>
                </c:pt>
                <c:pt idx="2">
                  <c:v>2017</c:v>
                </c:pt>
                <c:pt idx="3">
                  <c:v>2018</c:v>
                </c:pt>
                <c:pt idx="4">
                  <c:v>2019</c:v>
                </c:pt>
                <c:pt idx="5">
                  <c:v>2022</c:v>
                </c:pt>
                <c:pt idx="6">
                  <c:v>2023</c:v>
                </c:pt>
              </c:strCache>
            </c:strRef>
          </c:cat>
          <c:val>
            <c:numRef>
              <c:f>'Pivot Table'!$B$23:$B$30</c:f>
              <c:numCache>
                <c:formatCode>General</c:formatCode>
                <c:ptCount val="7"/>
                <c:pt idx="0">
                  <c:v>10</c:v>
                </c:pt>
                <c:pt idx="1">
                  <c:v>38</c:v>
                </c:pt>
                <c:pt idx="2">
                  <c:v>32</c:v>
                </c:pt>
                <c:pt idx="3">
                  <c:v>36</c:v>
                </c:pt>
                <c:pt idx="4">
                  <c:v>14</c:v>
                </c:pt>
                <c:pt idx="5">
                  <c:v>1</c:v>
                </c:pt>
                <c:pt idx="6">
                  <c:v>1</c:v>
                </c:pt>
              </c:numCache>
            </c:numRef>
          </c:val>
          <c:smooth val="0"/>
          <c:extLst xmlns:c16r2="http://schemas.microsoft.com/office/drawing/2015/06/chart">
            <c:ext xmlns:c16="http://schemas.microsoft.com/office/drawing/2014/chart" uri="{C3380CC4-5D6E-409C-BE32-E72D297353CC}">
              <c16:uniqueId val="{00000000-FFC4-45C2-B41F-1CF0301705D3}"/>
            </c:ext>
          </c:extLst>
        </c:ser>
        <c:dLbls>
          <c:showLegendKey val="0"/>
          <c:showVal val="0"/>
          <c:showCatName val="0"/>
          <c:showSerName val="0"/>
          <c:showPercent val="0"/>
          <c:showBubbleSize val="0"/>
        </c:dLbls>
        <c:marker val="1"/>
        <c:smooth val="0"/>
        <c:axId val="151614976"/>
        <c:axId val="151616896"/>
      </c:lineChart>
      <c:catAx>
        <c:axId val="1516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16896"/>
        <c:crosses val="autoZero"/>
        <c:auto val="1"/>
        <c:lblAlgn val="ctr"/>
        <c:lblOffset val="100"/>
        <c:noMultiLvlLbl val="0"/>
      </c:catAx>
      <c:valAx>
        <c:axId val="15161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149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Table!PivotTable14</c:name>
    <c:fmtId val="10"/>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Average Diagnosis Delay</a:t>
            </a:r>
          </a:p>
        </c:rich>
      </c:tx>
      <c:layout>
        <c:manualLayout>
          <c:xMode val="edge"/>
          <c:yMode val="edge"/>
          <c:x val="0.19472601136125589"/>
          <c:y val="2.6041666666666668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noFill/>
          </a:ln>
          <a:effectLst/>
        </c:spPr>
        <c:marker>
          <c:symbol val="none"/>
        </c:marker>
      </c:pivotFmt>
      <c:pivotFmt>
        <c:idx val="3"/>
        <c:spPr>
          <a:solidFill>
            <a:schemeClr val="accent1">
              <a:lumMod val="50000"/>
            </a:schemeClr>
          </a:solidFill>
          <a:ln>
            <a:noFill/>
          </a:ln>
          <a:effectLst/>
        </c:spPr>
      </c:pivotFmt>
    </c:pivotFmts>
    <c:plotArea>
      <c:layout/>
      <c:barChart>
        <c:barDir val="col"/>
        <c:grouping val="clustered"/>
        <c:varyColors val="0"/>
        <c:ser>
          <c:idx val="0"/>
          <c:order val="0"/>
          <c:tx>
            <c:strRef>
              <c:f>'Pivot Table'!$B$101</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50000"/>
                </a:schemeClr>
              </a:solidFill>
              <a:ln>
                <a:noFill/>
              </a:ln>
              <a:effectLst/>
            </c:spPr>
            <c:extLst xmlns:c16r2="http://schemas.microsoft.com/office/drawing/2015/06/chart">
              <c:ext xmlns:c16="http://schemas.microsoft.com/office/drawing/2014/chart" uri="{C3380CC4-5D6E-409C-BE32-E72D297353CC}">
                <c16:uniqueId val="{00000001-2297-4B86-8BC3-FA3A8A762EB3}"/>
              </c:ext>
            </c:extLst>
          </c:dPt>
          <c:cat>
            <c:strRef>
              <c:f>'Pivot Table'!$A$102:$A$107</c:f>
              <c:strCache>
                <c:ptCount val="5"/>
                <c:pt idx="0">
                  <c:v>2016</c:v>
                </c:pt>
                <c:pt idx="1">
                  <c:v>2019</c:v>
                </c:pt>
                <c:pt idx="2">
                  <c:v>2022</c:v>
                </c:pt>
                <c:pt idx="3">
                  <c:v>2023</c:v>
                </c:pt>
                <c:pt idx="4">
                  <c:v>2024</c:v>
                </c:pt>
              </c:strCache>
            </c:strRef>
          </c:cat>
          <c:val>
            <c:numRef>
              <c:f>'Pivot Table'!$B$102:$B$107</c:f>
              <c:numCache>
                <c:formatCode>General</c:formatCode>
                <c:ptCount val="5"/>
                <c:pt idx="0">
                  <c:v>8.6666666666666661</c:v>
                </c:pt>
                <c:pt idx="1">
                  <c:v>4.25</c:v>
                </c:pt>
                <c:pt idx="2">
                  <c:v>4.2105263157894735</c:v>
                </c:pt>
                <c:pt idx="3">
                  <c:v>5.4</c:v>
                </c:pt>
                <c:pt idx="4">
                  <c:v>6.5</c:v>
                </c:pt>
              </c:numCache>
            </c:numRef>
          </c:val>
          <c:extLst xmlns:c16r2="http://schemas.microsoft.com/office/drawing/2015/06/chart">
            <c:ext xmlns:c16="http://schemas.microsoft.com/office/drawing/2014/chart" uri="{C3380CC4-5D6E-409C-BE32-E72D297353CC}">
              <c16:uniqueId val="{00000000-DA6A-4D19-A285-F5890C2A576E}"/>
            </c:ext>
          </c:extLst>
        </c:ser>
        <c:dLbls>
          <c:showLegendKey val="0"/>
          <c:showVal val="0"/>
          <c:showCatName val="0"/>
          <c:showSerName val="0"/>
          <c:showPercent val="0"/>
          <c:showBubbleSize val="0"/>
        </c:dLbls>
        <c:gapWidth val="219"/>
        <c:overlap val="-27"/>
        <c:axId val="151984768"/>
        <c:axId val="152002944"/>
      </c:barChart>
      <c:catAx>
        <c:axId val="15198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002944"/>
        <c:crosses val="autoZero"/>
        <c:auto val="1"/>
        <c:lblAlgn val="ctr"/>
        <c:lblOffset val="100"/>
        <c:noMultiLvlLbl val="0"/>
      </c:catAx>
      <c:valAx>
        <c:axId val="15200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98476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ID.xlsx]Pivot Table!PivotTable15</c:name>
    <c:fmtId val="1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900" b="1" i="0" u="none" strike="noStrike" kern="1200" spc="0" baseline="0">
                <a:solidFill>
                  <a:schemeClr val="tx1"/>
                </a:solidFill>
                <a:latin typeface="+mn-lt"/>
                <a:ea typeface="+mn-ea"/>
                <a:cs typeface="+mn-cs"/>
              </a:defRPr>
            </a:pPr>
            <a:r>
              <a:rPr lang="en-US" sz="900" b="1" i="0" baseline="0">
                <a:solidFill>
                  <a:schemeClr val="tx1"/>
                </a:solidFill>
                <a:effectLst/>
              </a:rPr>
              <a:t>Average Treatment Delay</a:t>
            </a:r>
            <a:endParaRPr lang="en-US" sz="900" b="1">
              <a:solidFill>
                <a:schemeClr val="tx1"/>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sz="900" b="1" i="0" u="none" strike="noStrike" kern="1200" spc="0" baseline="0">
                <a:solidFill>
                  <a:schemeClr val="tx1"/>
                </a:solidFill>
                <a:latin typeface="+mn-lt"/>
                <a:ea typeface="+mn-ea"/>
                <a:cs typeface="+mn-cs"/>
              </a:defRPr>
            </a:pPr>
            <a:endParaRPr lang="en-US" sz="900" b="1">
              <a:solidFill>
                <a:schemeClr val="tx1"/>
              </a:solidFill>
            </a:endParaRPr>
          </a:p>
        </c:rich>
      </c:tx>
      <c:layout>
        <c:manualLayout>
          <c:xMode val="edge"/>
          <c:yMode val="edge"/>
          <c:x val="0.28719771999799115"/>
          <c:y val="2.6041666666666668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noFill/>
          </a:ln>
          <a:effectLst/>
        </c:spPr>
        <c:marker>
          <c:symbol val="none"/>
        </c:marker>
      </c:pivotFmt>
      <c:pivotFmt>
        <c:idx val="3"/>
        <c:spPr>
          <a:solidFill>
            <a:schemeClr val="accent1">
              <a:lumMod val="50000"/>
            </a:schemeClr>
          </a:solidFill>
          <a:ln>
            <a:noFill/>
          </a:ln>
          <a:effectLst/>
        </c:spPr>
      </c:pivotFmt>
    </c:pivotFmts>
    <c:plotArea>
      <c:layout>
        <c:manualLayout>
          <c:layoutTarget val="inner"/>
          <c:xMode val="edge"/>
          <c:yMode val="edge"/>
          <c:x val="8.1441481446239153E-2"/>
          <c:y val="0.23411458333333332"/>
          <c:w val="0.87240209022210591"/>
          <c:h val="0.56451156496062993"/>
        </c:manualLayout>
      </c:layout>
      <c:barChart>
        <c:barDir val="col"/>
        <c:grouping val="clustered"/>
        <c:varyColors val="0"/>
        <c:ser>
          <c:idx val="0"/>
          <c:order val="0"/>
          <c:tx>
            <c:strRef>
              <c:f>'Pivot Table'!$B$111</c:f>
              <c:strCache>
                <c:ptCount val="1"/>
                <c:pt idx="0">
                  <c:v>Total</c:v>
                </c:pt>
              </c:strCache>
            </c:strRef>
          </c:tx>
          <c:spPr>
            <a:solidFill>
              <a:schemeClr val="accent1">
                <a:lumMod val="60000"/>
                <a:lumOff val="40000"/>
              </a:schemeClr>
            </a:solidFill>
            <a:ln>
              <a:noFill/>
            </a:ln>
            <a:effectLst/>
          </c:spPr>
          <c:invertIfNegative val="0"/>
          <c:dPt>
            <c:idx val="5"/>
            <c:invertIfNegative val="0"/>
            <c:bubble3D val="0"/>
            <c:spPr>
              <a:solidFill>
                <a:schemeClr val="accent1">
                  <a:lumMod val="50000"/>
                </a:schemeClr>
              </a:solidFill>
              <a:ln>
                <a:noFill/>
              </a:ln>
              <a:effectLst/>
            </c:spPr>
            <c:extLst xmlns:c16r2="http://schemas.microsoft.com/office/drawing/2015/06/chart">
              <c:ext xmlns:c16="http://schemas.microsoft.com/office/drawing/2014/chart" uri="{C3380CC4-5D6E-409C-BE32-E72D297353CC}">
                <c16:uniqueId val="{00000001-14AB-4F52-B42E-1F1DE52E3A8E}"/>
              </c:ext>
            </c:extLst>
          </c:dPt>
          <c:cat>
            <c:strRef>
              <c:f>'Pivot Table'!$A$112:$A$120</c:f>
              <c:strCache>
                <c:ptCount val="8"/>
                <c:pt idx="0">
                  <c:v>2017</c:v>
                </c:pt>
                <c:pt idx="1">
                  <c:v>2018</c:v>
                </c:pt>
                <c:pt idx="2">
                  <c:v>2019</c:v>
                </c:pt>
                <c:pt idx="3">
                  <c:v>2020</c:v>
                </c:pt>
                <c:pt idx="4">
                  <c:v>2021</c:v>
                </c:pt>
                <c:pt idx="5">
                  <c:v>2022</c:v>
                </c:pt>
                <c:pt idx="6">
                  <c:v>2023</c:v>
                </c:pt>
                <c:pt idx="7">
                  <c:v>2024</c:v>
                </c:pt>
              </c:strCache>
            </c:strRef>
          </c:cat>
          <c:val>
            <c:numRef>
              <c:f>'Pivot Table'!$B$112:$B$120</c:f>
              <c:numCache>
                <c:formatCode>General</c:formatCode>
                <c:ptCount val="8"/>
                <c:pt idx="0">
                  <c:v>1</c:v>
                </c:pt>
                <c:pt idx="1">
                  <c:v>2</c:v>
                </c:pt>
                <c:pt idx="2">
                  <c:v>2</c:v>
                </c:pt>
                <c:pt idx="3">
                  <c:v>2.5</c:v>
                </c:pt>
                <c:pt idx="4">
                  <c:v>2</c:v>
                </c:pt>
                <c:pt idx="5">
                  <c:v>3.4545454545454546</c:v>
                </c:pt>
                <c:pt idx="6">
                  <c:v>2.2210526315789472</c:v>
                </c:pt>
                <c:pt idx="7">
                  <c:v>2.2142857142857144</c:v>
                </c:pt>
              </c:numCache>
            </c:numRef>
          </c:val>
          <c:extLst xmlns:c16r2="http://schemas.microsoft.com/office/drawing/2015/06/chart">
            <c:ext xmlns:c16="http://schemas.microsoft.com/office/drawing/2014/chart" uri="{C3380CC4-5D6E-409C-BE32-E72D297353CC}">
              <c16:uniqueId val="{00000000-6E6F-47FE-8AC8-B75ABFF902F8}"/>
            </c:ext>
          </c:extLst>
        </c:ser>
        <c:dLbls>
          <c:showLegendKey val="0"/>
          <c:showVal val="0"/>
          <c:showCatName val="0"/>
          <c:showSerName val="0"/>
          <c:showPercent val="0"/>
          <c:showBubbleSize val="0"/>
        </c:dLbls>
        <c:gapWidth val="182"/>
        <c:axId val="152042880"/>
        <c:axId val="151725184"/>
      </c:barChart>
      <c:catAx>
        <c:axId val="1520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25184"/>
        <c:crosses val="autoZero"/>
        <c:auto val="1"/>
        <c:lblAlgn val="ctr"/>
        <c:lblOffset val="100"/>
        <c:noMultiLvlLbl val="0"/>
      </c:catAx>
      <c:valAx>
        <c:axId val="15172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0428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346710</xdr:colOff>
      <xdr:row>0</xdr:row>
      <xdr:rowOff>133350</xdr:rowOff>
    </xdr:from>
    <xdr:to>
      <xdr:col>6</xdr:col>
      <xdr:colOff>213360</xdr:colOff>
      <xdr:row>7</xdr:row>
      <xdr:rowOff>129540</xdr:rowOff>
    </xdr:to>
    <xdr:graphicFrame macro="">
      <xdr:nvGraphicFramePr>
        <xdr:cNvPr id="2" name="Chart 1">
          <a:extLst>
            <a:ext uri="{FF2B5EF4-FFF2-40B4-BE49-F238E27FC236}">
              <a16:creationId xmlns:a16="http://schemas.microsoft.com/office/drawing/2014/main" xmlns=""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323850</xdr:colOff>
      <xdr:row>8</xdr:row>
      <xdr:rowOff>140970</xdr:rowOff>
    </xdr:from>
    <xdr:to>
      <xdr:col>6</xdr:col>
      <xdr:colOff>175260</xdr:colOff>
      <xdr:row>17</xdr:row>
      <xdr:rowOff>114300</xdr:rowOff>
    </xdr:to>
    <xdr:graphicFrame macro="">
      <xdr:nvGraphicFramePr>
        <xdr:cNvPr id="3" name="Chart 2">
          <a:extLst>
            <a:ext uri="{FF2B5EF4-FFF2-40B4-BE49-F238E27FC236}">
              <a16:creationId xmlns:a16="http://schemas.microsoft.com/office/drawing/2014/main" xmlns=""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201930</xdr:colOff>
      <xdr:row>20</xdr:row>
      <xdr:rowOff>118110</xdr:rowOff>
    </xdr:from>
    <xdr:to>
      <xdr:col>6</xdr:col>
      <xdr:colOff>434340</xdr:colOff>
      <xdr:row>29</xdr:row>
      <xdr:rowOff>121920</xdr:rowOff>
    </xdr:to>
    <xdr:graphicFrame macro="">
      <xdr:nvGraphicFramePr>
        <xdr:cNvPr id="4" name="Chart 3">
          <a:extLst>
            <a:ext uri="{FF2B5EF4-FFF2-40B4-BE49-F238E27FC236}">
              <a16:creationId xmlns:a16="http://schemas.microsoft.com/office/drawing/2014/main" xmlns=""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87630</xdr:colOff>
      <xdr:row>32</xdr:row>
      <xdr:rowOff>129540</xdr:rowOff>
    </xdr:from>
    <xdr:to>
      <xdr:col>8</xdr:col>
      <xdr:colOff>434340</xdr:colOff>
      <xdr:row>43</xdr:row>
      <xdr:rowOff>38100</xdr:rowOff>
    </xdr:to>
    <xdr:graphicFrame macro="">
      <xdr:nvGraphicFramePr>
        <xdr:cNvPr id="6" name="Chart 5">
          <a:extLst>
            <a:ext uri="{FF2B5EF4-FFF2-40B4-BE49-F238E27FC236}">
              <a16:creationId xmlns:a16="http://schemas.microsoft.com/office/drawing/2014/main" xmlns=""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87630</xdr:colOff>
      <xdr:row>45</xdr:row>
      <xdr:rowOff>57150</xdr:rowOff>
    </xdr:from>
    <xdr:to>
      <xdr:col>7</xdr:col>
      <xdr:colOff>373380</xdr:colOff>
      <xdr:row>56</xdr:row>
      <xdr:rowOff>30480</xdr:rowOff>
    </xdr:to>
    <xdr:graphicFrame macro="">
      <xdr:nvGraphicFramePr>
        <xdr:cNvPr id="7" name="Chart 6">
          <a:extLst>
            <a:ext uri="{FF2B5EF4-FFF2-40B4-BE49-F238E27FC236}">
              <a16:creationId xmlns:a16="http://schemas.microsoft.com/office/drawing/2014/main" xmlns=""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87630</xdr:colOff>
      <xdr:row>58</xdr:row>
      <xdr:rowOff>76200</xdr:rowOff>
    </xdr:from>
    <xdr:to>
      <xdr:col>7</xdr:col>
      <xdr:colOff>289560</xdr:colOff>
      <xdr:row>67</xdr:row>
      <xdr:rowOff>45720</xdr:rowOff>
    </xdr:to>
    <xdr:graphicFrame macro="">
      <xdr:nvGraphicFramePr>
        <xdr:cNvPr id="8" name="Chart 7">
          <a:extLst>
            <a:ext uri="{FF2B5EF4-FFF2-40B4-BE49-F238E27FC236}">
              <a16:creationId xmlns:a16="http://schemas.microsoft.com/office/drawing/2014/main" xmlns=""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87630</xdr:colOff>
      <xdr:row>68</xdr:row>
      <xdr:rowOff>45720</xdr:rowOff>
    </xdr:from>
    <xdr:to>
      <xdr:col>7</xdr:col>
      <xdr:colOff>601980</xdr:colOff>
      <xdr:row>77</xdr:row>
      <xdr:rowOff>137160</xdr:rowOff>
    </xdr:to>
    <xdr:graphicFrame macro="">
      <xdr:nvGraphicFramePr>
        <xdr:cNvPr id="9" name="Chart 8">
          <a:extLst>
            <a:ext uri="{FF2B5EF4-FFF2-40B4-BE49-F238E27FC236}">
              <a16:creationId xmlns:a16="http://schemas.microsoft.com/office/drawing/2014/main" xmlns=""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87630</xdr:colOff>
      <xdr:row>79</xdr:row>
      <xdr:rowOff>30480</xdr:rowOff>
    </xdr:from>
    <xdr:to>
      <xdr:col>7</xdr:col>
      <xdr:colOff>175260</xdr:colOff>
      <xdr:row>86</xdr:row>
      <xdr:rowOff>121920</xdr:rowOff>
    </xdr:to>
    <xdr:graphicFrame macro="">
      <xdr:nvGraphicFramePr>
        <xdr:cNvPr id="10" name="Chart 9">
          <a:extLst>
            <a:ext uri="{FF2B5EF4-FFF2-40B4-BE49-F238E27FC236}">
              <a16:creationId xmlns:a16="http://schemas.microsoft.com/office/drawing/2014/main" xmlns=""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179070</xdr:colOff>
      <xdr:row>98</xdr:row>
      <xdr:rowOff>57151</xdr:rowOff>
    </xdr:from>
    <xdr:to>
      <xdr:col>4</xdr:col>
      <xdr:colOff>114300</xdr:colOff>
      <xdr:row>108</xdr:row>
      <xdr:rowOff>171451</xdr:rowOff>
    </xdr:to>
    <xdr:graphicFrame macro="">
      <xdr:nvGraphicFramePr>
        <xdr:cNvPr id="11" name="Chart 10">
          <a:extLst>
            <a:ext uri="{FF2B5EF4-FFF2-40B4-BE49-F238E27FC236}">
              <a16:creationId xmlns:a16="http://schemas.microsoft.com/office/drawing/2014/main" xmlns=""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167641</xdr:colOff>
      <xdr:row>109</xdr:row>
      <xdr:rowOff>169546</xdr:rowOff>
    </xdr:from>
    <xdr:to>
      <xdr:col>5</xdr:col>
      <xdr:colOff>123826</xdr:colOff>
      <xdr:row>120</xdr:row>
      <xdr:rowOff>152401</xdr:rowOff>
    </xdr:to>
    <xdr:graphicFrame macro="">
      <xdr:nvGraphicFramePr>
        <xdr:cNvPr id="12" name="Chart 11">
          <a:extLst>
            <a:ext uri="{FF2B5EF4-FFF2-40B4-BE49-F238E27FC236}">
              <a16:creationId xmlns:a16="http://schemas.microsoft.com/office/drawing/2014/main" xmlns=""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148590</xdr:colOff>
      <xdr:row>88</xdr:row>
      <xdr:rowOff>114300</xdr:rowOff>
    </xdr:from>
    <xdr:to>
      <xdr:col>4</xdr:col>
      <xdr:colOff>480060</xdr:colOff>
      <xdr:row>96</xdr:row>
      <xdr:rowOff>99060</xdr:rowOff>
    </xdr:to>
    <xdr:graphicFrame macro="">
      <xdr:nvGraphicFramePr>
        <xdr:cNvPr id="13" name="Chart 12">
          <a:extLst>
            <a:ext uri="{FF2B5EF4-FFF2-40B4-BE49-F238E27FC236}">
              <a16:creationId xmlns:a16="http://schemas.microsoft.com/office/drawing/2014/main" xmlns=""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571500</xdr:colOff>
      <xdr:row>2</xdr:row>
      <xdr:rowOff>9525</xdr:rowOff>
    </xdr:from>
    <xdr:to>
      <xdr:col>9</xdr:col>
      <xdr:colOff>342900</xdr:colOff>
      <xdr:row>16</xdr:row>
      <xdr:rowOff>0</xdr:rowOff>
    </xdr:to>
    <mc:AlternateContent xmlns:mc="http://schemas.openxmlformats.org/markup-compatibility/2006" xmlns:a14="http://schemas.microsoft.com/office/drawing/2010/main">
      <mc:Choice Requires="a14">
        <xdr:graphicFrame macro="">
          <xdr:nvGraphicFramePr>
            <xdr:cNvPr id="5" name="Age">
              <a:extLst>
                <a:ext uri="{FF2B5EF4-FFF2-40B4-BE49-F238E27FC236}">
                  <a16:creationId xmlns:a16="http://schemas.microsoft.com/office/drawing/2014/main" xmlns="" id="{00000000-0008-0000-0600-00000500000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686675"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523875</xdr:colOff>
      <xdr:row>2</xdr:row>
      <xdr:rowOff>38100</xdr:rowOff>
    </xdr:from>
    <xdr:to>
      <xdr:col>11</xdr:col>
      <xdr:colOff>295275</xdr:colOff>
      <xdr:row>16</xdr:row>
      <xdr:rowOff>28575</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xmlns="" id="{00000000-0008-0000-0600-00000E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10650" y="40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66675</xdr:colOff>
      <xdr:row>6</xdr:row>
      <xdr:rowOff>152400</xdr:rowOff>
    </xdr:from>
    <xdr:to>
      <xdr:col>11</xdr:col>
      <xdr:colOff>523875</xdr:colOff>
      <xdr:row>20</xdr:row>
      <xdr:rowOff>142875</xdr:rowOff>
    </xdr:to>
    <mc:AlternateContent xmlns:mc="http://schemas.openxmlformats.org/markup-compatibility/2006" xmlns:a14="http://schemas.microsoft.com/office/drawing/2010/main">
      <mc:Choice Requires="a14">
        <xdr:graphicFrame macro="">
          <xdr:nvGraphicFramePr>
            <xdr:cNvPr id="15" name="Admission Year">
              <a:extLst>
                <a:ext uri="{FF2B5EF4-FFF2-40B4-BE49-F238E27FC236}">
                  <a16:creationId xmlns:a16="http://schemas.microsoft.com/office/drawing/2014/main" xmlns="" id="{00000000-0008-0000-0600-00000F000000}"/>
                </a:ext>
              </a:extLst>
            </xdr:cNvPr>
            <xdr:cNvGraphicFramePr/>
          </xdr:nvGraphicFramePr>
          <xdr:xfrm>
            <a:off x="0" y="0"/>
            <a:ext cx="0" cy="0"/>
          </xdr:xfrm>
          <a:graphic>
            <a:graphicData uri="http://schemas.microsoft.com/office/drawing/2010/slicer">
              <sle:slicer xmlns:sle="http://schemas.microsoft.com/office/drawing/2010/slicer" name="Admission Year"/>
            </a:graphicData>
          </a:graphic>
        </xdr:graphicFrame>
      </mc:Choice>
      <mc:Fallback xmlns="">
        <xdr:sp macro="" textlink="">
          <xdr:nvSpPr>
            <xdr:cNvPr id="0" name=""/>
            <xdr:cNvSpPr>
              <a:spLocks noTextEdit="1"/>
            </xdr:cNvSpPr>
          </xdr:nvSpPr>
          <xdr:spPr>
            <a:xfrm>
              <a:off x="9239250" y="123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2</xdr:row>
      <xdr:rowOff>161925</xdr:rowOff>
    </xdr:from>
    <xdr:to>
      <xdr:col>13</xdr:col>
      <xdr:colOff>228600</xdr:colOff>
      <xdr:row>16</xdr:row>
      <xdr:rowOff>152400</xdr:rowOff>
    </xdr:to>
    <mc:AlternateContent xmlns:mc="http://schemas.openxmlformats.org/markup-compatibility/2006" xmlns:a14="http://schemas.microsoft.com/office/drawing/2010/main">
      <mc:Choice Requires="a14">
        <xdr:graphicFrame macro="">
          <xdr:nvGraphicFramePr>
            <xdr:cNvPr id="17" name="Total Journey">
              <a:extLst>
                <a:ext uri="{FF2B5EF4-FFF2-40B4-BE49-F238E27FC236}">
                  <a16:creationId xmlns:a16="http://schemas.microsoft.com/office/drawing/2014/main" xmlns=""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Total Journey"/>
            </a:graphicData>
          </a:graphic>
        </xdr:graphicFrame>
      </mc:Choice>
      <mc:Fallback xmlns="">
        <xdr:sp macro="" textlink="">
          <xdr:nvSpPr>
            <xdr:cNvPr id="0" name=""/>
            <xdr:cNvSpPr>
              <a:spLocks noTextEdit="1"/>
            </xdr:cNvSpPr>
          </xdr:nvSpPr>
          <xdr:spPr>
            <a:xfrm>
              <a:off x="10315575"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276224</xdr:colOff>
      <xdr:row>0</xdr:row>
      <xdr:rowOff>95248</xdr:rowOff>
    </xdr:from>
    <xdr:to>
      <xdr:col>13</xdr:col>
      <xdr:colOff>571500</xdr:colOff>
      <xdr:row>23</xdr:row>
      <xdr:rowOff>114300</xdr:rowOff>
    </xdr:to>
    <xdr:grpSp>
      <xdr:nvGrpSpPr>
        <xdr:cNvPr id="13" name="Group 12">
          <a:extLst>
            <a:ext uri="{FF2B5EF4-FFF2-40B4-BE49-F238E27FC236}">
              <a16:creationId xmlns:a16="http://schemas.microsoft.com/office/drawing/2014/main" xmlns="" id="{00000000-0008-0000-0700-00000D000000}"/>
            </a:ext>
          </a:extLst>
        </xdr:cNvPr>
        <xdr:cNvGrpSpPr/>
      </xdr:nvGrpSpPr>
      <xdr:grpSpPr>
        <a:xfrm>
          <a:off x="2333624" y="95248"/>
          <a:ext cx="7153276" cy="4181477"/>
          <a:chOff x="3248024" y="95248"/>
          <a:chExt cx="6237657" cy="4181477"/>
        </a:xfrm>
      </xdr:grpSpPr>
      <xdr:sp macro="" textlink="">
        <xdr:nvSpPr>
          <xdr:cNvPr id="2" name="Rounded Rectangle 1">
            <a:extLst>
              <a:ext uri="{FF2B5EF4-FFF2-40B4-BE49-F238E27FC236}">
                <a16:creationId xmlns:a16="http://schemas.microsoft.com/office/drawing/2014/main" xmlns="" id="{00000000-0008-0000-0700-000002000000}"/>
              </a:ext>
            </a:extLst>
          </xdr:cNvPr>
          <xdr:cNvSpPr/>
        </xdr:nvSpPr>
        <xdr:spPr>
          <a:xfrm>
            <a:off x="3248024" y="95248"/>
            <a:ext cx="6237657" cy="4181477"/>
          </a:xfrm>
          <a:prstGeom prst="roundRect">
            <a:avLst>
              <a:gd name="adj" fmla="val 85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xmlns="" id="{00000000-0008-0000-0700-000003000000}"/>
              </a:ext>
            </a:extLst>
          </xdr:cNvPr>
          <xdr:cNvSpPr txBox="1"/>
        </xdr:nvSpPr>
        <xdr:spPr>
          <a:xfrm>
            <a:off x="3276600" y="133348"/>
            <a:ext cx="6172200" cy="41910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HOSPITAL</a:t>
            </a:r>
            <a:r>
              <a:rPr lang="en-US" sz="2000" b="1" baseline="0">
                <a:solidFill>
                  <a:schemeClr val="bg1"/>
                </a:solidFill>
              </a:rPr>
              <a:t> PATIENTS DASHBOARD</a:t>
            </a:r>
            <a:endParaRPr lang="en-US" sz="2000" b="1">
              <a:solidFill>
                <a:schemeClr val="bg1"/>
              </a:solidFill>
            </a:endParaRPr>
          </a:p>
        </xdr:txBody>
      </xdr:sp>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xmlns="" id="{00000000-0008-0000-0700-000004000000}"/>
                  </a:ext>
                </a:extLst>
              </xdr:cNvPr>
              <xdr:cNvGraphicFramePr/>
            </xdr:nvGraphicFramePr>
            <xdr:xfrm>
              <a:off x="3286124" y="1257300"/>
              <a:ext cx="978408" cy="866775"/>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377317" y="1257300"/>
                <a:ext cx="1122027"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Age 1">
                <a:extLst>
                  <a:ext uri="{FF2B5EF4-FFF2-40B4-BE49-F238E27FC236}">
                    <a16:creationId xmlns:a16="http://schemas.microsoft.com/office/drawing/2014/main" xmlns="" id="{00000000-0008-0000-0700-000005000000}"/>
                  </a:ext>
                </a:extLst>
              </xdr:cNvPr>
              <xdr:cNvGraphicFramePr/>
            </xdr:nvGraphicFramePr>
            <xdr:xfrm>
              <a:off x="3286124" y="2181225"/>
              <a:ext cx="978408" cy="1152525"/>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377317" y="2181225"/>
                <a:ext cx="1122027"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Total Journey 1">
                <a:extLst>
                  <a:ext uri="{FF2B5EF4-FFF2-40B4-BE49-F238E27FC236}">
                    <a16:creationId xmlns:a16="http://schemas.microsoft.com/office/drawing/2014/main" xmlns="" id="{00000000-0008-0000-0700-000007000000}"/>
                  </a:ext>
                </a:extLst>
              </xdr:cNvPr>
              <xdr:cNvGraphicFramePr/>
            </xdr:nvGraphicFramePr>
            <xdr:xfrm>
              <a:off x="3286126" y="3381375"/>
              <a:ext cx="978408" cy="857250"/>
            </xdr:xfrm>
            <a:graphic>
              <a:graphicData uri="http://schemas.microsoft.com/office/drawing/2010/slicer">
                <sle:slicer xmlns:sle="http://schemas.microsoft.com/office/drawing/2010/slicer" name="Total Journey 1"/>
              </a:graphicData>
            </a:graphic>
          </xdr:graphicFrame>
        </mc:Choice>
        <mc:Fallback xmlns="">
          <xdr:sp macro="" textlink="">
            <xdr:nvSpPr>
              <xdr:cNvPr id="0" name=""/>
              <xdr:cNvSpPr>
                <a:spLocks noTextEdit="1"/>
              </xdr:cNvSpPr>
            </xdr:nvSpPr>
            <xdr:spPr>
              <a:xfrm>
                <a:off x="2377319" y="3381375"/>
                <a:ext cx="1122027"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 name="TextBox 5">
            <a:extLst>
              <a:ext uri="{FF2B5EF4-FFF2-40B4-BE49-F238E27FC236}">
                <a16:creationId xmlns:a16="http://schemas.microsoft.com/office/drawing/2014/main" xmlns="" id="{00000000-0008-0000-0700-000006000000}"/>
              </a:ext>
            </a:extLst>
          </xdr:cNvPr>
          <xdr:cNvSpPr txBox="1"/>
        </xdr:nvSpPr>
        <xdr:spPr>
          <a:xfrm>
            <a:off x="3288505" y="628651"/>
            <a:ext cx="1517904" cy="5810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Total</a:t>
            </a:r>
            <a:r>
              <a:rPr lang="en-US" sz="1100" b="0" baseline="0"/>
              <a:t> Patients</a:t>
            </a:r>
          </a:p>
          <a:p>
            <a:pPr algn="ctr"/>
            <a:r>
              <a:rPr lang="en-US" sz="2000" b="1" baseline="0"/>
              <a:t>132</a:t>
            </a:r>
            <a:endParaRPr lang="en-US" sz="2000" b="1"/>
          </a:p>
        </xdr:txBody>
      </xdr:sp>
      <xdr:sp macro="" textlink="">
        <xdr:nvSpPr>
          <xdr:cNvPr id="9" name="TextBox 8">
            <a:extLst>
              <a:ext uri="{FF2B5EF4-FFF2-40B4-BE49-F238E27FC236}">
                <a16:creationId xmlns:a16="http://schemas.microsoft.com/office/drawing/2014/main" xmlns="" id="{00000000-0008-0000-0700-000009000000}"/>
              </a:ext>
            </a:extLst>
          </xdr:cNvPr>
          <xdr:cNvSpPr txBox="1"/>
        </xdr:nvSpPr>
        <xdr:spPr>
          <a:xfrm>
            <a:off x="6385321" y="628651"/>
            <a:ext cx="1517904" cy="58521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AVG Total Journey</a:t>
            </a:r>
          </a:p>
          <a:p>
            <a:pPr algn="ctr"/>
            <a:r>
              <a:rPr lang="en-US" sz="2000" b="1"/>
              <a:t>7.62</a:t>
            </a:r>
          </a:p>
        </xdr:txBody>
      </xdr:sp>
      <xdr:sp macro="" textlink="">
        <xdr:nvSpPr>
          <xdr:cNvPr id="10" name="TextBox 9">
            <a:extLst>
              <a:ext uri="{FF2B5EF4-FFF2-40B4-BE49-F238E27FC236}">
                <a16:creationId xmlns:a16="http://schemas.microsoft.com/office/drawing/2014/main" xmlns="" id="{00000000-0008-0000-0700-00000A000000}"/>
              </a:ext>
            </a:extLst>
          </xdr:cNvPr>
          <xdr:cNvSpPr txBox="1"/>
        </xdr:nvSpPr>
        <xdr:spPr>
          <a:xfrm>
            <a:off x="7930896" y="628651"/>
            <a:ext cx="1517904" cy="58521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AVG Di</a:t>
            </a:r>
            <a:r>
              <a:rPr lang="en-US" sz="1100" b="0">
                <a:solidFill>
                  <a:schemeClr val="dk1"/>
                </a:solidFill>
                <a:effectLst/>
                <a:latin typeface="+mn-lt"/>
                <a:ea typeface="+mn-ea"/>
                <a:cs typeface="+mn-cs"/>
              </a:rPr>
              <a:t>a</a:t>
            </a:r>
            <a:r>
              <a:rPr lang="en-US" sz="1100" b="0"/>
              <a:t>gnosis Delay</a:t>
            </a:r>
          </a:p>
          <a:p>
            <a:pPr algn="ctr"/>
            <a:r>
              <a:rPr lang="en-US" sz="2000" b="1"/>
              <a:t>4.18</a:t>
            </a:r>
          </a:p>
        </xdr:txBody>
      </xdr:sp>
      <xdr:sp macro="" textlink="">
        <xdr:nvSpPr>
          <xdr:cNvPr id="11" name="TextBox 10">
            <a:extLst>
              <a:ext uri="{FF2B5EF4-FFF2-40B4-BE49-F238E27FC236}">
                <a16:creationId xmlns:a16="http://schemas.microsoft.com/office/drawing/2014/main" xmlns="" id="{00000000-0008-0000-0700-00000B000000}"/>
              </a:ext>
            </a:extLst>
          </xdr:cNvPr>
          <xdr:cNvSpPr txBox="1"/>
        </xdr:nvSpPr>
        <xdr:spPr>
          <a:xfrm>
            <a:off x="4839889" y="628651"/>
            <a:ext cx="1517904" cy="58521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AVG Treatment Delay</a:t>
            </a:r>
          </a:p>
          <a:p>
            <a:pPr algn="ctr"/>
            <a:r>
              <a:rPr lang="en-US" sz="2000" b="1"/>
              <a:t>4.18</a:t>
            </a:r>
          </a:p>
        </xdr:txBody>
      </xdr:sp>
      <xdr:graphicFrame macro="">
        <xdr:nvGraphicFramePr>
          <xdr:cNvPr id="15" name="Chart 14">
            <a:extLst>
              <a:ext uri="{FF2B5EF4-FFF2-40B4-BE49-F238E27FC236}">
                <a16:creationId xmlns:a16="http://schemas.microsoft.com/office/drawing/2014/main" xmlns="" id="{00000000-0008-0000-0700-00000F000000}"/>
              </a:ext>
            </a:extLst>
          </xdr:cNvPr>
          <xdr:cNvGraphicFramePr>
            <a:graphicFrameLocks/>
          </xdr:cNvGraphicFramePr>
        </xdr:nvGraphicFramePr>
        <xdr:xfrm>
          <a:off x="5753100" y="1257301"/>
          <a:ext cx="1666875" cy="14630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xmlns="" id="{00000000-0008-0000-0700-000010000000}"/>
              </a:ext>
            </a:extLst>
          </xdr:cNvPr>
          <xdr:cNvGraphicFramePr>
            <a:graphicFrameLocks/>
          </xdr:cNvGraphicFramePr>
        </xdr:nvGraphicFramePr>
        <xdr:xfrm>
          <a:off x="4324350" y="1257301"/>
          <a:ext cx="1371600" cy="146304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8" name="TextBox 17">
            <a:extLst>
              <a:ext uri="{FF2B5EF4-FFF2-40B4-BE49-F238E27FC236}">
                <a16:creationId xmlns:a16="http://schemas.microsoft.com/office/drawing/2014/main" xmlns="" id="{00000000-0008-0000-0700-000012000000}"/>
              </a:ext>
            </a:extLst>
          </xdr:cNvPr>
          <xdr:cNvSpPr txBox="1"/>
        </xdr:nvSpPr>
        <xdr:spPr>
          <a:xfrm>
            <a:off x="4705350" y="1800226"/>
            <a:ext cx="604693"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a:solidFill>
                  <a:schemeClr val="tx1"/>
                </a:solidFill>
              </a:rPr>
              <a:t>Female</a:t>
            </a:r>
          </a:p>
          <a:p>
            <a:pPr algn="ctr"/>
            <a:r>
              <a:rPr lang="en-US" sz="900" b="0">
                <a:solidFill>
                  <a:schemeClr val="tx1"/>
                </a:solidFill>
              </a:rPr>
              <a:t>50.8%</a:t>
            </a:r>
          </a:p>
        </xdr:txBody>
      </xdr:sp>
      <xdr:graphicFrame macro="">
        <xdr:nvGraphicFramePr>
          <xdr:cNvPr id="14" name="Chart 13">
            <a:extLst>
              <a:ext uri="{FF2B5EF4-FFF2-40B4-BE49-F238E27FC236}">
                <a16:creationId xmlns:a16="http://schemas.microsoft.com/office/drawing/2014/main" xmlns="" id="{00000000-0008-0000-0700-00000E000000}"/>
              </a:ext>
            </a:extLst>
          </xdr:cNvPr>
          <xdr:cNvGraphicFramePr>
            <a:graphicFrameLocks/>
          </xdr:cNvGraphicFramePr>
        </xdr:nvGraphicFramePr>
        <xdr:xfrm>
          <a:off x="7486651" y="1257301"/>
          <a:ext cx="1962149" cy="14630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xmlns="" id="{00000000-0008-0000-0700-000011000000}"/>
              </a:ext>
            </a:extLst>
          </xdr:cNvPr>
          <xdr:cNvGraphicFramePr>
            <a:graphicFrameLocks/>
          </xdr:cNvGraphicFramePr>
        </xdr:nvGraphicFramePr>
        <xdr:xfrm>
          <a:off x="4324350" y="2775585"/>
          <a:ext cx="2028825" cy="14630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xmlns="" id="{00000000-0008-0000-0700-000014000000}"/>
              </a:ext>
            </a:extLst>
          </xdr:cNvPr>
          <xdr:cNvGraphicFramePr>
            <a:graphicFrameLocks/>
          </xdr:cNvGraphicFramePr>
        </xdr:nvGraphicFramePr>
        <xdr:xfrm>
          <a:off x="6422136" y="2775585"/>
          <a:ext cx="3026664" cy="14630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97.774831944444" createdVersion="8" refreshedVersion="4" minRefreshableVersion="3" recordCount="132">
  <cacheSource type="worksheet">
    <worksheetSource name="Table3"/>
  </cacheSource>
  <cacheFields count="13">
    <cacheField name="Patient_ID" numFmtId="0">
      <sharedItems/>
    </cacheField>
    <cacheField name="Name" numFmtId="0">
      <sharedItems/>
    </cacheField>
    <cacheField name="Age" numFmtId="0">
      <sharedItems containsSemiMixedTypes="0" containsString="0" containsNumber="1" containsInteger="1" minValue="20" maxValue="85" count="57">
        <n v="71"/>
        <n v="34"/>
        <n v="57"/>
        <n v="24"/>
        <n v="33"/>
        <n v="46"/>
        <n v="28"/>
        <n v="61"/>
        <n v="70"/>
        <n v="82"/>
        <n v="23"/>
        <n v="21"/>
        <n v="42"/>
        <n v="62"/>
        <n v="48"/>
        <n v="55"/>
        <n v="32"/>
        <n v="51"/>
        <n v="78"/>
        <n v="47"/>
        <n v="85"/>
        <n v="83"/>
        <n v="64"/>
        <n v="81"/>
        <n v="76"/>
        <n v="25"/>
        <n v="63"/>
        <n v="49"/>
        <n v="79"/>
        <n v="20"/>
        <n v="40"/>
        <n v="52"/>
        <n v="77"/>
        <n v="41"/>
        <n v="68"/>
        <n v="80"/>
        <n v="66"/>
        <n v="74"/>
        <n v="22"/>
        <n v="26"/>
        <n v="58"/>
        <n v="37"/>
        <n v="43"/>
        <n v="72"/>
        <n v="27"/>
        <n v="54"/>
        <n v="69"/>
        <n v="73"/>
        <n v="53"/>
        <n v="67"/>
        <n v="59"/>
        <n v="45"/>
        <n v="60"/>
        <n v="84"/>
        <n v="30"/>
        <n v="31"/>
        <n v="56"/>
      </sharedItems>
      <fieldGroup base="2">
        <rangePr startNum="20" endNum="85" groupInterval="10"/>
        <groupItems count="9">
          <s v="&lt;20"/>
          <s v="20-29"/>
          <s v="30-39"/>
          <s v="40-49"/>
          <s v="50-59"/>
          <s v="60-69"/>
          <s v="70-79"/>
          <s v="80-89"/>
          <s v="&gt;90"/>
        </groupItems>
      </fieldGroup>
    </cacheField>
    <cacheField name="Gender" numFmtId="0">
      <sharedItems count="2">
        <s v="Male"/>
        <s v="Female"/>
      </sharedItems>
    </cacheField>
    <cacheField name="Admission Year" numFmtId="0">
      <sharedItems containsSemiMixedTypes="0" containsString="0" containsNumber="1" containsInteger="1" minValue="2003" maxValue="2023" count="7">
        <n v="2016"/>
        <n v="2003"/>
        <n v="2018"/>
        <n v="2017"/>
        <n v="2019"/>
        <n v="2023"/>
        <n v="2022"/>
      </sharedItems>
    </cacheField>
    <cacheField name="Diagnosis Year" numFmtId="0">
      <sharedItems containsSemiMixedTypes="0" containsString="0" containsNumber="1" containsInteger="1" minValue="2016" maxValue="2024" count="9">
        <n v="2018"/>
        <n v="2017"/>
        <n v="2016"/>
        <n v="2023"/>
        <n v="2022"/>
        <n v="2019"/>
        <n v="2020"/>
        <n v="2021"/>
        <n v="2024"/>
      </sharedItems>
    </cacheField>
    <cacheField name="Treatment Start Year" numFmtId="0">
      <sharedItems containsMixedTypes="1" containsNumber="1" containsInteger="1" minValue="2017" maxValue="2024" count="9">
        <n v="2023"/>
        <n v="2018"/>
        <n v="2022"/>
        <n v="2017"/>
        <n v="2024"/>
        <n v="2020"/>
        <n v="2021"/>
        <n v="2019"/>
        <s v="Unknown"/>
      </sharedItems>
    </cacheField>
    <cacheField name="Surgery Year" numFmtId="0">
      <sharedItems containsMixedTypes="1" containsNumber="1" containsInteger="1" minValue="2018" maxValue="2026" count="6">
        <n v="2023"/>
        <n v="2024"/>
        <n v="2018"/>
        <n v="2022"/>
        <n v="2026"/>
        <s v="Unknown"/>
      </sharedItems>
    </cacheField>
    <cacheField name="Discharge Year" numFmtId="0">
      <sharedItems containsMixedTypes="1" containsNumber="1" containsInteger="1" minValue="2022" maxValue="2026" count="6">
        <n v="2023"/>
        <n v="2024"/>
        <n v="2022"/>
        <s v="Unknown"/>
        <n v="2025"/>
        <n v="2026"/>
      </sharedItems>
    </cacheField>
    <cacheField name="Follow Up Visit Year" numFmtId="0">
      <sharedItems containsMixedTypes="1" containsNumber="1" containsInteger="1" minValue="2023" maxValue="2025" count="4">
        <n v="2024"/>
        <n v="2023"/>
        <n v="2025"/>
        <s v="Unknown"/>
      </sharedItems>
    </cacheField>
    <cacheField name="Total Journey" numFmtId="0">
      <sharedItems containsMixedTypes="1" containsNumber="1" containsInteger="1" minValue="2" maxValue="21" count="11">
        <n v="7"/>
        <n v="8"/>
        <n v="19"/>
        <n v="6"/>
        <n v="20"/>
        <n v="5"/>
        <e v="#VALUE!"/>
        <n v="4"/>
        <n v="21"/>
        <n v="2"/>
        <n v="10"/>
      </sharedItems>
    </cacheField>
    <cacheField name="Diagnosis Delay" numFmtId="0">
      <sharedItems containsSemiMixedTypes="0" containsString="0" containsNumber="1" containsInteger="1" minValue="0" maxValue="16"/>
    </cacheField>
    <cacheField name="Treatment Delay" numFmtId="0">
      <sharedItems containsMixedTypes="1" containsNumber="1" containsInteger="1" minValue="0" maxValue="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2">
  <r>
    <s v="PID1000"/>
    <s v="Patient_0"/>
    <x v="0"/>
    <x v="0"/>
    <x v="0"/>
    <x v="0"/>
    <x v="0"/>
    <x v="0"/>
    <x v="0"/>
    <x v="0"/>
    <x v="0"/>
    <n v="2"/>
    <n v="5"/>
  </r>
  <r>
    <s v="PID1001"/>
    <s v="Patient_1"/>
    <x v="1"/>
    <x v="0"/>
    <x v="0"/>
    <x v="1"/>
    <x v="0"/>
    <x v="1"/>
    <x v="1"/>
    <x v="0"/>
    <x v="1"/>
    <n v="1"/>
    <n v="6"/>
  </r>
  <r>
    <s v="PID1010"/>
    <s v="Patient_2"/>
    <x v="2"/>
    <x v="1"/>
    <x v="1"/>
    <x v="2"/>
    <x v="1"/>
    <x v="2"/>
    <x v="2"/>
    <x v="1"/>
    <x v="2"/>
    <n v="13"/>
    <n v="2"/>
  </r>
  <r>
    <s v="PID1100"/>
    <s v="Patient_3"/>
    <x v="3"/>
    <x v="1"/>
    <x v="2"/>
    <x v="0"/>
    <x v="0"/>
    <x v="1"/>
    <x v="1"/>
    <x v="0"/>
    <x v="3"/>
    <n v="0"/>
    <n v="5"/>
  </r>
  <r>
    <s v="PID1101"/>
    <s v="Patient_4"/>
    <x v="4"/>
    <x v="0"/>
    <x v="3"/>
    <x v="0"/>
    <x v="0"/>
    <x v="0"/>
    <x v="0"/>
    <x v="0"/>
    <x v="3"/>
    <n v="1"/>
    <n v="5"/>
  </r>
  <r>
    <s v="PID1102"/>
    <s v="Patient_5"/>
    <x v="5"/>
    <x v="1"/>
    <x v="0"/>
    <x v="1"/>
    <x v="2"/>
    <x v="0"/>
    <x v="0"/>
    <x v="0"/>
    <x v="0"/>
    <n v="1"/>
    <n v="5"/>
  </r>
  <r>
    <s v="PID1103"/>
    <s v="Patient_6"/>
    <x v="6"/>
    <x v="0"/>
    <x v="1"/>
    <x v="2"/>
    <x v="3"/>
    <x v="3"/>
    <x v="0"/>
    <x v="2"/>
    <x v="4"/>
    <n v="13"/>
    <n v="1"/>
  </r>
  <r>
    <s v="PID1104"/>
    <s v="Patient_7"/>
    <x v="1"/>
    <x v="0"/>
    <x v="0"/>
    <x v="1"/>
    <x v="2"/>
    <x v="0"/>
    <x v="1"/>
    <x v="2"/>
    <x v="1"/>
    <n v="1"/>
    <n v="5"/>
  </r>
  <r>
    <s v="PID1105"/>
    <s v="Patient_8"/>
    <x v="7"/>
    <x v="1"/>
    <x v="0"/>
    <x v="0"/>
    <x v="0"/>
    <x v="1"/>
    <x v="1"/>
    <x v="0"/>
    <x v="1"/>
    <n v="2"/>
    <n v="5"/>
  </r>
  <r>
    <s v="PID1106"/>
    <s v="Patient_9"/>
    <x v="8"/>
    <x v="1"/>
    <x v="2"/>
    <x v="3"/>
    <x v="0"/>
    <x v="0"/>
    <x v="1"/>
    <x v="3"/>
    <x v="3"/>
    <n v="5"/>
    <n v="0"/>
  </r>
  <r>
    <s v="PID1107"/>
    <s v="Patient_10"/>
    <x v="9"/>
    <x v="0"/>
    <x v="2"/>
    <x v="0"/>
    <x v="0"/>
    <x v="0"/>
    <x v="0"/>
    <x v="3"/>
    <x v="5"/>
    <n v="0"/>
    <n v="5"/>
  </r>
  <r>
    <s v="PID1108"/>
    <s v="Patient_11"/>
    <x v="0"/>
    <x v="1"/>
    <x v="2"/>
    <x v="0"/>
    <x v="4"/>
    <x v="1"/>
    <x v="1"/>
    <x v="0"/>
    <x v="3"/>
    <n v="0"/>
    <n v="6"/>
  </r>
  <r>
    <s v="PID1109"/>
    <s v="Patient_12"/>
    <x v="10"/>
    <x v="1"/>
    <x v="2"/>
    <x v="3"/>
    <x v="0"/>
    <x v="0"/>
    <x v="0"/>
    <x v="0"/>
    <x v="5"/>
    <n v="5"/>
    <n v="0"/>
  </r>
  <r>
    <s v="PID1011"/>
    <s v="Patient_13"/>
    <x v="11"/>
    <x v="0"/>
    <x v="0"/>
    <x v="0"/>
    <x v="5"/>
    <x v="3"/>
    <x v="0"/>
    <x v="1"/>
    <x v="0"/>
    <n v="2"/>
    <n v="2"/>
  </r>
  <r>
    <s v="PID1110"/>
    <s v="Patient_14"/>
    <x v="12"/>
    <x v="0"/>
    <x v="2"/>
    <x v="3"/>
    <x v="0"/>
    <x v="0"/>
    <x v="1"/>
    <x v="0"/>
    <x v="3"/>
    <n v="5"/>
    <n v="0"/>
  </r>
  <r>
    <s v="PID1111"/>
    <s v="Patient_15"/>
    <x v="1"/>
    <x v="0"/>
    <x v="2"/>
    <x v="3"/>
    <x v="0"/>
    <x v="0"/>
    <x v="0"/>
    <x v="3"/>
    <x v="5"/>
    <n v="5"/>
    <n v="0"/>
  </r>
  <r>
    <s v="PID1112"/>
    <s v="Patient_16"/>
    <x v="13"/>
    <x v="1"/>
    <x v="2"/>
    <x v="4"/>
    <x v="0"/>
    <x v="0"/>
    <x v="1"/>
    <x v="0"/>
    <x v="3"/>
    <n v="4"/>
    <n v="1"/>
  </r>
  <r>
    <s v="PID1113"/>
    <s v="Patient_17"/>
    <x v="14"/>
    <x v="0"/>
    <x v="3"/>
    <x v="5"/>
    <x v="2"/>
    <x v="0"/>
    <x v="1"/>
    <x v="0"/>
    <x v="0"/>
    <n v="2"/>
    <n v="3"/>
  </r>
  <r>
    <s v="PID1114"/>
    <s v="Patient_18"/>
    <x v="15"/>
    <x v="0"/>
    <x v="3"/>
    <x v="3"/>
    <x v="0"/>
    <x v="0"/>
    <x v="0"/>
    <x v="0"/>
    <x v="3"/>
    <n v="6"/>
    <n v="0"/>
  </r>
  <r>
    <s v="PID1115"/>
    <s v="Patient_19"/>
    <x v="16"/>
    <x v="1"/>
    <x v="3"/>
    <x v="1"/>
    <x v="0"/>
    <x v="0"/>
    <x v="1"/>
    <x v="0"/>
    <x v="0"/>
    <n v="0"/>
    <n v="6"/>
  </r>
  <r>
    <s v="PID1116"/>
    <s v="Patient_20"/>
    <x v="17"/>
    <x v="0"/>
    <x v="3"/>
    <x v="3"/>
    <x v="0"/>
    <x v="0"/>
    <x v="0"/>
    <x v="0"/>
    <x v="3"/>
    <n v="6"/>
    <n v="0"/>
  </r>
  <r>
    <s v="PID1117"/>
    <s v="Patient_21"/>
    <x v="18"/>
    <x v="0"/>
    <x v="3"/>
    <x v="3"/>
    <x v="0"/>
    <x v="0"/>
    <x v="0"/>
    <x v="0"/>
    <x v="3"/>
    <n v="6"/>
    <n v="0"/>
  </r>
  <r>
    <s v="PID1118"/>
    <s v="Patient_22"/>
    <x v="19"/>
    <x v="1"/>
    <x v="0"/>
    <x v="3"/>
    <x v="4"/>
    <x v="1"/>
    <x v="1"/>
    <x v="3"/>
    <x v="1"/>
    <n v="7"/>
    <n v="1"/>
  </r>
  <r>
    <s v="PID1119"/>
    <s v="Patient_23"/>
    <x v="20"/>
    <x v="1"/>
    <x v="0"/>
    <x v="3"/>
    <x v="4"/>
    <x v="1"/>
    <x v="1"/>
    <x v="3"/>
    <x v="1"/>
    <n v="7"/>
    <n v="1"/>
  </r>
  <r>
    <s v="PID1012"/>
    <s v="Patient_24"/>
    <x v="21"/>
    <x v="0"/>
    <x v="2"/>
    <x v="0"/>
    <x v="0"/>
    <x v="0"/>
    <x v="1"/>
    <x v="0"/>
    <x v="3"/>
    <n v="0"/>
    <n v="5"/>
  </r>
  <r>
    <s v="PID1120"/>
    <s v="Patient_25"/>
    <x v="7"/>
    <x v="0"/>
    <x v="2"/>
    <x v="4"/>
    <x v="0"/>
    <x v="0"/>
    <x v="1"/>
    <x v="0"/>
    <x v="3"/>
    <n v="4"/>
    <n v="1"/>
  </r>
  <r>
    <s v="PID1121"/>
    <s v="Patient_26"/>
    <x v="22"/>
    <x v="0"/>
    <x v="4"/>
    <x v="3"/>
    <x v="0"/>
    <x v="4"/>
    <x v="3"/>
    <x v="3"/>
    <x v="6"/>
    <n v="4"/>
    <n v="0"/>
  </r>
  <r>
    <s v="PID1122"/>
    <s v="Patient_27"/>
    <x v="23"/>
    <x v="1"/>
    <x v="3"/>
    <x v="4"/>
    <x v="0"/>
    <x v="1"/>
    <x v="1"/>
    <x v="0"/>
    <x v="0"/>
    <n v="5"/>
    <n v="1"/>
  </r>
  <r>
    <s v="PID1123"/>
    <s v="Patient_28"/>
    <x v="24"/>
    <x v="1"/>
    <x v="3"/>
    <x v="3"/>
    <x v="0"/>
    <x v="1"/>
    <x v="1"/>
    <x v="3"/>
    <x v="0"/>
    <n v="6"/>
    <n v="0"/>
  </r>
  <r>
    <s v="PID1124"/>
    <s v="Patient_29"/>
    <x v="25"/>
    <x v="1"/>
    <x v="3"/>
    <x v="3"/>
    <x v="0"/>
    <x v="1"/>
    <x v="1"/>
    <x v="0"/>
    <x v="0"/>
    <n v="6"/>
    <n v="0"/>
  </r>
  <r>
    <s v="PID1125"/>
    <s v="Patient_30"/>
    <x v="19"/>
    <x v="1"/>
    <x v="4"/>
    <x v="4"/>
    <x v="0"/>
    <x v="0"/>
    <x v="1"/>
    <x v="0"/>
    <x v="5"/>
    <n v="3"/>
    <n v="1"/>
  </r>
  <r>
    <s v="PID1126"/>
    <s v="Patient_31"/>
    <x v="19"/>
    <x v="0"/>
    <x v="4"/>
    <x v="4"/>
    <x v="0"/>
    <x v="0"/>
    <x v="0"/>
    <x v="1"/>
    <x v="7"/>
    <n v="3"/>
    <n v="1"/>
  </r>
  <r>
    <s v="PID1127"/>
    <s v="Patient_32"/>
    <x v="26"/>
    <x v="1"/>
    <x v="4"/>
    <x v="6"/>
    <x v="4"/>
    <x v="5"/>
    <x v="3"/>
    <x v="3"/>
    <x v="6"/>
    <n v="1"/>
    <n v="4"/>
  </r>
  <r>
    <s v="PID1128"/>
    <s v="Patient_33"/>
    <x v="27"/>
    <x v="1"/>
    <x v="0"/>
    <x v="3"/>
    <x v="0"/>
    <x v="0"/>
    <x v="1"/>
    <x v="0"/>
    <x v="1"/>
    <n v="7"/>
    <n v="0"/>
  </r>
  <r>
    <s v="PID1129"/>
    <s v="Patient_34"/>
    <x v="23"/>
    <x v="0"/>
    <x v="2"/>
    <x v="4"/>
    <x v="0"/>
    <x v="0"/>
    <x v="0"/>
    <x v="0"/>
    <x v="5"/>
    <n v="4"/>
    <n v="1"/>
  </r>
  <r>
    <s v="PID1013"/>
    <s v="Patient_35"/>
    <x v="28"/>
    <x v="1"/>
    <x v="0"/>
    <x v="0"/>
    <x v="0"/>
    <x v="0"/>
    <x v="0"/>
    <x v="1"/>
    <x v="0"/>
    <n v="2"/>
    <n v="5"/>
  </r>
  <r>
    <s v="PID1130"/>
    <s v="Patient_36"/>
    <x v="23"/>
    <x v="1"/>
    <x v="0"/>
    <x v="3"/>
    <x v="4"/>
    <x v="1"/>
    <x v="1"/>
    <x v="0"/>
    <x v="1"/>
    <n v="7"/>
    <n v="1"/>
  </r>
  <r>
    <s v="PID1131"/>
    <s v="Patient_37"/>
    <x v="29"/>
    <x v="0"/>
    <x v="0"/>
    <x v="3"/>
    <x v="0"/>
    <x v="0"/>
    <x v="1"/>
    <x v="0"/>
    <x v="1"/>
    <n v="7"/>
    <n v="0"/>
  </r>
  <r>
    <s v="PID1014"/>
    <s v="Patient_38"/>
    <x v="30"/>
    <x v="0"/>
    <x v="3"/>
    <x v="5"/>
    <x v="0"/>
    <x v="0"/>
    <x v="1"/>
    <x v="0"/>
    <x v="0"/>
    <n v="2"/>
    <n v="4"/>
  </r>
  <r>
    <s v="PID1015"/>
    <s v="Patient_39"/>
    <x v="31"/>
    <x v="0"/>
    <x v="1"/>
    <x v="5"/>
    <x v="6"/>
    <x v="1"/>
    <x v="1"/>
    <x v="0"/>
    <x v="8"/>
    <n v="16"/>
    <n v="2"/>
  </r>
  <r>
    <s v="PID1016"/>
    <s v="Patient_40"/>
    <x v="32"/>
    <x v="0"/>
    <x v="4"/>
    <x v="4"/>
    <x v="0"/>
    <x v="1"/>
    <x v="1"/>
    <x v="0"/>
    <x v="5"/>
    <n v="3"/>
    <n v="1"/>
  </r>
  <r>
    <s v="PID1017"/>
    <s v="Patient_41"/>
    <x v="33"/>
    <x v="1"/>
    <x v="2"/>
    <x v="5"/>
    <x v="2"/>
    <x v="0"/>
    <x v="0"/>
    <x v="0"/>
    <x v="5"/>
    <n v="1"/>
    <n v="3"/>
  </r>
  <r>
    <s v="PID1018"/>
    <s v="Patient_42"/>
    <x v="34"/>
    <x v="1"/>
    <x v="4"/>
    <x v="4"/>
    <x v="0"/>
    <x v="1"/>
    <x v="4"/>
    <x v="3"/>
    <x v="3"/>
    <n v="3"/>
    <n v="1"/>
  </r>
  <r>
    <s v="PID1019"/>
    <s v="Patient_43"/>
    <x v="18"/>
    <x v="1"/>
    <x v="3"/>
    <x v="0"/>
    <x v="0"/>
    <x v="0"/>
    <x v="0"/>
    <x v="0"/>
    <x v="3"/>
    <n v="1"/>
    <n v="5"/>
  </r>
  <r>
    <s v="PID1002"/>
    <s v="Patient_44"/>
    <x v="35"/>
    <x v="1"/>
    <x v="2"/>
    <x v="0"/>
    <x v="0"/>
    <x v="0"/>
    <x v="1"/>
    <x v="3"/>
    <x v="3"/>
    <n v="0"/>
    <n v="5"/>
  </r>
  <r>
    <s v="PID1020"/>
    <s v="Patient_45"/>
    <x v="7"/>
    <x v="0"/>
    <x v="3"/>
    <x v="0"/>
    <x v="0"/>
    <x v="1"/>
    <x v="1"/>
    <x v="3"/>
    <x v="0"/>
    <n v="1"/>
    <n v="5"/>
  </r>
  <r>
    <s v="PID1021"/>
    <s v="Patient_46"/>
    <x v="28"/>
    <x v="0"/>
    <x v="3"/>
    <x v="0"/>
    <x v="0"/>
    <x v="0"/>
    <x v="1"/>
    <x v="0"/>
    <x v="0"/>
    <n v="1"/>
    <n v="5"/>
  </r>
  <r>
    <s v="PID1022"/>
    <s v="Patient_47"/>
    <x v="1"/>
    <x v="1"/>
    <x v="3"/>
    <x v="3"/>
    <x v="0"/>
    <x v="0"/>
    <x v="0"/>
    <x v="0"/>
    <x v="3"/>
    <n v="6"/>
    <n v="0"/>
  </r>
  <r>
    <s v="PID1023"/>
    <s v="Patient_48"/>
    <x v="23"/>
    <x v="1"/>
    <x v="3"/>
    <x v="0"/>
    <x v="0"/>
    <x v="0"/>
    <x v="0"/>
    <x v="3"/>
    <x v="3"/>
    <n v="1"/>
    <n v="5"/>
  </r>
  <r>
    <s v="PID1024"/>
    <s v="Patient_49"/>
    <x v="23"/>
    <x v="1"/>
    <x v="3"/>
    <x v="0"/>
    <x v="2"/>
    <x v="0"/>
    <x v="0"/>
    <x v="0"/>
    <x v="3"/>
    <n v="1"/>
    <n v="4"/>
  </r>
  <r>
    <s v="PID1025"/>
    <s v="Patient_50"/>
    <x v="36"/>
    <x v="1"/>
    <x v="4"/>
    <x v="5"/>
    <x v="2"/>
    <x v="0"/>
    <x v="0"/>
    <x v="3"/>
    <x v="7"/>
    <n v="0"/>
    <n v="3"/>
  </r>
  <r>
    <s v="PID1026"/>
    <s v="Patient_51"/>
    <x v="23"/>
    <x v="0"/>
    <x v="0"/>
    <x v="5"/>
    <x v="2"/>
    <x v="0"/>
    <x v="0"/>
    <x v="1"/>
    <x v="0"/>
    <n v="3"/>
    <n v="3"/>
  </r>
  <r>
    <s v="PID1027"/>
    <s v="Patient_52"/>
    <x v="8"/>
    <x v="1"/>
    <x v="2"/>
    <x v="5"/>
    <x v="2"/>
    <x v="0"/>
    <x v="0"/>
    <x v="1"/>
    <x v="5"/>
    <n v="1"/>
    <n v="3"/>
  </r>
  <r>
    <s v="PID1028"/>
    <s v="Patient_53"/>
    <x v="37"/>
    <x v="0"/>
    <x v="2"/>
    <x v="4"/>
    <x v="0"/>
    <x v="0"/>
    <x v="0"/>
    <x v="2"/>
    <x v="5"/>
    <n v="4"/>
    <n v="1"/>
  </r>
  <r>
    <s v="PID1029"/>
    <s v="Patient_54&gt;"/>
    <x v="21"/>
    <x v="1"/>
    <x v="2"/>
    <x v="0"/>
    <x v="0"/>
    <x v="0"/>
    <x v="0"/>
    <x v="0"/>
    <x v="5"/>
    <n v="0"/>
    <n v="5"/>
  </r>
  <r>
    <s v="PID1003"/>
    <s v="Patient_55"/>
    <x v="30"/>
    <x v="0"/>
    <x v="2"/>
    <x v="3"/>
    <x v="0"/>
    <x v="0"/>
    <x v="1"/>
    <x v="3"/>
    <x v="3"/>
    <n v="5"/>
    <n v="0"/>
  </r>
  <r>
    <s v="PID1030"/>
    <s v="Patient_56"/>
    <x v="38"/>
    <x v="0"/>
    <x v="2"/>
    <x v="3"/>
    <x v="0"/>
    <x v="1"/>
    <x v="1"/>
    <x v="3"/>
    <x v="3"/>
    <n v="5"/>
    <n v="0"/>
  </r>
  <r>
    <s v="PID1031"/>
    <s v="Patient_57"/>
    <x v="8"/>
    <x v="1"/>
    <x v="1"/>
    <x v="0"/>
    <x v="0"/>
    <x v="0"/>
    <x v="0"/>
    <x v="3"/>
    <x v="4"/>
    <n v="15"/>
    <n v="5"/>
  </r>
  <r>
    <s v="PID1032"/>
    <s v="Patient_58"/>
    <x v="39"/>
    <x v="1"/>
    <x v="1"/>
    <x v="1"/>
    <x v="0"/>
    <x v="1"/>
    <x v="1"/>
    <x v="3"/>
    <x v="8"/>
    <n v="14"/>
    <n v="6"/>
  </r>
  <r>
    <s v="PID1033"/>
    <s v="Patient_59"/>
    <x v="30"/>
    <x v="1"/>
    <x v="3"/>
    <x v="3"/>
    <x v="0"/>
    <x v="0"/>
    <x v="1"/>
    <x v="0"/>
    <x v="0"/>
    <n v="6"/>
    <n v="0"/>
  </r>
  <r>
    <s v="PID1034"/>
    <s v="Patient_60"/>
    <x v="40"/>
    <x v="1"/>
    <x v="3"/>
    <x v="4"/>
    <x v="0"/>
    <x v="1"/>
    <x v="3"/>
    <x v="3"/>
    <x v="6"/>
    <n v="5"/>
    <n v="1"/>
  </r>
  <r>
    <s v="PID1035"/>
    <s v="Patient_61"/>
    <x v="41"/>
    <x v="0"/>
    <x v="4"/>
    <x v="4"/>
    <x v="0"/>
    <x v="1"/>
    <x v="1"/>
    <x v="0"/>
    <x v="5"/>
    <n v="3"/>
    <n v="1"/>
  </r>
  <r>
    <s v="PID1036"/>
    <s v="Patient_62"/>
    <x v="10"/>
    <x v="1"/>
    <x v="4"/>
    <x v="3"/>
    <x v="0"/>
    <x v="0"/>
    <x v="1"/>
    <x v="3"/>
    <x v="5"/>
    <n v="4"/>
    <n v="0"/>
  </r>
  <r>
    <s v="PID1037"/>
    <s v="Patient_63"/>
    <x v="28"/>
    <x v="0"/>
    <x v="1"/>
    <x v="5"/>
    <x v="0"/>
    <x v="0"/>
    <x v="1"/>
    <x v="0"/>
    <x v="8"/>
    <n v="16"/>
    <n v="4"/>
  </r>
  <r>
    <s v="PID1038"/>
    <s v="Patient_64"/>
    <x v="4"/>
    <x v="0"/>
    <x v="3"/>
    <x v="3"/>
    <x v="0"/>
    <x v="0"/>
    <x v="1"/>
    <x v="3"/>
    <x v="0"/>
    <n v="6"/>
    <n v="0"/>
  </r>
  <r>
    <s v="PID1039"/>
    <s v="Patient_65"/>
    <x v="6"/>
    <x v="0"/>
    <x v="4"/>
    <x v="4"/>
    <x v="0"/>
    <x v="0"/>
    <x v="1"/>
    <x v="3"/>
    <x v="5"/>
    <n v="3"/>
    <n v="1"/>
  </r>
  <r>
    <s v="PID1004"/>
    <s v="Patient_66"/>
    <x v="42"/>
    <x v="1"/>
    <x v="2"/>
    <x v="3"/>
    <x v="0"/>
    <x v="0"/>
    <x v="1"/>
    <x v="0"/>
    <x v="3"/>
    <n v="5"/>
    <n v="0"/>
  </r>
  <r>
    <s v="PID1040"/>
    <s v="Patient_67"/>
    <x v="43"/>
    <x v="0"/>
    <x v="2"/>
    <x v="3"/>
    <x v="4"/>
    <x v="1"/>
    <x v="3"/>
    <x v="3"/>
    <x v="6"/>
    <n v="5"/>
    <n v="1"/>
  </r>
  <r>
    <s v="PID1041"/>
    <s v="Patient_68"/>
    <x v="11"/>
    <x v="1"/>
    <x v="0"/>
    <x v="4"/>
    <x v="0"/>
    <x v="0"/>
    <x v="1"/>
    <x v="0"/>
    <x v="1"/>
    <n v="6"/>
    <n v="1"/>
  </r>
  <r>
    <s v="PID1042"/>
    <s v="Patient_69"/>
    <x v="28"/>
    <x v="0"/>
    <x v="0"/>
    <x v="3"/>
    <x v="0"/>
    <x v="0"/>
    <x v="1"/>
    <x v="0"/>
    <x v="1"/>
    <n v="7"/>
    <n v="0"/>
  </r>
  <r>
    <s v="PID1043"/>
    <s v="Patient_70"/>
    <x v="26"/>
    <x v="0"/>
    <x v="0"/>
    <x v="1"/>
    <x v="5"/>
    <x v="0"/>
    <x v="1"/>
    <x v="3"/>
    <x v="1"/>
    <n v="1"/>
    <n v="3"/>
  </r>
  <r>
    <s v="PID1044"/>
    <s v="Patient_71"/>
    <x v="44"/>
    <x v="0"/>
    <x v="0"/>
    <x v="4"/>
    <x v="0"/>
    <x v="1"/>
    <x v="1"/>
    <x v="3"/>
    <x v="1"/>
    <n v="6"/>
    <n v="1"/>
  </r>
  <r>
    <s v="PID1045"/>
    <s v="Patient_72"/>
    <x v="36"/>
    <x v="1"/>
    <x v="3"/>
    <x v="4"/>
    <x v="0"/>
    <x v="0"/>
    <x v="3"/>
    <x v="3"/>
    <x v="6"/>
    <n v="5"/>
    <n v="1"/>
  </r>
  <r>
    <s v="PID1046"/>
    <s v="Patient_73"/>
    <x v="45"/>
    <x v="1"/>
    <x v="3"/>
    <x v="3"/>
    <x v="0"/>
    <x v="0"/>
    <x v="0"/>
    <x v="0"/>
    <x v="3"/>
    <n v="6"/>
    <n v="0"/>
  </r>
  <r>
    <s v="PID1047"/>
    <s v="Patient_74"/>
    <x v="15"/>
    <x v="1"/>
    <x v="2"/>
    <x v="6"/>
    <x v="0"/>
    <x v="1"/>
    <x v="1"/>
    <x v="0"/>
    <x v="3"/>
    <n v="2"/>
    <n v="3"/>
  </r>
  <r>
    <s v="PID1048"/>
    <s v="Patient_75"/>
    <x v="46"/>
    <x v="1"/>
    <x v="2"/>
    <x v="3"/>
    <x v="0"/>
    <x v="1"/>
    <x v="1"/>
    <x v="0"/>
    <x v="3"/>
    <n v="5"/>
    <n v="0"/>
  </r>
  <r>
    <s v="PID1049"/>
    <s v="Patient_76"/>
    <x v="10"/>
    <x v="0"/>
    <x v="2"/>
    <x v="3"/>
    <x v="0"/>
    <x v="1"/>
    <x v="1"/>
    <x v="3"/>
    <x v="3"/>
    <n v="5"/>
    <n v="0"/>
  </r>
  <r>
    <s v="PID1005"/>
    <s v="Patient_77"/>
    <x v="38"/>
    <x v="0"/>
    <x v="2"/>
    <x v="3"/>
    <x v="4"/>
    <x v="1"/>
    <x v="1"/>
    <x v="3"/>
    <x v="3"/>
    <n v="5"/>
    <n v="1"/>
  </r>
  <r>
    <s v="PID1050"/>
    <s v="Patient_78"/>
    <x v="11"/>
    <x v="0"/>
    <x v="2"/>
    <x v="3"/>
    <x v="4"/>
    <x v="1"/>
    <x v="1"/>
    <x v="0"/>
    <x v="3"/>
    <n v="5"/>
    <n v="1"/>
  </r>
  <r>
    <s v="PID1051"/>
    <s v="Patient_79"/>
    <x v="25"/>
    <x v="1"/>
    <x v="0"/>
    <x v="4"/>
    <x v="0"/>
    <x v="0"/>
    <x v="0"/>
    <x v="0"/>
    <x v="0"/>
    <n v="6"/>
    <n v="1"/>
  </r>
  <r>
    <s v="PID1052"/>
    <s v="Patient_80"/>
    <x v="47"/>
    <x v="0"/>
    <x v="0"/>
    <x v="6"/>
    <x v="0"/>
    <x v="1"/>
    <x v="1"/>
    <x v="3"/>
    <x v="1"/>
    <n v="4"/>
    <n v="3"/>
  </r>
  <r>
    <s v="PID1053"/>
    <s v="Patient_81"/>
    <x v="10"/>
    <x v="0"/>
    <x v="4"/>
    <x v="3"/>
    <x v="0"/>
    <x v="1"/>
    <x v="3"/>
    <x v="3"/>
    <x v="6"/>
    <n v="4"/>
    <n v="0"/>
  </r>
  <r>
    <s v="PID1054"/>
    <s v="Patient_82"/>
    <x v="47"/>
    <x v="0"/>
    <x v="3"/>
    <x v="5"/>
    <x v="0"/>
    <x v="0"/>
    <x v="1"/>
    <x v="0"/>
    <x v="0"/>
    <n v="2"/>
    <n v="4"/>
  </r>
  <r>
    <s v="PID1055"/>
    <s v="Patient_83"/>
    <x v="9"/>
    <x v="1"/>
    <x v="0"/>
    <x v="0"/>
    <x v="0"/>
    <x v="1"/>
    <x v="1"/>
    <x v="3"/>
    <x v="1"/>
    <n v="2"/>
    <n v="5"/>
  </r>
  <r>
    <s v="PID1056"/>
    <s v="Patient_84"/>
    <x v="41"/>
    <x v="1"/>
    <x v="2"/>
    <x v="3"/>
    <x v="0"/>
    <x v="0"/>
    <x v="0"/>
    <x v="0"/>
    <x v="5"/>
    <n v="5"/>
    <n v="0"/>
  </r>
  <r>
    <s v="PID1057"/>
    <s v="Patient_85"/>
    <x v="26"/>
    <x v="0"/>
    <x v="4"/>
    <x v="3"/>
    <x v="0"/>
    <x v="0"/>
    <x v="0"/>
    <x v="3"/>
    <x v="7"/>
    <n v="4"/>
    <n v="0"/>
  </r>
  <r>
    <s v="PID1058"/>
    <s v="Patient_86"/>
    <x v="48"/>
    <x v="1"/>
    <x v="4"/>
    <x v="4"/>
    <x v="0"/>
    <x v="0"/>
    <x v="1"/>
    <x v="0"/>
    <x v="5"/>
    <n v="3"/>
    <n v="1"/>
  </r>
  <r>
    <s v="PID1059"/>
    <s v="Patient_87"/>
    <x v="23"/>
    <x v="1"/>
    <x v="4"/>
    <x v="3"/>
    <x v="0"/>
    <x v="0"/>
    <x v="1"/>
    <x v="0"/>
    <x v="5"/>
    <n v="4"/>
    <n v="0"/>
  </r>
  <r>
    <s v="PID1006"/>
    <s v="Patient_88"/>
    <x v="33"/>
    <x v="0"/>
    <x v="2"/>
    <x v="0"/>
    <x v="5"/>
    <x v="0"/>
    <x v="0"/>
    <x v="0"/>
    <x v="5"/>
    <n v="0"/>
    <n v="2"/>
  </r>
  <r>
    <s v="PID1060"/>
    <s v="Patient_89"/>
    <x v="4"/>
    <x v="1"/>
    <x v="2"/>
    <x v="3"/>
    <x v="0"/>
    <x v="0"/>
    <x v="1"/>
    <x v="0"/>
    <x v="3"/>
    <n v="5"/>
    <n v="0"/>
  </r>
  <r>
    <s v="PID1061"/>
    <s v="Patient_90"/>
    <x v="49"/>
    <x v="1"/>
    <x v="1"/>
    <x v="0"/>
    <x v="0"/>
    <x v="0"/>
    <x v="1"/>
    <x v="3"/>
    <x v="8"/>
    <n v="15"/>
    <n v="5"/>
  </r>
  <r>
    <s v="PID1062"/>
    <s v="Patient_91"/>
    <x v="1"/>
    <x v="1"/>
    <x v="0"/>
    <x v="0"/>
    <x v="0"/>
    <x v="0"/>
    <x v="0"/>
    <x v="3"/>
    <x v="0"/>
    <n v="2"/>
    <n v="5"/>
  </r>
  <r>
    <s v="PID1063"/>
    <s v="Patient_92"/>
    <x v="23"/>
    <x v="0"/>
    <x v="2"/>
    <x v="3"/>
    <x v="0"/>
    <x v="1"/>
    <x v="1"/>
    <x v="3"/>
    <x v="3"/>
    <n v="5"/>
    <n v="0"/>
  </r>
  <r>
    <s v="PID1064"/>
    <s v="Patient_93"/>
    <x v="50"/>
    <x v="1"/>
    <x v="2"/>
    <x v="7"/>
    <x v="0"/>
    <x v="0"/>
    <x v="0"/>
    <x v="0"/>
    <x v="5"/>
    <n v="3"/>
    <n v="2"/>
  </r>
  <r>
    <s v="PID1065"/>
    <s v="Patient_94"/>
    <x v="43"/>
    <x v="0"/>
    <x v="0"/>
    <x v="0"/>
    <x v="0"/>
    <x v="1"/>
    <x v="1"/>
    <x v="3"/>
    <x v="1"/>
    <n v="2"/>
    <n v="5"/>
  </r>
  <r>
    <s v="PID1066"/>
    <s v="Patient_95"/>
    <x v="42"/>
    <x v="0"/>
    <x v="1"/>
    <x v="2"/>
    <x v="1"/>
    <x v="0"/>
    <x v="1"/>
    <x v="0"/>
    <x v="8"/>
    <n v="13"/>
    <n v="2"/>
  </r>
  <r>
    <s v="PID1067"/>
    <s v="Patient_96"/>
    <x v="51"/>
    <x v="1"/>
    <x v="0"/>
    <x v="5"/>
    <x v="0"/>
    <x v="1"/>
    <x v="1"/>
    <x v="3"/>
    <x v="1"/>
    <n v="3"/>
    <n v="4"/>
  </r>
  <r>
    <s v="PID1068"/>
    <s v="Patient_97"/>
    <x v="28"/>
    <x v="0"/>
    <x v="0"/>
    <x v="2"/>
    <x v="7"/>
    <x v="0"/>
    <x v="0"/>
    <x v="3"/>
    <x v="0"/>
    <n v="0"/>
    <n v="3"/>
  </r>
  <r>
    <s v="PID1069"/>
    <s v="Patient_98"/>
    <x v="52"/>
    <x v="0"/>
    <x v="0"/>
    <x v="5"/>
    <x v="0"/>
    <x v="0"/>
    <x v="3"/>
    <x v="3"/>
    <x v="6"/>
    <n v="3"/>
    <n v="4"/>
  </r>
  <r>
    <s v="PID1007"/>
    <s v="Patient_99"/>
    <x v="43"/>
    <x v="0"/>
    <x v="0"/>
    <x v="0"/>
    <x v="7"/>
    <x v="3"/>
    <x v="0"/>
    <x v="3"/>
    <x v="0"/>
    <n v="2"/>
    <n v="1"/>
  </r>
  <r>
    <s v="PID1070"/>
    <s v="Patient_100"/>
    <x v="14"/>
    <x v="0"/>
    <x v="0"/>
    <x v="1"/>
    <x v="0"/>
    <x v="0"/>
    <x v="0"/>
    <x v="0"/>
    <x v="0"/>
    <n v="1"/>
    <n v="6"/>
  </r>
  <r>
    <s v="PID1071"/>
    <s v="Patient_101"/>
    <x v="1"/>
    <x v="1"/>
    <x v="0"/>
    <x v="1"/>
    <x v="0"/>
    <x v="0"/>
    <x v="1"/>
    <x v="0"/>
    <x v="1"/>
    <n v="1"/>
    <n v="6"/>
  </r>
  <r>
    <s v="PID1072"/>
    <s v="Patient_102"/>
    <x v="22"/>
    <x v="1"/>
    <x v="1"/>
    <x v="2"/>
    <x v="1"/>
    <x v="0"/>
    <x v="1"/>
    <x v="3"/>
    <x v="8"/>
    <n v="13"/>
    <n v="2"/>
  </r>
  <r>
    <s v="PID1073"/>
    <s v="Patient_103"/>
    <x v="53"/>
    <x v="0"/>
    <x v="5"/>
    <x v="3"/>
    <x v="4"/>
    <x v="1"/>
    <x v="3"/>
    <x v="3"/>
    <x v="6"/>
    <n v="0"/>
    <n v="1"/>
  </r>
  <r>
    <s v="PID1074"/>
    <s v="Patient_104"/>
    <x v="6"/>
    <x v="1"/>
    <x v="6"/>
    <x v="3"/>
    <x v="0"/>
    <x v="1"/>
    <x v="1"/>
    <x v="0"/>
    <x v="9"/>
    <n v="1"/>
    <n v="0"/>
  </r>
  <r>
    <s v="PID1075"/>
    <s v="Patient_105"/>
    <x v="29"/>
    <x v="1"/>
    <x v="0"/>
    <x v="3"/>
    <x v="0"/>
    <x v="1"/>
    <x v="1"/>
    <x v="3"/>
    <x v="1"/>
    <n v="7"/>
    <n v="0"/>
  </r>
  <r>
    <s v="PID1076"/>
    <s v="Patient_106"/>
    <x v="44"/>
    <x v="1"/>
    <x v="0"/>
    <x v="3"/>
    <x v="4"/>
    <x v="1"/>
    <x v="3"/>
    <x v="3"/>
    <x v="6"/>
    <n v="7"/>
    <n v="1"/>
  </r>
  <r>
    <s v="PID1077"/>
    <s v="Patient_107"/>
    <x v="9"/>
    <x v="1"/>
    <x v="0"/>
    <x v="4"/>
    <x v="0"/>
    <x v="0"/>
    <x v="0"/>
    <x v="0"/>
    <x v="0"/>
    <n v="6"/>
    <n v="1"/>
  </r>
  <r>
    <s v="PID1078"/>
    <s v="Patient_108"/>
    <x v="54"/>
    <x v="0"/>
    <x v="0"/>
    <x v="2"/>
    <x v="0"/>
    <x v="0"/>
    <x v="0"/>
    <x v="0"/>
    <x v="0"/>
    <n v="0"/>
    <n v="7"/>
  </r>
  <r>
    <s v="PID1079"/>
    <s v="Patient_109"/>
    <x v="44"/>
    <x v="0"/>
    <x v="0"/>
    <x v="3"/>
    <x v="4"/>
    <x v="1"/>
    <x v="3"/>
    <x v="3"/>
    <x v="6"/>
    <n v="7"/>
    <n v="1"/>
  </r>
  <r>
    <s v="PID1008"/>
    <s v="Patient_110"/>
    <x v="11"/>
    <x v="0"/>
    <x v="0"/>
    <x v="1"/>
    <x v="0"/>
    <x v="0"/>
    <x v="0"/>
    <x v="0"/>
    <x v="0"/>
    <n v="1"/>
    <n v="6"/>
  </r>
  <r>
    <s v="PID1080"/>
    <s v="Patient_111"/>
    <x v="45"/>
    <x v="1"/>
    <x v="0"/>
    <x v="3"/>
    <x v="0"/>
    <x v="0"/>
    <x v="0"/>
    <x v="3"/>
    <x v="0"/>
    <n v="7"/>
    <n v="0"/>
  </r>
  <r>
    <s v="PID1081"/>
    <s v="Patient_112"/>
    <x v="45"/>
    <x v="1"/>
    <x v="0"/>
    <x v="1"/>
    <x v="0"/>
    <x v="0"/>
    <x v="0"/>
    <x v="0"/>
    <x v="0"/>
    <n v="1"/>
    <n v="6"/>
  </r>
  <r>
    <s v="PID1082"/>
    <s v="Patient_113"/>
    <x v="31"/>
    <x v="0"/>
    <x v="0"/>
    <x v="1"/>
    <x v="2"/>
    <x v="0"/>
    <x v="0"/>
    <x v="0"/>
    <x v="0"/>
    <n v="1"/>
    <n v="5"/>
  </r>
  <r>
    <s v="PID1083"/>
    <s v="Patient_114"/>
    <x v="3"/>
    <x v="0"/>
    <x v="3"/>
    <x v="3"/>
    <x v="0"/>
    <x v="0"/>
    <x v="1"/>
    <x v="0"/>
    <x v="0"/>
    <n v="6"/>
    <n v="0"/>
  </r>
  <r>
    <s v="PID1084"/>
    <s v="Patient_115"/>
    <x v="52"/>
    <x v="1"/>
    <x v="3"/>
    <x v="3"/>
    <x v="0"/>
    <x v="0"/>
    <x v="1"/>
    <x v="3"/>
    <x v="0"/>
    <n v="6"/>
    <n v="0"/>
  </r>
  <r>
    <s v="PID1085"/>
    <s v="Patient_116"/>
    <x v="19"/>
    <x v="0"/>
    <x v="3"/>
    <x v="6"/>
    <x v="2"/>
    <x v="0"/>
    <x v="1"/>
    <x v="3"/>
    <x v="0"/>
    <n v="3"/>
    <n v="2"/>
  </r>
  <r>
    <s v="PID1086"/>
    <s v="Patient_117"/>
    <x v="39"/>
    <x v="1"/>
    <x v="3"/>
    <x v="3"/>
    <x v="0"/>
    <x v="1"/>
    <x v="1"/>
    <x v="3"/>
    <x v="0"/>
    <n v="6"/>
    <n v="0"/>
  </r>
  <r>
    <s v="PID1087"/>
    <s v="Patient_118"/>
    <x v="55"/>
    <x v="1"/>
    <x v="3"/>
    <x v="8"/>
    <x v="4"/>
    <x v="1"/>
    <x v="3"/>
    <x v="3"/>
    <x v="6"/>
    <n v="7"/>
    <n v="0"/>
  </r>
  <r>
    <s v="PID1088"/>
    <s v="Patient_119"/>
    <x v="48"/>
    <x v="0"/>
    <x v="3"/>
    <x v="6"/>
    <x v="0"/>
    <x v="1"/>
    <x v="1"/>
    <x v="3"/>
    <x v="0"/>
    <n v="3"/>
    <n v="3"/>
  </r>
  <r>
    <s v="PID1089"/>
    <s v="Patient_120"/>
    <x v="31"/>
    <x v="0"/>
    <x v="3"/>
    <x v="5"/>
    <x v="0"/>
    <x v="1"/>
    <x v="1"/>
    <x v="3"/>
    <x v="0"/>
    <n v="2"/>
    <n v="4"/>
  </r>
  <r>
    <s v="PID1009"/>
    <s v="Patient_121"/>
    <x v="27"/>
    <x v="1"/>
    <x v="3"/>
    <x v="1"/>
    <x v="5"/>
    <x v="0"/>
    <x v="0"/>
    <x v="1"/>
    <x v="3"/>
    <n v="0"/>
    <n v="3"/>
  </r>
  <r>
    <s v="PID1090"/>
    <s v="Patient_122"/>
    <x v="49"/>
    <x v="1"/>
    <x v="2"/>
    <x v="4"/>
    <x v="0"/>
    <x v="1"/>
    <x v="1"/>
    <x v="3"/>
    <x v="3"/>
    <n v="4"/>
    <n v="1"/>
  </r>
  <r>
    <s v="PID1091"/>
    <s v="Patient_123"/>
    <x v="12"/>
    <x v="1"/>
    <x v="2"/>
    <x v="6"/>
    <x v="2"/>
    <x v="0"/>
    <x v="0"/>
    <x v="1"/>
    <x v="5"/>
    <n v="2"/>
    <n v="2"/>
  </r>
  <r>
    <s v="PID1092"/>
    <s v="Patient_124"/>
    <x v="23"/>
    <x v="0"/>
    <x v="2"/>
    <x v="3"/>
    <x v="0"/>
    <x v="1"/>
    <x v="3"/>
    <x v="3"/>
    <x v="6"/>
    <n v="5"/>
    <n v="0"/>
  </r>
  <r>
    <s v="PID1093"/>
    <s v="Patient_125"/>
    <x v="56"/>
    <x v="1"/>
    <x v="2"/>
    <x v="6"/>
    <x v="0"/>
    <x v="1"/>
    <x v="3"/>
    <x v="3"/>
    <x v="6"/>
    <n v="2"/>
    <n v="3"/>
  </r>
  <r>
    <s v="PID1094"/>
    <s v="Patient_126"/>
    <x v="26"/>
    <x v="0"/>
    <x v="2"/>
    <x v="8"/>
    <x v="8"/>
    <x v="5"/>
    <x v="3"/>
    <x v="3"/>
    <x v="6"/>
    <n v="6"/>
    <e v="#VALUE!"/>
  </r>
  <r>
    <s v="PID1095"/>
    <s v="Patient_127"/>
    <x v="45"/>
    <x v="1"/>
    <x v="2"/>
    <x v="0"/>
    <x v="0"/>
    <x v="0"/>
    <x v="0"/>
    <x v="0"/>
    <x v="5"/>
    <n v="0"/>
    <n v="5"/>
  </r>
  <r>
    <s v="PID1096"/>
    <s v="Patient_128"/>
    <x v="53"/>
    <x v="0"/>
    <x v="3"/>
    <x v="0"/>
    <x v="0"/>
    <x v="1"/>
    <x v="1"/>
    <x v="3"/>
    <x v="0"/>
    <n v="1"/>
    <n v="5"/>
  </r>
  <r>
    <s v="PID1097"/>
    <s v="Patient_129"/>
    <x v="36"/>
    <x v="0"/>
    <x v="3"/>
    <x v="0"/>
    <x v="4"/>
    <x v="1"/>
    <x v="3"/>
    <x v="3"/>
    <x v="6"/>
    <n v="1"/>
    <n v="6"/>
  </r>
  <r>
    <s v="PID1098"/>
    <s v="Patient_130"/>
    <x v="38"/>
    <x v="0"/>
    <x v="0"/>
    <x v="0"/>
    <x v="4"/>
    <x v="1"/>
    <x v="5"/>
    <x v="3"/>
    <x v="10"/>
    <n v="2"/>
    <n v="6"/>
  </r>
  <r>
    <s v="PID1099"/>
    <s v="Patient_131"/>
    <x v="29"/>
    <x v="1"/>
    <x v="1"/>
    <x v="0"/>
    <x v="0"/>
    <x v="0"/>
    <x v="1"/>
    <x v="3"/>
    <x v="8"/>
    <n v="1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25">
  <location ref="A101:B107" firstHeaderRow="1" firstDataRow="1" firstDataCol="1"/>
  <pivotFields count="13">
    <pivotField showAll="0"/>
    <pivotField showAll="0"/>
    <pivotField showAll="0"/>
    <pivotField showAll="0"/>
    <pivotField showAll="0"/>
    <pivotField axis="axisRow" showAll="0" measureFilter="1">
      <items count="10">
        <item x="2"/>
        <item x="1"/>
        <item x="0"/>
        <item x="5"/>
        <item x="6"/>
        <item x="7"/>
        <item x="4"/>
        <item x="3"/>
        <item x="8"/>
        <item t="default"/>
      </items>
    </pivotField>
    <pivotField showAll="0"/>
    <pivotField showAll="0"/>
    <pivotField showAll="0"/>
    <pivotField showAll="0"/>
    <pivotField showAll="0" defaultSubtotal="0"/>
    <pivotField dataField="1" showAll="0"/>
    <pivotField showAll="0"/>
  </pivotFields>
  <rowFields count="1">
    <field x="5"/>
  </rowFields>
  <rowItems count="6">
    <i>
      <x/>
    </i>
    <i>
      <x v="3"/>
    </i>
    <i>
      <x v="6"/>
    </i>
    <i>
      <x v="7"/>
    </i>
    <i>
      <x v="8"/>
    </i>
    <i t="grand">
      <x/>
    </i>
  </rowItems>
  <colItems count="1">
    <i/>
  </colItems>
  <dataFields count="1">
    <dataField name="Average of Diagnosis Delay" fld="11" subtotal="average" baseField="0" baseItem="0"/>
  </dataFields>
  <chartFormats count="8">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5"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A34:B44" firstHeaderRow="1" firstDataRow="1" firstDataCol="1"/>
  <pivotFields count="13">
    <pivotField dataField="1" showAll="0"/>
    <pivotField showAll="0"/>
    <pivotField showAll="0"/>
    <pivotField showAll="0"/>
    <pivotField showAll="0"/>
    <pivotField axis="axisRow" showAll="0">
      <items count="10">
        <item x="2"/>
        <item x="1"/>
        <item x="0"/>
        <item x="5"/>
        <item x="6"/>
        <item x="7"/>
        <item x="4"/>
        <item x="3"/>
        <item x="8"/>
        <item t="default"/>
      </items>
    </pivotField>
    <pivotField showAll="0"/>
    <pivotField showAll="0"/>
    <pivotField showAll="0"/>
    <pivotField showAll="0"/>
    <pivotField showAll="0" defaultSubtotal="0"/>
    <pivotField showAll="0"/>
    <pivotField showAll="0"/>
  </pivotFields>
  <rowFields count="1">
    <field x="5"/>
  </rowFields>
  <rowItems count="10">
    <i>
      <x/>
    </i>
    <i>
      <x v="1"/>
    </i>
    <i>
      <x v="2"/>
    </i>
    <i>
      <x v="3"/>
    </i>
    <i>
      <x v="4"/>
    </i>
    <i>
      <x v="5"/>
    </i>
    <i>
      <x v="6"/>
    </i>
    <i>
      <x v="7"/>
    </i>
    <i>
      <x v="8"/>
    </i>
    <i t="grand">
      <x/>
    </i>
  </rowItems>
  <colItems count="1">
    <i/>
  </colItems>
  <dataFields count="1">
    <dataField name="Count of Pati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23">
  <location ref="A10:B18" firstHeaderRow="1" firstDataRow="1" firstDataCol="1"/>
  <pivotFields count="13">
    <pivotField dataField="1" showAll="0"/>
    <pivotField showAll="0"/>
    <pivotField axis="axisRow" showAll="0" sortType="ascending">
      <items count="10">
        <item x="0"/>
        <item x="8"/>
        <item x="1"/>
        <item x="2"/>
        <item x="3"/>
        <item x="4"/>
        <item x="5"/>
        <item x="6"/>
        <item x="7"/>
        <item t="default"/>
      </items>
    </pivotField>
    <pivotField showAll="0"/>
    <pivotField showAll="0"/>
    <pivotField showAll="0"/>
    <pivotField showAll="0"/>
    <pivotField showAll="0"/>
    <pivotField showAll="0"/>
    <pivotField showAll="0"/>
    <pivotField showAll="0" defaultSubtotal="0"/>
    <pivotField showAll="0"/>
    <pivotField showAll="0"/>
  </pivotFields>
  <rowFields count="1">
    <field x="2"/>
  </rowFields>
  <rowItems count="8">
    <i>
      <x v="2"/>
    </i>
    <i>
      <x v="3"/>
    </i>
    <i>
      <x v="4"/>
    </i>
    <i>
      <x v="5"/>
    </i>
    <i>
      <x v="6"/>
    </i>
    <i>
      <x v="7"/>
    </i>
    <i>
      <x v="8"/>
    </i>
    <i t="grand">
      <x/>
    </i>
  </rowItems>
  <colItems count="1">
    <i/>
  </colItems>
  <dataFields count="1">
    <dataField name="Count of Patien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3">
  <location ref="A48:B58" firstHeaderRow="1" firstDataRow="1" firstDataCol="1"/>
  <pivotFields count="13">
    <pivotField dataField="1" showAll="0"/>
    <pivotField showAll="0"/>
    <pivotField showAll="0"/>
    <pivotField showAll="0"/>
    <pivotField showAll="0"/>
    <pivotField showAll="0"/>
    <pivotField axis="axisRow" showAll="0">
      <items count="10">
        <item x="3"/>
        <item x="1"/>
        <item x="7"/>
        <item x="5"/>
        <item x="6"/>
        <item x="2"/>
        <item x="0"/>
        <item x="4"/>
        <item x="8"/>
        <item t="default"/>
      </items>
    </pivotField>
    <pivotField showAll="0"/>
    <pivotField showAll="0"/>
    <pivotField showAll="0"/>
    <pivotField showAll="0" defaultSubtotal="0"/>
    <pivotField showAll="0"/>
    <pivotField showAll="0"/>
  </pivotFields>
  <rowFields count="1">
    <field x="6"/>
  </rowFields>
  <rowItems count="10">
    <i>
      <x/>
    </i>
    <i>
      <x v="1"/>
    </i>
    <i>
      <x v="2"/>
    </i>
    <i>
      <x v="3"/>
    </i>
    <i>
      <x v="4"/>
    </i>
    <i>
      <x v="5"/>
    </i>
    <i>
      <x v="6"/>
    </i>
    <i>
      <x v="7"/>
    </i>
    <i>
      <x v="8"/>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25">
  <location ref="A111:B120" firstHeaderRow="1" firstDataRow="1" firstDataCol="1"/>
  <pivotFields count="13">
    <pivotField showAll="0"/>
    <pivotField showAll="0"/>
    <pivotField showAll="0"/>
    <pivotField showAll="0"/>
    <pivotField showAll="0"/>
    <pivotField showAll="0" measureFilter="1" sortType="ascending"/>
    <pivotField axis="axisRow" showAll="0">
      <items count="10">
        <item x="3"/>
        <item x="1"/>
        <item x="7"/>
        <item x="5"/>
        <item x="6"/>
        <item x="2"/>
        <item x="0"/>
        <item x="4"/>
        <item h="1" x="8"/>
        <item t="default"/>
      </items>
    </pivotField>
    <pivotField showAll="0"/>
    <pivotField showAll="0"/>
    <pivotField showAll="0"/>
    <pivotField showAll="0" defaultSubtotal="0"/>
    <pivotField showAll="0"/>
    <pivotField dataField="1" showAll="0"/>
  </pivotFields>
  <rowFields count="1">
    <field x="6"/>
  </rowFields>
  <rowItems count="9">
    <i>
      <x/>
    </i>
    <i>
      <x v="1"/>
    </i>
    <i>
      <x v="2"/>
    </i>
    <i>
      <x v="3"/>
    </i>
    <i>
      <x v="4"/>
    </i>
    <i>
      <x v="5"/>
    </i>
    <i>
      <x v="6"/>
    </i>
    <i>
      <x v="7"/>
    </i>
    <i t="grand">
      <x/>
    </i>
  </rowItems>
  <colItems count="1">
    <i/>
  </colItems>
  <dataFields count="1">
    <dataField name="Average of Treatment Delay" fld="12" subtotal="average" baseField="0" baseItem="0"/>
  </dataFields>
  <chartFormats count="9">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5"/>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6" count="1" selected="0">
            <x v="5"/>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4">
  <location ref="A61:B68" firstHeaderRow="1" firstDataRow="1" firstDataCol="1"/>
  <pivotFields count="13">
    <pivotField dataField="1" showAll="0"/>
    <pivotField showAll="0"/>
    <pivotField showAll="0"/>
    <pivotField showAll="0"/>
    <pivotField showAll="0"/>
    <pivotField showAll="0"/>
    <pivotField showAll="0"/>
    <pivotField axis="axisRow" showAll="0">
      <items count="7">
        <item x="2"/>
        <item x="3"/>
        <item x="0"/>
        <item x="1"/>
        <item x="4"/>
        <item x="5"/>
        <item t="default"/>
      </items>
    </pivotField>
    <pivotField showAll="0"/>
    <pivotField showAll="0"/>
    <pivotField showAll="0" defaultSubtotal="0"/>
    <pivotField showAll="0"/>
    <pivotField showAll="0"/>
  </pivotFields>
  <rowFields count="1">
    <field x="7"/>
  </rowFields>
  <rowItems count="7">
    <i>
      <x/>
    </i>
    <i>
      <x v="1"/>
    </i>
    <i>
      <x v="2"/>
    </i>
    <i>
      <x v="3"/>
    </i>
    <i>
      <x v="4"/>
    </i>
    <i>
      <x v="5"/>
    </i>
    <i t="grand">
      <x/>
    </i>
  </rowItems>
  <colItems count="1">
    <i/>
  </colItems>
  <dataFields count="1">
    <dataField name="Count of Pati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A71:B78" firstHeaderRow="1" firstDataRow="1" firstDataCol="1"/>
  <pivotFields count="13">
    <pivotField dataField="1" showAll="0"/>
    <pivotField showAll="0"/>
    <pivotField showAll="0"/>
    <pivotField showAll="0"/>
    <pivotField showAll="0"/>
    <pivotField showAll="0"/>
    <pivotField showAll="0"/>
    <pivotField showAll="0"/>
    <pivotField axis="axisRow" showAll="0">
      <items count="7">
        <item x="2"/>
        <item x="0"/>
        <item x="1"/>
        <item x="4"/>
        <item x="5"/>
        <item x="3"/>
        <item t="default"/>
      </items>
    </pivotField>
    <pivotField showAll="0"/>
    <pivotField showAll="0" defaultSubtotal="0"/>
    <pivotField showAll="0"/>
    <pivotField showAll="0"/>
  </pivotFields>
  <rowFields count="1">
    <field x="8"/>
  </rowFields>
  <rowItems count="7">
    <i>
      <x/>
    </i>
    <i>
      <x v="1"/>
    </i>
    <i>
      <x v="2"/>
    </i>
    <i>
      <x v="3"/>
    </i>
    <i>
      <x v="4"/>
    </i>
    <i>
      <x v="5"/>
    </i>
    <i t="grand">
      <x/>
    </i>
  </rowItems>
  <colItems count="1">
    <i/>
  </colItems>
  <dataFields count="1">
    <dataField name="Count of Pati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7">
  <location ref="A89:B97" firstHeaderRow="1" firstDataRow="1" firstDataCol="1"/>
  <pivotFields count="13">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dataField="1" showAll="0" defaultSubtotal="0"/>
    <pivotField showAll="0"/>
    <pivotField showAll="0"/>
  </pivotFields>
  <rowFields count="1">
    <field x="2"/>
  </rowFields>
  <rowItems count="8">
    <i>
      <x v="1"/>
    </i>
    <i>
      <x v="2"/>
    </i>
    <i>
      <x v="3"/>
    </i>
    <i>
      <x v="4"/>
    </i>
    <i>
      <x v="5"/>
    </i>
    <i>
      <x v="6"/>
    </i>
    <i>
      <x v="7"/>
    </i>
    <i t="grand">
      <x/>
    </i>
  </rowItems>
  <colItems count="1">
    <i/>
  </colItems>
  <dataFields count="1">
    <dataField name="Count of Total Journey" fld="10" subtotal="count"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6">
  <location ref="A81:B86" firstHeaderRow="1" firstDataRow="1" firstDataCol="1"/>
  <pivotFields count="13">
    <pivotField dataField="1"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defaultSubtotal="0"/>
    <pivotField showAll="0"/>
    <pivotField showAll="0"/>
  </pivotFields>
  <rowFields count="1">
    <field x="9"/>
  </rowFields>
  <rowItems count="5">
    <i>
      <x/>
    </i>
    <i>
      <x v="1"/>
    </i>
    <i>
      <x v="2"/>
    </i>
    <i>
      <x v="3"/>
    </i>
    <i t="grand">
      <x/>
    </i>
  </rowItems>
  <colItems count="1">
    <i/>
  </colItems>
  <dataFields count="1">
    <dataField name="Count of Pati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30">
  <location ref="A3:B6" firstHeaderRow="1" firstDataRow="1" firstDataCol="1"/>
  <pivotFields count="13">
    <pivotField dataField="1" showAll="0"/>
    <pivotField showAll="0"/>
    <pivotField showAll="0">
      <items count="10">
        <item x="0"/>
        <item x="1"/>
        <item x="2"/>
        <item x="3"/>
        <item x="4"/>
        <item x="5"/>
        <item x="6"/>
        <item x="7"/>
        <item x="8"/>
        <item t="default"/>
      </items>
    </pivotField>
    <pivotField axis="axisRow" showAll="0">
      <items count="3">
        <item x="1"/>
        <item x="0"/>
        <item t="default"/>
      </items>
    </pivotField>
    <pivotField showAll="0">
      <items count="8">
        <item x="1"/>
        <item x="0"/>
        <item x="3"/>
        <item x="2"/>
        <item x="4"/>
        <item x="6"/>
        <item x="5"/>
        <item t="default"/>
      </items>
    </pivotField>
    <pivotField showAll="0"/>
    <pivotField showAll="0"/>
    <pivotField showAll="0"/>
    <pivotField showAll="0"/>
    <pivotField showAll="0"/>
    <pivotField showAll="0" defaultSubtotal="0">
      <items count="11">
        <item x="9"/>
        <item x="7"/>
        <item x="5"/>
        <item x="3"/>
        <item x="0"/>
        <item x="1"/>
        <item x="10"/>
        <item x="2"/>
        <item x="4"/>
        <item x="8"/>
        <item x="6"/>
      </items>
    </pivotField>
    <pivotField showAll="0"/>
    <pivotField showAll="0"/>
  </pivotFields>
  <rowFields count="1">
    <field x="3"/>
  </rowFields>
  <rowItems count="3">
    <i>
      <x/>
    </i>
    <i>
      <x v="1"/>
    </i>
    <i t="grand">
      <x/>
    </i>
  </rowItems>
  <colItems count="1">
    <i/>
  </colItems>
  <dataFields count="1">
    <dataField name="Count of Patient_ID" fld="0"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3"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3" count="1" selected="0">
            <x v="0"/>
          </reference>
        </references>
      </pivotArea>
    </chartFormat>
    <chartFormat chart="9" format="16">
      <pivotArea type="data" outline="0" fieldPosition="0">
        <references count="2">
          <reference field="4294967294" count="1" selected="0">
            <x v="0"/>
          </reference>
          <reference field="3" count="1" selected="0">
            <x v="1"/>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3" count="1" selected="0">
            <x v="0"/>
          </reference>
        </references>
      </pivotArea>
    </chartFormat>
    <chartFormat chart="16" format="19">
      <pivotArea type="data" outline="0" fieldPosition="0">
        <references count="2">
          <reference field="4294967294" count="1" selected="0">
            <x v="0"/>
          </reference>
          <reference field="3" count="1" selected="0">
            <x v="1"/>
          </reference>
        </references>
      </pivotArea>
    </chartFormat>
    <chartFormat chart="19" format="17"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3" count="1" selected="0">
            <x v="0"/>
          </reference>
        </references>
      </pivotArea>
    </chartFormat>
    <chartFormat chart="19" format="19">
      <pivotArea type="data" outline="0" fieldPosition="0">
        <references count="2">
          <reference field="4294967294" count="1" selected="0">
            <x v="0"/>
          </reference>
          <reference field="3" count="1" selected="0">
            <x v="1"/>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3" count="1" selected="0">
            <x v="0"/>
          </reference>
        </references>
      </pivotArea>
    </chartFormat>
    <chartFormat chart="20" format="2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9">
  <location ref="A22:B30" firstHeaderRow="1" firstDataRow="1" firstDataCol="1"/>
  <pivotFields count="13">
    <pivotField dataField="1" showAll="0"/>
    <pivotField showAll="0"/>
    <pivotField showAll="0"/>
    <pivotField showAll="0"/>
    <pivotField axis="axisRow" showAll="0">
      <items count="8">
        <item x="1"/>
        <item x="0"/>
        <item x="3"/>
        <item x="2"/>
        <item x="4"/>
        <item x="6"/>
        <item x="5"/>
        <item t="default"/>
      </items>
    </pivotField>
    <pivotField showAll="0"/>
    <pivotField showAll="0"/>
    <pivotField showAll="0"/>
    <pivotField showAll="0"/>
    <pivotField showAll="0"/>
    <pivotField showAll="0" defaultSubtotal="0"/>
    <pivotField showAll="0"/>
    <pivotField showAll="0"/>
  </pivotFields>
  <rowFields count="1">
    <field x="4"/>
  </rowFields>
  <rowItems count="8">
    <i>
      <x/>
    </i>
    <i>
      <x v="1"/>
    </i>
    <i>
      <x v="2"/>
    </i>
    <i>
      <x v="3"/>
    </i>
    <i>
      <x v="4"/>
    </i>
    <i>
      <x v="5"/>
    </i>
    <i>
      <x v="6"/>
    </i>
    <i t="grand">
      <x/>
    </i>
  </rowItems>
  <colItems count="1">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12" name="PivotTable5"/>
  </pivotTables>
  <data>
    <tabular pivotCacheId="1">
      <items count="9">
        <i x="1" s="1"/>
        <i x="2" s="1"/>
        <i x="3" s="1"/>
        <i x="4" s="1"/>
        <i x="5" s="1"/>
        <i x="6" s="1"/>
        <i x="7" s="1"/>
        <i x="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2" name="PivotTable5"/>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dmission_Year" sourceName="Admission Year">
  <pivotTables>
    <pivotTable tabId="12" name="PivotTable5"/>
  </pivotTables>
  <data>
    <tabular pivotCacheId="1">
      <items count="7">
        <i x="1" s="1"/>
        <i x="0" s="1"/>
        <i x="3" s="1"/>
        <i x="2" s="1"/>
        <i x="4"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otal_Journey" sourceName="Total Journey">
  <pivotTables>
    <pivotTable tabId="12" name="PivotTable5"/>
  </pivotTables>
  <data>
    <tabular pivotCacheId="1">
      <items count="11">
        <i x="9" s="1"/>
        <i x="7" s="1"/>
        <i x="5" s="1"/>
        <i x="3" s="1"/>
        <i x="0" s="1"/>
        <i x="1" s="1"/>
        <i x="10" s="1"/>
        <i x="2" s="1"/>
        <i x="4" s="1"/>
        <i x="8"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cache="Slicer_Age" caption="Age" rowHeight="241300"/>
  <slicer name="Gender" cache="Slicer_Gender" caption="Gender" rowHeight="241300"/>
  <slicer name="Admission Year" cache="Slicer_Admission_Year" caption="Admission Year" rowHeight="241300"/>
  <slicer name="Total Journey" cache="Slicer_Total_Journey" caption="Total Journe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ge 1" cache="Slicer_Age" caption="Age" startItem="2" style="Slicer Style 1" rowHeight="241300"/>
  <slicer name="Gender 1" cache="Slicer_Gender" caption="Gender" style="Slicer Style 1" rowHeight="241300"/>
  <slicer name="Total Journey 1" cache="Slicer_Total_Journey" caption="Total Journey" startItem="6" columnCount="2" style="Slicer Style 1" rowHeight="241300"/>
</slicers>
</file>

<file path=xl/tables/table1.xml><?xml version="1.0" encoding="utf-8"?>
<table xmlns="http://schemas.openxmlformats.org/spreadsheetml/2006/main" id="2" name="Table2" displayName="Table2" ref="A1:J133" totalsRowShown="0">
  <autoFilter ref="A1:J133"/>
  <tableColumns count="10">
    <tableColumn id="1" name="Patient_ID"/>
    <tableColumn id="2" name="Name"/>
    <tableColumn id="3" name="Age"/>
    <tableColumn id="4" name="Gender"/>
    <tableColumn id="5" name="Date_of_Admission"/>
    <tableColumn id="6" name="Date_of_Diagnosis"/>
    <tableColumn id="7" name="Date_of_Treatment_Start"/>
    <tableColumn id="8" name="Date_of_Surgery"/>
    <tableColumn id="9" name="Date_of_Discharge"/>
    <tableColumn id="10" name="Follow_up_Visit"/>
  </tableColumns>
  <tableStyleInfo name="TableStyleMedium2" showFirstColumn="0" showLastColumn="0" showRowStripes="1" showColumnStripes="0"/>
</table>
</file>

<file path=xl/tables/table2.xml><?xml version="1.0" encoding="utf-8"?>
<table xmlns="http://schemas.openxmlformats.org/spreadsheetml/2006/main" id="1" name="Table22" displayName="Table22" ref="A1:AV133" totalsRowShown="0">
  <autoFilter ref="A1:AV133"/>
  <tableColumns count="48">
    <tableColumn id="1" name="Patient_ID"/>
    <tableColumn id="2" name="Name"/>
    <tableColumn id="11" name="Name Cleaned" dataDxfId="60">
      <calculatedColumnFormula>(SUBSTITUTE(SUBSTITUTE(SUBSTITUTE(SUBSTITUTE(SUBSTITUTE(SUBSTITUTE(SUBSTITUTE(SUBSTITUTE(SUBSTITUTE(SUBSTITUTE(SUBSTITUTE(SUBSTITUTE(SUBSTITUTE(B2,"^",""),"@",""),"?",""),"+",""),"&amp;",""),")",""),"/",""),":",""),"%",""),",",""),"(",""),"$",""),"*",""))</calculatedColumnFormula>
    </tableColumn>
    <tableColumn id="3" name="Age"/>
    <tableColumn id="4" name="Gender"/>
    <tableColumn id="5" name="Date_of_Admission"/>
    <tableColumn id="12" name="Date_of_Admission Cleaned 1" dataDxfId="59">
      <calculatedColumnFormula>SUBSTITUTE(SUBSTITUTE(SUBSTITUTE(SUBSTITUTE(SUBSTITUTE(F2,",","/")," ","/"),"-","/"),".","/"),"N/A","Unknown")</calculatedColumnFormula>
    </tableColumn>
    <tableColumn id="15" name="Date_of_Admission Cleaned 2" dataDxfId="58">
      <calculatedColumnFormula>SUBSTITUTE(SUBSTITUTE(SUBSTITUTE(SUBSTITUTE(SUBSTITUTE(SUBSTITUTE(SUBSTITUTE(SUBSTITUTE(SUBSTITUTE(SUBSTITUTE(SUBSTITUTE(SUBSTITUTE(SUBSTITUTE(G2,"//","/"),"Dec","12"),"nov","11"),"oct","10"),"Sep/","09/"),"Aug/","08/"),"jul","07"),"june","06"),"may","05"),"Apr/","04/"),"Mar/","03/"),"feb","02"),"Jan/","01/")</calculatedColumnFormula>
    </tableColumn>
    <tableColumn id="14" name="Date_of_Admission Cleaned 3" dataDxfId="57">
      <calculatedColumnFormula>TEXT(H2,"dd/mm/yyyy")</calculatedColumnFormula>
    </tableColumn>
    <tableColumn id="17" name="Date_of_Admission Cleaned 4" dataDxfId="56">
      <calculatedColumnFormula>LEFT(Table22[[#This Row],[Date_of_Admission Cleaned 3]],10)</calculatedColumnFormula>
    </tableColumn>
    <tableColumn id="23" name="Admission Year 1" dataDxfId="55">
      <calculatedColumnFormula>RIGHT(Table22[[#This Row],[Date_of_Admission Cleaned 4]],4)</calculatedColumnFormula>
    </tableColumn>
    <tableColumn id="24" name="Admission Year 2" dataDxfId="54">
      <calculatedColumnFormula>SUBSTITUTE(K2,"nown","Unknown")</calculatedColumnFormula>
    </tableColumn>
    <tableColumn id="6" name="Date_of_Diagnosis"/>
    <tableColumn id="19" name="Date_of_Diagnosis Cleaned 1" dataDxfId="53">
      <calculatedColumnFormula>SUBSTITUTE(SUBSTITUTE(SUBSTITUTE(SUBSTITUTE(SUBSTITUTE(M2,",","/")," ","/"),"-","/"),".","/"),"N/A","Unknown")</calculatedColumnFormula>
    </tableColumn>
    <tableColumn id="20" name="Date_of_Diagnosis Cleaned 2" dataDxfId="52">
      <calculatedColumnFormul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N2,"//","/"),"Dec/","12/"),"November","11"),"Oct/","10/"),"September/","09/"),"August/","08/"),"July","07"),"Jun/","06/"),"May","05"),"Apr/","04/"),"Mar/","03/"),"feb","02"),"January/","01/"),"Monday/",""),"Tuesday/",""),"Wednesday/",""),"Thursday/",""),"Friday/",""),"Saturday/",""),"Sunday/",""),"Sep/","09/"),"12th","12"),"of/",""),"December","12"),"Jan/","01/"),"/5/","/05/"),"/6/","/06/"),"/9/","/09/"),"/4/","/04/"),"/7/","/07/")</calculatedColumnFormula>
    </tableColumn>
    <tableColumn id="21" name="Date_of_Diagnosis Cleaned 3" dataDxfId="51">
      <calculatedColumnFormula>TEXT(O2,"dd/mm/yyyy")</calculatedColumnFormula>
    </tableColumn>
    <tableColumn id="27" name="Diagnosis Year 1" dataDxfId="50">
      <calculatedColumnFormula>RIGHT(Table22[[#This Row],[Date_of_Diagnosis Cleaned 3]],4)</calculatedColumnFormula>
    </tableColumn>
    <tableColumn id="41" name="Diagnosis Year 2" dataDxfId="49">
      <calculatedColumnFormula>SUBSTITUTE(Q2,"nown","Unknown")</calculatedColumnFormula>
    </tableColumn>
    <tableColumn id="7" name="Date_of_Treatment_Start"/>
    <tableColumn id="25" name="Date_of_Treatment_Start Cleaned 1" dataDxfId="48">
      <calculatedColumnFormula>SUBSTITUTE(SUBSTITUTE(SUBSTITUTE(SUBSTITUTE(SUBSTITUTE(S2,",","/")," ","/"),"-","/"),".","/"),"N/A","Unknown")</calculatedColumnFormula>
    </tableColumn>
    <tableColumn id="26" name="Date_of_Treatment_Start Cleaned 2" dataDxfId="47">
      <calculatedColumnFormula>TEXT(T2,"dd/mm/yyyy")</calculatedColumnFormula>
    </tableColumn>
    <tableColumn id="28" name="Date_of_Treatment_Start Cleaned 3" dataDxfId="46">
      <calculatedColumnFormula>SUBSTITUTE(U2,"//","/")</calculatedColumnFormula>
    </tableColumn>
    <tableColumn id="29" name="Date_of_Treatment_Start Cleaned 4" dataDxfId="45">
      <calculatedColumnFormula>SUBSTITUTE(SUBSTITUTE(SUBSTITUTE(SUBSTITUTE(SUBSTITUTE(SUBSTITUTE(SUBSTITUTE(SUBSTITUTE(SUBSTITUTE(SUBSTITUTE(SUBSTITUTE(SUBSTITUTE(V2,"Jan","01"),"Feb","02"),"Mar","03"),"Apr","04"),"May","05"),"JUn","06"),"Jul","07"),"Aug","08"),"Sep","09"),"Oct","10"),"Nov","11"),"Dec","12")</calculatedColumnFormula>
    </tableColumn>
    <tableColumn id="42" name="Treatment Start Year" dataDxfId="44">
      <calculatedColumnFormula>RIGHT(Table22[[#This Row],[Date_of_Treatment_Start Cleaned 4]],4)</calculatedColumnFormula>
    </tableColumn>
    <tableColumn id="8" name="Date_of_Surgery"/>
    <tableColumn id="32" name="Date_of_Surgery Cleaned 1" dataDxfId="43">
      <calculatedColumnFormula>SUBSTITUTE(SUBSTITUTE(SUBSTITUTE(SUBSTITUTE(SUBSTITUTE(SUBSTITUTE(SUBSTITUTE(Y2,",","/")," ","/"),"-","/"),".","/"),"N/A","Unknown"),"?","Unknown"),"//","Unknown")</calculatedColumnFormula>
    </tableColumn>
    <tableColumn id="33" name="Date_of_Surgery Cleaned 2" dataDxfId="42">
      <calculatedColumnFormula>IF(Z2="","Unknown",Z2)</calculatedColumnFormula>
    </tableColumn>
    <tableColumn id="13" name="Date_of_Surgery Cleaned 3" dataDxfId="41">
      <calculatedColumnFormul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Dec/","12/"),"November","11"),"Oct/","10/"),"September/","09/"),"August/","08/"),"July","07"),"Jun/","06/"),"May","05"),"Apr/","04/"),"Mar/","03/"),"feb","02"),"January/","01/"),"Monday/",""),"Tuesday/",""),"Wednesday/",""),"Thursday/",""),"Friday/",""),"Saturday/",""),"Sunday/",""),"Sep/","09/"),"12th","12"),"of/",""),"December","12"),"Jan/","01/"),"/5/","/05/"),"/6/","/06/"),"/9/","/09/"),"/4/","/04/"),"/7/","/07/")</calculatedColumnFormula>
    </tableColumn>
    <tableColumn id="16" name="Date_of_Surgery Cleaned 4" dataDxfId="40">
      <calculatedColumnFormula>LEFT(Table22[[#This Row],[Date_of_Surgery Cleaned 3]],10)</calculatedColumnFormula>
    </tableColumn>
    <tableColumn id="18" name="Date_of_Surgery Cleaned 5" dataDxfId="39">
      <calculatedColumnFormula>TEXT(AC2,"dd,mm,yyyy")</calculatedColumnFormula>
    </tableColumn>
    <tableColumn id="22" name="Date_of_Surgery Cleaned 6" dataDxfId="38">
      <calculatedColumnFormula>SUBSTITUTE(AD2,",","/")</calculatedColumnFormula>
    </tableColumn>
    <tableColumn id="44" name="Surgery Year 1" dataDxfId="37">
      <calculatedColumnFormula>RIGHT(Table22[[#This Row],[Date_of_Surgery Cleaned 6]],4)</calculatedColumnFormula>
    </tableColumn>
    <tableColumn id="45" name="Surgery Year 2" dataDxfId="36">
      <calculatedColumnFormula>SUBSTITUTE(AF2,"nown","Unknown")</calculatedColumnFormula>
    </tableColumn>
    <tableColumn id="9" name="Date_of_Discharge"/>
    <tableColumn id="31" name="Date_of_Discharge Cleaned 1" dataDxfId="35">
      <calculatedColumnFormula>IF(AH2="","Unknown",AH2)</calculatedColumnFormula>
    </tableColumn>
    <tableColumn id="34" name="Date_of_Discharge Cleaned 2" dataDxfId="34">
      <calculatedColumnFormula>IF(AI2="N/A","Unknown",AI2)</calculatedColumnFormula>
    </tableColumn>
    <tableColumn id="30" name="Date_of_Discharge Cleaned 3" dataDxfId="33">
      <calculatedColumnFormula>TEXT(AJ2,"dd,mm,yyyy")</calculatedColumnFormula>
    </tableColumn>
    <tableColumn id="35" name="Date_of_Discharge Cleaned 4" dataDxfId="32">
      <calculatedColumnFormula>SUBSTITUTE(SUBSTITUTE(SUBSTITUTE(AK2,",","/"),".","/"),"-","/")</calculatedColumnFormula>
    </tableColumn>
    <tableColumn id="46" name="Discharge Year 1" dataDxfId="31">
      <calculatedColumnFormula>RIGHT(Table22[[#This Row],[Date_of_Discharge Cleaned 4]],4)</calculatedColumnFormula>
    </tableColumn>
    <tableColumn id="47" name="Discharge Year 2" dataDxfId="30">
      <calculatedColumnFormula>SUBSTITUTE(AM2,"nown","Unknown")</calculatedColumnFormula>
    </tableColumn>
    <tableColumn id="10" name="Follow_up_Visit"/>
    <tableColumn id="36" name="Follow_up_Visit Cleaned 1" dataDxfId="29">
      <calculatedColumnFormula>IF(AO2="","Unknown",AO2)</calculatedColumnFormula>
    </tableColumn>
    <tableColumn id="37" name="Follow_up_Visit Cleaned 2" dataDxfId="28">
      <calculatedColumnFormula>SUBSTITUTE(SUBSTITUTE(SUBSTITUTE(SUBSTITUTE(SUBSTITUTE(SUBSTITUTE(SUBSTITUTE(AP2,"N/A","Unknown"),"None","Unknown"),"Feb","02/"),"March","03/"),"April","04/"),"June","06/"),"Aug","08/")</calculatedColumnFormula>
    </tableColumn>
    <tableColumn id="38" name="Follow_up_Visit Cleaned 3" dataDxfId="27">
      <calculatedColumnFormula>TEXT(AQ2,"dd,mm,yyyy")</calculatedColumnFormula>
    </tableColumn>
    <tableColumn id="39" name="Follow_up_Visit Cleaned 4" dataDxfId="26">
      <calculatedColumnFormula>SUBSTITUTE(SUBSTITUTE(SUBSTITUTE(SUBSTITUTE(SUBSTITUTE(SUBSTITUTE(AR2," ",""),",","/"),".","/"),"-","/"),"Late","30/"),"Early","03/")</calculatedColumnFormula>
    </tableColumn>
    <tableColumn id="40" name="Follow_up_Visit Cleaned 5" dataDxfId="25">
      <calculatedColumnFormula>SUBSTITUTE(SUBSTITUTE(SUBSTITUTE(AS2,"//","/"),"(estimated)",""),"abc","")</calculatedColumnFormula>
    </tableColumn>
    <tableColumn id="48" name="Follow Up Visit Year 1" dataDxfId="24">
      <calculatedColumnFormula>RIGHT(Table22[[#This Row],[Follow_up_Visit Cleaned 5]],4)</calculatedColumnFormula>
    </tableColumn>
    <tableColumn id="49" name="Follow Up Visit Year 2" dataDxfId="23">
      <calculatedColumnFormula>SUBSTITUTE(AU2,"nown","Unknown")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P133" totalsRowShown="0" headerRowDxfId="22">
  <autoFilter ref="A1:P133"/>
  <tableColumns count="16">
    <tableColumn id="1" name="Patient_ID"/>
    <tableColumn id="2" name="Name"/>
    <tableColumn id="3" name="Age"/>
    <tableColumn id="4" name="Gender"/>
    <tableColumn id="5" name="Date_of_Admission"/>
    <tableColumn id="16" name="Admission Year" dataDxfId="21"/>
    <tableColumn id="6" name="Date_of_Diagnosis"/>
    <tableColumn id="17" name="Diagnosis Year" dataDxfId="20"/>
    <tableColumn id="7" name="Date_of_Treatment_Start"/>
    <tableColumn id="18" name="Treatment Start Year" dataDxfId="19"/>
    <tableColumn id="8" name="Date_of_Surgery"/>
    <tableColumn id="19" name="Surgery Year" dataDxfId="18"/>
    <tableColumn id="9" name="Date_of_Discharge"/>
    <tableColumn id="20" name="Discharge Year" dataDxfId="0"/>
    <tableColumn id="10" name="Follow_up_Visit"/>
    <tableColumn id="21" name="Follow Up Visit Year" dataDxfId="17"/>
  </tableColumns>
  <tableStyleInfo name="TableStyleMedium7" showFirstColumn="0" showLastColumn="0" showRowStripes="1" showColumnStripes="0"/>
</table>
</file>

<file path=xl/tables/table4.xml><?xml version="1.0" encoding="utf-8"?>
<table xmlns="http://schemas.openxmlformats.org/spreadsheetml/2006/main" id="6" name="Table47" displayName="Table47" ref="A2:J134" totalsRowShown="0" headerRowDxfId="16">
  <autoFilter ref="A2:J134"/>
  <tableColumns count="10">
    <tableColumn id="1" name="Patient_ID"/>
    <tableColumn id="2" name="Name"/>
    <tableColumn id="3" name="Age"/>
    <tableColumn id="4" name="Gender"/>
    <tableColumn id="16" name="Admission Year" dataDxfId="15"/>
    <tableColumn id="17" name="Diagnosis Year" dataDxfId="14"/>
    <tableColumn id="18" name="Treatment Start Year" dataDxfId="13"/>
    <tableColumn id="19" name="Surgery Year" dataDxfId="12"/>
    <tableColumn id="20" name="Discharge Year" dataDxfId="11"/>
    <tableColumn id="21" name="Follow Up Visit Year" dataDxfId="10"/>
  </tableColumns>
  <tableStyleInfo name="TableStyleMedium7" showFirstColumn="0" showLastColumn="0" showRowStripes="1" showColumnStripes="0"/>
</table>
</file>

<file path=xl/tables/table5.xml><?xml version="1.0" encoding="utf-8"?>
<table xmlns="http://schemas.openxmlformats.org/spreadsheetml/2006/main" id="3" name="Table3" displayName="Table3" ref="A1:M133" totalsRowShown="0">
  <autoFilter ref="A1:M133"/>
  <tableColumns count="13">
    <tableColumn id="1" name="Patient_ID"/>
    <tableColumn id="2" name="Name"/>
    <tableColumn id="3" name="Age"/>
    <tableColumn id="4" name="Gender"/>
    <tableColumn id="5" name="Admission Year" dataDxfId="9"/>
    <tableColumn id="6" name="Diagnosis Year" dataDxfId="8"/>
    <tableColumn id="7" name="Treatment Start Year" dataDxfId="7"/>
    <tableColumn id="8" name="Surgery Year" dataDxfId="6"/>
    <tableColumn id="9" name="Discharge Year" dataDxfId="5"/>
    <tableColumn id="10" name="Follow Up Visit Year" dataDxfId="4"/>
    <tableColumn id="11" name="Total Journey" dataDxfId="3">
      <calculatedColumnFormula>Table3[[#This Row],[Discharge Year]]-Table3[[#This Row],[Admission Year]]</calculatedColumnFormula>
    </tableColumn>
    <tableColumn id="12" name="Diagnosis Delay" dataDxfId="2">
      <calculatedColumnFormula>Table3[[#This Row],[Diagnosis Year]]-Table3[[#This Row],[Admission Year]]</calculatedColumnFormula>
    </tableColumn>
    <tableColumn id="13" name="Treatment Delay" dataDxfId="1">
      <calculatedColumnFormula>Table3[[#This Row],[Treatment Start Year]]-Table3[[#This Row],[Diagnosis Year]]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24" zoomScaleNormal="100" workbookViewId="0">
      <selection activeCell="I133" sqref="I133"/>
    </sheetView>
  </sheetViews>
  <sheetFormatPr defaultColWidth="10" defaultRowHeight="14.25" x14ac:dyDescent="0.2"/>
  <cols>
    <col min="1" max="1" width="10" bestFit="1" customWidth="1"/>
  </cols>
  <sheetData>
    <row r="1" spans="1:26" ht="42.75" x14ac:dyDescent="0.2">
      <c r="A1" s="1" t="s">
        <v>0</v>
      </c>
      <c r="B1" s="1" t="s">
        <v>1</v>
      </c>
      <c r="C1" s="1" t="s">
        <v>2</v>
      </c>
      <c r="D1" s="1" t="s">
        <v>3</v>
      </c>
      <c r="E1" s="2" t="s">
        <v>4</v>
      </c>
      <c r="F1" s="2" t="s">
        <v>5</v>
      </c>
      <c r="G1" s="2" t="s">
        <v>6</v>
      </c>
      <c r="H1" s="2" t="s">
        <v>7</v>
      </c>
      <c r="I1" s="2" t="s">
        <v>8</v>
      </c>
      <c r="J1" s="2" t="s">
        <v>9</v>
      </c>
      <c r="K1" s="34"/>
      <c r="L1" s="34"/>
      <c r="M1" s="34"/>
      <c r="N1" s="34"/>
      <c r="O1" s="34"/>
      <c r="P1" s="34"/>
      <c r="Q1" s="34"/>
      <c r="R1" s="34"/>
      <c r="S1" s="34"/>
      <c r="T1" s="34"/>
      <c r="U1" s="34"/>
      <c r="V1" s="34"/>
      <c r="W1" s="34"/>
      <c r="X1" s="34"/>
      <c r="Y1" s="34"/>
      <c r="Z1" s="34"/>
    </row>
    <row r="2" spans="1:26" ht="28.5" x14ac:dyDescent="0.2">
      <c r="A2" s="3" t="s">
        <v>145</v>
      </c>
      <c r="B2" s="3" t="s">
        <v>849</v>
      </c>
      <c r="C2" s="4">
        <v>71</v>
      </c>
      <c r="D2" s="3" t="s">
        <v>146</v>
      </c>
      <c r="E2" s="3" t="s">
        <v>147</v>
      </c>
      <c r="F2" s="3" t="s">
        <v>148</v>
      </c>
      <c r="G2" s="3">
        <v>42535</v>
      </c>
      <c r="H2" s="3" t="s">
        <v>890</v>
      </c>
      <c r="I2" s="3" t="s">
        <v>149</v>
      </c>
      <c r="J2" s="3">
        <v>44927</v>
      </c>
      <c r="K2" s="34"/>
      <c r="L2" s="34"/>
      <c r="M2" s="34"/>
      <c r="N2" s="34"/>
      <c r="O2" s="34"/>
      <c r="P2" s="34"/>
      <c r="Q2" s="34"/>
      <c r="R2" s="34"/>
      <c r="S2" s="34"/>
      <c r="T2" s="34"/>
      <c r="U2" s="34"/>
      <c r="V2" s="34"/>
      <c r="W2" s="34"/>
      <c r="X2" s="34"/>
      <c r="Y2" s="34"/>
      <c r="Z2" s="34"/>
    </row>
    <row r="3" spans="1:26" ht="28.5" x14ac:dyDescent="0.2">
      <c r="A3" s="3" t="s">
        <v>151</v>
      </c>
      <c r="B3" s="3" t="s">
        <v>152</v>
      </c>
      <c r="C3" s="4">
        <v>34</v>
      </c>
      <c r="D3" s="3" t="s">
        <v>146</v>
      </c>
      <c r="E3" s="3" t="s">
        <v>153</v>
      </c>
      <c r="F3" s="3" t="s">
        <v>154</v>
      </c>
      <c r="G3" s="3">
        <v>43008</v>
      </c>
      <c r="H3" s="3" t="s">
        <v>155</v>
      </c>
      <c r="I3" s="3" t="s">
        <v>156</v>
      </c>
      <c r="J3" s="3" t="s">
        <v>157</v>
      </c>
      <c r="K3" s="34"/>
      <c r="L3" s="34"/>
      <c r="M3" s="34"/>
      <c r="N3" s="34"/>
      <c r="O3" s="34"/>
      <c r="P3" s="34"/>
      <c r="Q3" s="34"/>
      <c r="R3" s="34"/>
      <c r="S3" s="34"/>
      <c r="T3" s="34"/>
      <c r="U3" s="34"/>
      <c r="V3" s="34"/>
      <c r="W3" s="34"/>
      <c r="X3" s="34"/>
      <c r="Y3" s="34"/>
      <c r="Z3" s="34"/>
    </row>
    <row r="4" spans="1:26" ht="42.75" x14ac:dyDescent="0.2">
      <c r="A4" s="3" t="s">
        <v>158</v>
      </c>
      <c r="B4" s="3" t="s">
        <v>159</v>
      </c>
      <c r="C4" s="4">
        <v>57</v>
      </c>
      <c r="D4" s="3" t="s">
        <v>160</v>
      </c>
      <c r="E4" s="3">
        <v>44681</v>
      </c>
      <c r="F4" s="3" t="s">
        <v>162</v>
      </c>
      <c r="G4" s="3">
        <v>43120</v>
      </c>
      <c r="H4" s="3" t="s">
        <v>163</v>
      </c>
      <c r="I4" s="3" t="s">
        <v>164</v>
      </c>
      <c r="J4" s="3" t="s">
        <v>165</v>
      </c>
      <c r="K4" s="34"/>
      <c r="L4" s="34"/>
      <c r="M4" s="34"/>
      <c r="N4" s="34"/>
      <c r="O4" s="34"/>
      <c r="P4" s="34"/>
      <c r="Q4" s="34"/>
      <c r="R4" s="34"/>
      <c r="S4" s="34"/>
      <c r="T4" s="34"/>
      <c r="U4" s="34"/>
      <c r="V4" s="34"/>
      <c r="W4" s="34"/>
      <c r="X4" s="34"/>
      <c r="Y4" s="34"/>
      <c r="Z4" s="34"/>
    </row>
    <row r="5" spans="1:26" x14ac:dyDescent="0.2">
      <c r="A5" s="3" t="s">
        <v>166</v>
      </c>
      <c r="B5" s="3" t="s">
        <v>167</v>
      </c>
      <c r="C5" s="4">
        <v>24</v>
      </c>
      <c r="D5" s="3" t="s">
        <v>160</v>
      </c>
      <c r="E5" s="3" t="s">
        <v>168</v>
      </c>
      <c r="F5" s="3" t="s">
        <v>169</v>
      </c>
      <c r="G5" s="3">
        <v>43120</v>
      </c>
      <c r="H5" s="3" t="s">
        <v>163</v>
      </c>
      <c r="I5" s="3" t="s">
        <v>170</v>
      </c>
      <c r="J5" s="3" t="s">
        <v>171</v>
      </c>
      <c r="K5" s="34"/>
      <c r="L5" s="34"/>
      <c r="M5" s="34"/>
      <c r="N5" s="34"/>
      <c r="O5" s="34"/>
      <c r="P5" s="34"/>
      <c r="Q5" s="34"/>
      <c r="R5" s="34"/>
      <c r="S5" s="34"/>
      <c r="T5" s="34"/>
      <c r="U5" s="34"/>
      <c r="V5" s="34"/>
      <c r="W5" s="34"/>
      <c r="X5" s="34"/>
      <c r="Y5" s="34"/>
      <c r="Z5" s="34"/>
    </row>
    <row r="6" spans="1:26" ht="28.5" x14ac:dyDescent="0.2">
      <c r="A6" s="3" t="s">
        <v>172</v>
      </c>
      <c r="B6" s="3" t="s">
        <v>173</v>
      </c>
      <c r="C6" s="4">
        <v>33</v>
      </c>
      <c r="D6" s="3" t="s">
        <v>146</v>
      </c>
      <c r="E6" s="3" t="s">
        <v>174</v>
      </c>
      <c r="F6" s="3" t="s">
        <v>175</v>
      </c>
      <c r="G6" s="3">
        <v>43120</v>
      </c>
      <c r="H6" s="3" t="s">
        <v>176</v>
      </c>
      <c r="I6" s="3" t="s">
        <v>177</v>
      </c>
      <c r="J6" s="3" t="s">
        <v>171</v>
      </c>
      <c r="K6" s="34"/>
      <c r="L6" s="34"/>
      <c r="M6" s="34"/>
      <c r="N6" s="34"/>
      <c r="O6" s="34"/>
      <c r="P6" s="34"/>
      <c r="Q6" s="34"/>
      <c r="R6" s="34"/>
      <c r="S6" s="34"/>
      <c r="T6" s="34"/>
      <c r="U6" s="34"/>
      <c r="V6" s="34"/>
      <c r="W6" s="34"/>
      <c r="X6" s="34"/>
      <c r="Y6" s="34"/>
      <c r="Z6" s="34"/>
    </row>
    <row r="7" spans="1:26" ht="57" x14ac:dyDescent="0.2">
      <c r="A7" s="3" t="s">
        <v>178</v>
      </c>
      <c r="B7" s="3" t="s">
        <v>841</v>
      </c>
      <c r="C7" s="4">
        <v>46</v>
      </c>
      <c r="D7" s="3" t="s">
        <v>160</v>
      </c>
      <c r="E7" s="3" t="s">
        <v>179</v>
      </c>
      <c r="F7" s="3" t="s">
        <v>180</v>
      </c>
      <c r="G7" s="3">
        <v>45292</v>
      </c>
      <c r="H7" s="3" t="s">
        <v>176</v>
      </c>
      <c r="I7" s="3" t="s">
        <v>181</v>
      </c>
      <c r="J7" s="3" t="s">
        <v>940</v>
      </c>
      <c r="K7" s="34"/>
      <c r="L7" s="34"/>
      <c r="M7" s="34"/>
      <c r="N7" s="34"/>
      <c r="O7" s="34"/>
      <c r="P7" s="34"/>
      <c r="Q7" s="34"/>
      <c r="R7" s="34"/>
      <c r="S7" s="34"/>
      <c r="T7" s="34"/>
      <c r="U7" s="34"/>
      <c r="V7" s="34"/>
      <c r="W7" s="34"/>
      <c r="X7" s="34"/>
      <c r="Y7" s="34"/>
      <c r="Z7" s="34"/>
    </row>
    <row r="8" spans="1:26" ht="57" x14ac:dyDescent="0.2">
      <c r="A8" s="3" t="s">
        <v>183</v>
      </c>
      <c r="B8" s="3" t="s">
        <v>850</v>
      </c>
      <c r="C8" s="4">
        <v>28</v>
      </c>
      <c r="D8" s="3" t="s">
        <v>146</v>
      </c>
      <c r="E8" s="3" t="s">
        <v>165</v>
      </c>
      <c r="F8" s="3" t="s">
        <v>184</v>
      </c>
      <c r="G8" s="3">
        <v>45734</v>
      </c>
      <c r="H8" s="3" t="s">
        <v>176</v>
      </c>
      <c r="I8" s="3" t="s">
        <v>177</v>
      </c>
      <c r="J8" s="3" t="s">
        <v>940</v>
      </c>
      <c r="K8" s="34"/>
      <c r="L8" s="34"/>
      <c r="M8" s="34"/>
      <c r="N8" s="34"/>
      <c r="O8" s="34"/>
      <c r="P8" s="34"/>
      <c r="Q8" s="34"/>
      <c r="R8" s="34"/>
      <c r="S8" s="34"/>
      <c r="T8" s="34"/>
      <c r="U8" s="34"/>
      <c r="V8" s="34"/>
      <c r="W8" s="34"/>
      <c r="X8" s="34"/>
      <c r="Y8" s="34"/>
      <c r="Z8" s="34"/>
    </row>
    <row r="9" spans="1:26" ht="28.5" x14ac:dyDescent="0.2">
      <c r="A9" s="3" t="s">
        <v>185</v>
      </c>
      <c r="B9" s="3" t="s">
        <v>186</v>
      </c>
      <c r="C9" s="4">
        <v>34</v>
      </c>
      <c r="D9" s="3" t="s">
        <v>146</v>
      </c>
      <c r="E9" s="3" t="s">
        <v>187</v>
      </c>
      <c r="F9" s="3" t="s">
        <v>184</v>
      </c>
      <c r="G9" s="3">
        <v>45756</v>
      </c>
      <c r="H9" s="3" t="s">
        <v>176</v>
      </c>
      <c r="I9" s="3" t="s">
        <v>188</v>
      </c>
      <c r="J9" s="3">
        <v>44736</v>
      </c>
      <c r="K9" s="34"/>
      <c r="L9" s="34"/>
      <c r="M9" s="34"/>
      <c r="N9" s="34"/>
      <c r="O9" s="34"/>
      <c r="P9" s="34"/>
      <c r="Q9" s="34"/>
      <c r="R9" s="34"/>
      <c r="S9" s="34"/>
      <c r="T9" s="34"/>
      <c r="U9" s="34"/>
      <c r="V9" s="34"/>
      <c r="W9" s="34"/>
      <c r="X9" s="34"/>
      <c r="Y9" s="34"/>
      <c r="Z9" s="34"/>
    </row>
    <row r="10" spans="1:26" ht="28.5" x14ac:dyDescent="0.2">
      <c r="A10" s="3" t="s">
        <v>189</v>
      </c>
      <c r="B10" s="3" t="s">
        <v>851</v>
      </c>
      <c r="C10" s="4">
        <v>61</v>
      </c>
      <c r="D10" s="3" t="s">
        <v>160</v>
      </c>
      <c r="E10" s="3">
        <v>44985</v>
      </c>
      <c r="F10" s="3" t="s">
        <v>184</v>
      </c>
      <c r="G10" s="3" t="s">
        <v>191</v>
      </c>
      <c r="H10" s="3" t="s">
        <v>192</v>
      </c>
      <c r="I10" s="3" t="s">
        <v>193</v>
      </c>
      <c r="J10" s="3">
        <v>45367</v>
      </c>
      <c r="K10" s="34"/>
      <c r="L10" s="34"/>
      <c r="M10" s="34"/>
      <c r="N10" s="34"/>
      <c r="O10" s="34"/>
      <c r="P10" s="34"/>
      <c r="Q10" s="34"/>
      <c r="R10" s="34"/>
      <c r="S10" s="34"/>
      <c r="T10" s="34"/>
      <c r="U10" s="34"/>
      <c r="V10" s="34"/>
      <c r="W10" s="34"/>
      <c r="X10" s="34"/>
      <c r="Y10" s="34"/>
      <c r="Z10" s="34"/>
    </row>
    <row r="11" spans="1:26" ht="28.5" x14ac:dyDescent="0.2">
      <c r="A11" s="3" t="s">
        <v>194</v>
      </c>
      <c r="B11" s="3" t="s">
        <v>195</v>
      </c>
      <c r="C11" s="4">
        <v>70</v>
      </c>
      <c r="D11" s="3" t="s">
        <v>160</v>
      </c>
      <c r="E11" s="3">
        <v>44985</v>
      </c>
      <c r="F11" s="3" t="s">
        <v>196</v>
      </c>
      <c r="G11" s="3" t="s">
        <v>197</v>
      </c>
      <c r="H11" s="3" t="s">
        <v>192</v>
      </c>
      <c r="I11" s="3" t="s">
        <v>198</v>
      </c>
      <c r="J11" s="3" t="s">
        <v>199</v>
      </c>
      <c r="K11" s="34"/>
      <c r="L11" s="34"/>
      <c r="M11" s="34"/>
      <c r="N11" s="34"/>
      <c r="O11" s="34"/>
      <c r="P11" s="34"/>
      <c r="Q11" s="34"/>
      <c r="R11" s="34"/>
      <c r="S11" s="34"/>
      <c r="T11" s="34"/>
      <c r="U11" s="34"/>
      <c r="V11" s="34"/>
      <c r="W11" s="34"/>
      <c r="X11" s="34"/>
      <c r="Y11" s="34"/>
      <c r="Z11" s="34"/>
    </row>
    <row r="12" spans="1:26" ht="28.5" x14ac:dyDescent="0.2">
      <c r="A12" s="3" t="s">
        <v>200</v>
      </c>
      <c r="B12" s="3" t="s">
        <v>201</v>
      </c>
      <c r="C12" s="4">
        <v>82</v>
      </c>
      <c r="D12" s="3" t="s">
        <v>146</v>
      </c>
      <c r="E12" s="3" t="s">
        <v>198</v>
      </c>
      <c r="F12" s="3" t="s">
        <v>202</v>
      </c>
      <c r="G12" s="3" t="s">
        <v>203</v>
      </c>
      <c r="H12" s="3" t="s">
        <v>204</v>
      </c>
      <c r="I12" s="3" t="s">
        <v>205</v>
      </c>
      <c r="J12" s="3" t="s">
        <v>206</v>
      </c>
      <c r="K12" s="34"/>
      <c r="L12" s="34"/>
      <c r="M12" s="34"/>
      <c r="N12" s="34"/>
      <c r="O12" s="34"/>
      <c r="P12" s="34"/>
      <c r="Q12" s="34"/>
      <c r="R12" s="34"/>
      <c r="S12" s="34"/>
      <c r="T12" s="34"/>
      <c r="U12" s="34"/>
      <c r="V12" s="34"/>
      <c r="W12" s="34"/>
      <c r="X12" s="34"/>
      <c r="Y12" s="34"/>
      <c r="Z12" s="34"/>
    </row>
    <row r="13" spans="1:26" ht="28.5" x14ac:dyDescent="0.2">
      <c r="A13" s="3" t="s">
        <v>207</v>
      </c>
      <c r="B13" s="3" t="s">
        <v>852</v>
      </c>
      <c r="C13" s="4">
        <v>71</v>
      </c>
      <c r="D13" s="3" t="s">
        <v>160</v>
      </c>
      <c r="E13" s="3" t="s">
        <v>208</v>
      </c>
      <c r="F13" s="3" t="s">
        <v>202</v>
      </c>
      <c r="G13" s="3" t="s">
        <v>209</v>
      </c>
      <c r="H13" s="3" t="s">
        <v>204</v>
      </c>
      <c r="I13" s="3" t="s">
        <v>210</v>
      </c>
      <c r="J13" s="3" t="s">
        <v>211</v>
      </c>
      <c r="K13" s="34"/>
      <c r="L13" s="34"/>
      <c r="M13" s="34"/>
      <c r="N13" s="34"/>
      <c r="O13" s="34"/>
      <c r="P13" s="34"/>
      <c r="Q13" s="34"/>
      <c r="R13" s="34"/>
      <c r="S13" s="34"/>
      <c r="T13" s="34"/>
      <c r="U13" s="34"/>
      <c r="V13" s="34"/>
      <c r="W13" s="34"/>
      <c r="X13" s="34"/>
      <c r="Y13" s="34"/>
      <c r="Z13" s="34"/>
    </row>
    <row r="14" spans="1:26" ht="42.75" x14ac:dyDescent="0.2">
      <c r="A14" s="3" t="s">
        <v>212</v>
      </c>
      <c r="B14" s="3" t="s">
        <v>213</v>
      </c>
      <c r="C14" s="4">
        <v>23</v>
      </c>
      <c r="D14" s="3" t="s">
        <v>160</v>
      </c>
      <c r="E14" s="3" t="s">
        <v>147</v>
      </c>
      <c r="F14" s="3" t="s">
        <v>214</v>
      </c>
      <c r="G14" s="3" t="s">
        <v>215</v>
      </c>
      <c r="H14" s="3" t="s">
        <v>204</v>
      </c>
      <c r="I14" s="3">
        <v>45594</v>
      </c>
      <c r="J14" s="3" t="s">
        <v>216</v>
      </c>
      <c r="K14" s="34"/>
      <c r="L14" s="34"/>
      <c r="M14" s="34"/>
      <c r="N14" s="34"/>
      <c r="O14" s="34"/>
      <c r="P14" s="34"/>
      <c r="Q14" s="34"/>
      <c r="R14" s="34"/>
      <c r="S14" s="34"/>
      <c r="T14" s="34"/>
      <c r="U14" s="34"/>
      <c r="V14" s="34"/>
      <c r="W14" s="34"/>
      <c r="X14" s="34"/>
      <c r="Y14" s="34"/>
      <c r="Z14" s="34"/>
    </row>
    <row r="15" spans="1:26" ht="42.75" x14ac:dyDescent="0.2">
      <c r="A15" s="3" t="s">
        <v>217</v>
      </c>
      <c r="B15" s="3" t="s">
        <v>218</v>
      </c>
      <c r="C15" s="4">
        <v>21</v>
      </c>
      <c r="D15" s="3" t="s">
        <v>146</v>
      </c>
      <c r="E15" s="3" t="s">
        <v>219</v>
      </c>
      <c r="F15" s="3" t="s">
        <v>220</v>
      </c>
      <c r="G15" s="3" t="s">
        <v>221</v>
      </c>
      <c r="H15" s="3" t="s">
        <v>204</v>
      </c>
      <c r="I15" s="3" t="s">
        <v>222</v>
      </c>
      <c r="J15" s="3" t="s">
        <v>939</v>
      </c>
      <c r="K15" s="34"/>
      <c r="L15" s="34"/>
      <c r="M15" s="34"/>
      <c r="N15" s="34"/>
      <c r="O15" s="34"/>
      <c r="P15" s="34"/>
      <c r="Q15" s="34"/>
      <c r="R15" s="34"/>
      <c r="S15" s="34"/>
      <c r="T15" s="34"/>
      <c r="U15" s="34"/>
      <c r="V15" s="34"/>
      <c r="W15" s="34"/>
      <c r="X15" s="34"/>
      <c r="Y15" s="34"/>
      <c r="Z15" s="34"/>
    </row>
    <row r="16" spans="1:26" ht="28.5" x14ac:dyDescent="0.2">
      <c r="A16" s="3" t="s">
        <v>224</v>
      </c>
      <c r="B16" s="3" t="s">
        <v>854</v>
      </c>
      <c r="C16" s="4">
        <v>42</v>
      </c>
      <c r="D16" s="3" t="s">
        <v>146</v>
      </c>
      <c r="E16" s="3" t="s">
        <v>225</v>
      </c>
      <c r="F16" s="3" t="s">
        <v>226</v>
      </c>
      <c r="G16" s="3" t="s">
        <v>227</v>
      </c>
      <c r="H16" s="3" t="s">
        <v>204</v>
      </c>
      <c r="I16" s="3" t="s">
        <v>228</v>
      </c>
      <c r="J16" s="3" t="s">
        <v>229</v>
      </c>
      <c r="K16" s="34"/>
      <c r="L16" s="34"/>
      <c r="M16" s="34"/>
      <c r="N16" s="34"/>
      <c r="O16" s="34"/>
      <c r="P16" s="34"/>
      <c r="Q16" s="34"/>
      <c r="R16" s="34"/>
      <c r="S16" s="34"/>
      <c r="T16" s="34"/>
      <c r="U16" s="34"/>
      <c r="V16" s="34"/>
      <c r="W16" s="34"/>
      <c r="X16" s="34"/>
      <c r="Y16" s="34"/>
      <c r="Z16" s="34"/>
    </row>
    <row r="17" spans="1:26" ht="28.5" x14ac:dyDescent="0.2">
      <c r="A17" s="3" t="s">
        <v>230</v>
      </c>
      <c r="B17" s="3" t="s">
        <v>231</v>
      </c>
      <c r="C17" s="4">
        <v>34</v>
      </c>
      <c r="D17" s="3" t="s">
        <v>146</v>
      </c>
      <c r="E17" s="3" t="s">
        <v>147</v>
      </c>
      <c r="F17" s="3" t="s">
        <v>198</v>
      </c>
      <c r="G17" s="3" t="s">
        <v>232</v>
      </c>
      <c r="H17" s="3" t="s">
        <v>204</v>
      </c>
      <c r="I17" s="3" t="s">
        <v>233</v>
      </c>
      <c r="J17" s="3" t="s">
        <v>234</v>
      </c>
      <c r="K17" s="34"/>
      <c r="L17" s="34"/>
      <c r="M17" s="34"/>
      <c r="N17" s="34"/>
      <c r="O17" s="34"/>
      <c r="P17" s="34"/>
      <c r="Q17" s="34"/>
      <c r="R17" s="34"/>
      <c r="S17" s="34"/>
      <c r="T17" s="34"/>
      <c r="U17" s="34"/>
      <c r="V17" s="34"/>
      <c r="W17" s="34"/>
      <c r="X17" s="34"/>
      <c r="Y17" s="34"/>
      <c r="Z17" s="34"/>
    </row>
    <row r="18" spans="1:26" ht="28.5" x14ac:dyDescent="0.2">
      <c r="A18" s="3" t="s">
        <v>235</v>
      </c>
      <c r="B18" s="3" t="s">
        <v>236</v>
      </c>
      <c r="C18" s="4">
        <v>62</v>
      </c>
      <c r="D18" s="3" t="s">
        <v>160</v>
      </c>
      <c r="E18" s="3" t="s">
        <v>237</v>
      </c>
      <c r="F18" s="3" t="s">
        <v>238</v>
      </c>
      <c r="G18" s="3" t="s">
        <v>239</v>
      </c>
      <c r="H18" s="3" t="s">
        <v>204</v>
      </c>
      <c r="I18" s="3" t="s">
        <v>181</v>
      </c>
      <c r="J18" s="3" t="s">
        <v>161</v>
      </c>
      <c r="K18" s="34"/>
      <c r="L18" s="34"/>
      <c r="M18" s="34"/>
      <c r="N18" s="34"/>
      <c r="O18" s="34"/>
      <c r="P18" s="34"/>
      <c r="Q18" s="34"/>
      <c r="R18" s="34"/>
      <c r="S18" s="34"/>
      <c r="T18" s="34"/>
      <c r="U18" s="34"/>
      <c r="V18" s="34"/>
      <c r="W18" s="34"/>
      <c r="X18" s="34"/>
      <c r="Y18" s="34"/>
      <c r="Z18" s="34"/>
    </row>
    <row r="19" spans="1:26" ht="28.5" x14ac:dyDescent="0.2">
      <c r="A19" s="3" t="s">
        <v>240</v>
      </c>
      <c r="B19" s="3" t="s">
        <v>241</v>
      </c>
      <c r="C19" s="4">
        <v>48</v>
      </c>
      <c r="D19" s="3" t="s">
        <v>146</v>
      </c>
      <c r="E19" s="3" t="s">
        <v>242</v>
      </c>
      <c r="F19" s="3" t="s">
        <v>243</v>
      </c>
      <c r="G19" s="3" t="s">
        <v>244</v>
      </c>
      <c r="H19" s="3" t="s">
        <v>245</v>
      </c>
      <c r="I19" s="3">
        <v>45577</v>
      </c>
      <c r="J19" s="3" t="s">
        <v>951</v>
      </c>
      <c r="K19" s="34"/>
      <c r="L19" s="34"/>
      <c r="M19" s="34"/>
      <c r="N19" s="34"/>
      <c r="O19" s="34"/>
      <c r="P19" s="34"/>
      <c r="Q19" s="34"/>
      <c r="R19" s="34"/>
      <c r="S19" s="34"/>
      <c r="T19" s="34"/>
      <c r="U19" s="34"/>
      <c r="V19" s="34"/>
      <c r="W19" s="34"/>
      <c r="X19" s="34"/>
      <c r="Y19" s="34"/>
      <c r="Z19" s="34"/>
    </row>
    <row r="20" spans="1:26" ht="28.5" x14ac:dyDescent="0.2">
      <c r="A20" s="3" t="s">
        <v>247</v>
      </c>
      <c r="B20" s="3" t="s">
        <v>248</v>
      </c>
      <c r="C20" s="4">
        <v>55</v>
      </c>
      <c r="D20" s="3" t="s">
        <v>146</v>
      </c>
      <c r="E20" s="3" t="s">
        <v>249</v>
      </c>
      <c r="F20" s="3" t="s">
        <v>250</v>
      </c>
      <c r="G20" s="3" t="s">
        <v>251</v>
      </c>
      <c r="H20" s="3" t="s">
        <v>245</v>
      </c>
      <c r="I20" s="3">
        <v>45020</v>
      </c>
      <c r="J20" s="3">
        <v>44927</v>
      </c>
      <c r="K20" s="34"/>
      <c r="L20" s="34"/>
      <c r="M20" s="34"/>
      <c r="N20" s="34"/>
      <c r="O20" s="34"/>
      <c r="P20" s="34"/>
      <c r="Q20" s="34"/>
      <c r="R20" s="34"/>
      <c r="S20" s="34"/>
      <c r="T20" s="34"/>
      <c r="U20" s="34"/>
      <c r="V20" s="34"/>
      <c r="W20" s="34"/>
      <c r="X20" s="34"/>
      <c r="Y20" s="34"/>
      <c r="Z20" s="34"/>
    </row>
    <row r="21" spans="1:26" ht="28.5" x14ac:dyDescent="0.2">
      <c r="A21" s="3" t="s">
        <v>252</v>
      </c>
      <c r="B21" s="3" t="s">
        <v>253</v>
      </c>
      <c r="C21" s="4">
        <v>32</v>
      </c>
      <c r="D21" s="3" t="s">
        <v>160</v>
      </c>
      <c r="E21" s="3" t="s">
        <v>147</v>
      </c>
      <c r="F21" s="3" t="s">
        <v>254</v>
      </c>
      <c r="G21" s="3" t="s">
        <v>255</v>
      </c>
      <c r="H21" s="3" t="s">
        <v>245</v>
      </c>
      <c r="I21" s="3" t="s">
        <v>256</v>
      </c>
      <c r="J21" s="3" t="s">
        <v>187</v>
      </c>
      <c r="K21" s="34"/>
      <c r="L21" s="34"/>
      <c r="M21" s="34"/>
      <c r="N21" s="34"/>
      <c r="O21" s="34"/>
      <c r="P21" s="34"/>
      <c r="Q21" s="34"/>
      <c r="R21" s="34"/>
      <c r="S21" s="34"/>
      <c r="T21" s="34"/>
      <c r="U21" s="34"/>
      <c r="V21" s="34"/>
      <c r="W21" s="34"/>
      <c r="X21" s="34"/>
      <c r="Y21" s="34"/>
      <c r="Z21" s="34"/>
    </row>
    <row r="22" spans="1:26" ht="28.5" x14ac:dyDescent="0.2">
      <c r="A22" s="3" t="s">
        <v>257</v>
      </c>
      <c r="B22" s="3" t="s">
        <v>853</v>
      </c>
      <c r="C22" s="4">
        <v>51</v>
      </c>
      <c r="D22" s="3" t="s">
        <v>146</v>
      </c>
      <c r="E22" s="3" t="s">
        <v>258</v>
      </c>
      <c r="F22" s="3" t="s">
        <v>259</v>
      </c>
      <c r="G22" s="3" t="s">
        <v>260</v>
      </c>
      <c r="H22" s="3" t="s">
        <v>245</v>
      </c>
      <c r="I22" s="3" t="s">
        <v>228</v>
      </c>
      <c r="J22" s="3" t="s">
        <v>187</v>
      </c>
      <c r="K22" s="34"/>
      <c r="L22" s="34"/>
      <c r="M22" s="34"/>
      <c r="N22" s="34"/>
      <c r="O22" s="34"/>
      <c r="P22" s="34"/>
      <c r="Q22" s="34"/>
      <c r="R22" s="34"/>
      <c r="S22" s="34"/>
      <c r="T22" s="34"/>
      <c r="U22" s="34"/>
      <c r="V22" s="34"/>
      <c r="W22" s="34"/>
      <c r="X22" s="34"/>
      <c r="Y22" s="34"/>
      <c r="Z22" s="34"/>
    </row>
    <row r="23" spans="1:26" ht="28.5" x14ac:dyDescent="0.2">
      <c r="A23" s="3" t="s">
        <v>261</v>
      </c>
      <c r="B23" s="3" t="s">
        <v>262</v>
      </c>
      <c r="C23" s="4">
        <v>78</v>
      </c>
      <c r="D23" s="3" t="s">
        <v>146</v>
      </c>
      <c r="E23" s="3" t="s">
        <v>263</v>
      </c>
      <c r="F23" s="3">
        <v>45088</v>
      </c>
      <c r="G23" s="3" t="s">
        <v>264</v>
      </c>
      <c r="H23" s="3">
        <v>42860</v>
      </c>
      <c r="I23" s="3" t="s">
        <v>233</v>
      </c>
      <c r="J23" s="3" t="s">
        <v>265</v>
      </c>
      <c r="K23" s="34"/>
      <c r="L23" s="34"/>
      <c r="M23" s="34"/>
      <c r="N23" s="34"/>
      <c r="O23" s="34"/>
      <c r="P23" s="34"/>
      <c r="Q23" s="34"/>
      <c r="R23" s="34"/>
      <c r="S23" s="34"/>
      <c r="T23" s="34"/>
      <c r="U23" s="34"/>
      <c r="V23" s="34"/>
      <c r="W23" s="34"/>
      <c r="X23" s="34"/>
      <c r="Y23" s="34"/>
      <c r="Z23" s="34"/>
    </row>
    <row r="24" spans="1:26" ht="28.5" x14ac:dyDescent="0.2">
      <c r="A24" s="3" t="s">
        <v>266</v>
      </c>
      <c r="B24" s="3" t="s">
        <v>267</v>
      </c>
      <c r="C24" s="4">
        <v>47</v>
      </c>
      <c r="D24" s="3" t="s">
        <v>160</v>
      </c>
      <c r="E24" s="3" t="s">
        <v>268</v>
      </c>
      <c r="F24" s="3" t="s">
        <v>269</v>
      </c>
      <c r="G24" s="24">
        <v>45177</v>
      </c>
      <c r="H24" s="3" t="s">
        <v>270</v>
      </c>
      <c r="I24" s="3" t="s">
        <v>271</v>
      </c>
      <c r="J24" s="3" t="s">
        <v>272</v>
      </c>
      <c r="K24" s="34"/>
      <c r="L24" s="34"/>
      <c r="M24" s="34"/>
      <c r="N24" s="34"/>
      <c r="O24" s="34"/>
      <c r="P24" s="34"/>
      <c r="Q24" s="34"/>
      <c r="R24" s="34"/>
      <c r="S24" s="34"/>
      <c r="T24" s="34"/>
      <c r="U24" s="34"/>
      <c r="V24" s="34"/>
      <c r="W24" s="34"/>
      <c r="X24" s="34"/>
      <c r="Y24" s="34"/>
      <c r="Z24" s="34"/>
    </row>
    <row r="25" spans="1:26" ht="42.75" x14ac:dyDescent="0.2">
      <c r="A25" s="3" t="s">
        <v>273</v>
      </c>
      <c r="B25" s="3" t="s">
        <v>274</v>
      </c>
      <c r="C25" s="4">
        <v>85</v>
      </c>
      <c r="D25" s="3" t="s">
        <v>160</v>
      </c>
      <c r="E25" s="3" t="s">
        <v>275</v>
      </c>
      <c r="F25" s="3" t="s">
        <v>276</v>
      </c>
      <c r="G25" s="3" t="s">
        <v>277</v>
      </c>
      <c r="H25" s="3" t="s">
        <v>270</v>
      </c>
      <c r="I25" s="3" t="s">
        <v>278</v>
      </c>
      <c r="J25" s="3" t="s">
        <v>272</v>
      </c>
      <c r="K25" s="34"/>
      <c r="L25" s="34"/>
      <c r="M25" s="34"/>
      <c r="N25" s="34"/>
      <c r="O25" s="34"/>
      <c r="P25" s="34"/>
      <c r="Q25" s="34"/>
      <c r="R25" s="34"/>
      <c r="S25" s="34"/>
      <c r="T25" s="34"/>
      <c r="U25" s="34"/>
      <c r="V25" s="34"/>
      <c r="W25" s="34"/>
      <c r="X25" s="34"/>
      <c r="Y25" s="34"/>
      <c r="Z25" s="34"/>
    </row>
    <row r="26" spans="1:26" ht="42.75" x14ac:dyDescent="0.2">
      <c r="A26" s="3" t="s">
        <v>279</v>
      </c>
      <c r="B26" s="3" t="s">
        <v>280</v>
      </c>
      <c r="C26" s="4">
        <v>83</v>
      </c>
      <c r="D26" s="3" t="s">
        <v>146</v>
      </c>
      <c r="E26" s="3">
        <v>45566</v>
      </c>
      <c r="F26" s="3" t="s">
        <v>281</v>
      </c>
      <c r="G26" s="3" t="s">
        <v>282</v>
      </c>
      <c r="H26" s="3">
        <v>43257</v>
      </c>
      <c r="I26" s="3" t="s">
        <v>283</v>
      </c>
      <c r="J26" s="3" t="s">
        <v>284</v>
      </c>
      <c r="K26" s="34"/>
      <c r="L26" s="34"/>
      <c r="M26" s="34"/>
      <c r="N26" s="34"/>
      <c r="O26" s="34"/>
      <c r="P26" s="34"/>
      <c r="Q26" s="34"/>
      <c r="R26" s="34"/>
      <c r="S26" s="34"/>
      <c r="T26" s="34"/>
      <c r="U26" s="34"/>
      <c r="V26" s="34"/>
      <c r="W26" s="34"/>
      <c r="X26" s="34"/>
      <c r="Y26" s="34"/>
      <c r="Z26" s="34"/>
    </row>
    <row r="27" spans="1:26" ht="28.5" x14ac:dyDescent="0.2">
      <c r="A27" s="3" t="s">
        <v>285</v>
      </c>
      <c r="B27" s="3" t="s">
        <v>286</v>
      </c>
      <c r="C27" s="4">
        <v>61</v>
      </c>
      <c r="D27" s="3" t="s">
        <v>146</v>
      </c>
      <c r="E27" s="3" t="s">
        <v>287</v>
      </c>
      <c r="F27" s="3" t="s">
        <v>288</v>
      </c>
      <c r="G27" s="3" t="s">
        <v>289</v>
      </c>
      <c r="H27" s="3" t="s">
        <v>290</v>
      </c>
      <c r="I27" s="3">
        <v>45348</v>
      </c>
      <c r="J27" s="3" t="s">
        <v>951</v>
      </c>
      <c r="K27" s="34"/>
      <c r="L27" s="34"/>
      <c r="M27" s="34"/>
      <c r="N27" s="34"/>
      <c r="O27" s="34"/>
      <c r="P27" s="34"/>
      <c r="Q27" s="34"/>
      <c r="R27" s="34"/>
      <c r="S27" s="34"/>
      <c r="T27" s="34"/>
      <c r="U27" s="34"/>
      <c r="V27" s="34"/>
      <c r="W27" s="34"/>
      <c r="X27" s="34"/>
      <c r="Y27" s="34"/>
      <c r="Z27" s="34"/>
    </row>
    <row r="28" spans="1:26" ht="28.5" x14ac:dyDescent="0.2">
      <c r="A28" s="3" t="s">
        <v>291</v>
      </c>
      <c r="B28" s="3" t="s">
        <v>292</v>
      </c>
      <c r="C28" s="4">
        <v>64</v>
      </c>
      <c r="D28" s="3" t="s">
        <v>146</v>
      </c>
      <c r="E28" s="3" t="s">
        <v>293</v>
      </c>
      <c r="F28" s="3" t="s">
        <v>198</v>
      </c>
      <c r="G28" s="3" t="s">
        <v>294</v>
      </c>
      <c r="H28" s="3" t="s">
        <v>295</v>
      </c>
      <c r="I28" s="3" t="s">
        <v>198</v>
      </c>
      <c r="J28" s="3">
        <v>46184</v>
      </c>
      <c r="K28" s="34"/>
      <c r="L28" s="34"/>
      <c r="M28" s="34"/>
      <c r="N28" s="34"/>
      <c r="O28" s="34"/>
      <c r="P28" s="34"/>
      <c r="Q28" s="34"/>
      <c r="R28" s="34"/>
      <c r="S28" s="34"/>
      <c r="T28" s="34"/>
      <c r="U28" s="34"/>
      <c r="V28" s="34"/>
      <c r="W28" s="34"/>
      <c r="X28" s="34"/>
      <c r="Y28" s="34"/>
      <c r="Z28" s="34"/>
    </row>
    <row r="29" spans="1:26" ht="28.5" x14ac:dyDescent="0.2">
      <c r="A29" s="3" t="s">
        <v>296</v>
      </c>
      <c r="B29" s="3" t="s">
        <v>297</v>
      </c>
      <c r="C29" s="4">
        <v>81</v>
      </c>
      <c r="D29" s="3" t="s">
        <v>160</v>
      </c>
      <c r="E29" s="3" t="s">
        <v>147</v>
      </c>
      <c r="F29" s="3" t="s">
        <v>277</v>
      </c>
      <c r="G29" s="3" t="s">
        <v>298</v>
      </c>
      <c r="H29" s="3">
        <v>42771</v>
      </c>
      <c r="I29" s="3" t="s">
        <v>299</v>
      </c>
      <c r="J29" s="3">
        <v>44736</v>
      </c>
      <c r="K29" s="34"/>
      <c r="L29" s="34"/>
      <c r="M29" s="34"/>
      <c r="N29" s="34"/>
      <c r="O29" s="34"/>
      <c r="P29" s="34"/>
      <c r="Q29" s="34"/>
      <c r="R29" s="34"/>
      <c r="S29" s="34"/>
      <c r="T29" s="34"/>
      <c r="U29" s="34"/>
      <c r="V29" s="34"/>
      <c r="W29" s="34"/>
      <c r="X29" s="34"/>
      <c r="Y29" s="34"/>
      <c r="Z29" s="34"/>
    </row>
    <row r="30" spans="1:26" ht="28.5" x14ac:dyDescent="0.2">
      <c r="A30" s="3" t="s">
        <v>300</v>
      </c>
      <c r="B30" s="3" t="s">
        <v>301</v>
      </c>
      <c r="C30" s="4">
        <v>76</v>
      </c>
      <c r="D30" s="3" t="s">
        <v>160</v>
      </c>
      <c r="E30" s="3" t="s">
        <v>302</v>
      </c>
      <c r="F30" s="3" t="s">
        <v>303</v>
      </c>
      <c r="G30" s="3" t="s">
        <v>304</v>
      </c>
      <c r="H30" s="3">
        <v>42771</v>
      </c>
      <c r="I30" s="3" t="s">
        <v>256</v>
      </c>
      <c r="J30" s="3" t="s">
        <v>198</v>
      </c>
      <c r="K30" s="34"/>
      <c r="L30" s="34"/>
      <c r="M30" s="34"/>
      <c r="N30" s="34"/>
      <c r="O30" s="34"/>
      <c r="P30" s="34"/>
      <c r="Q30" s="34"/>
      <c r="R30" s="34"/>
      <c r="S30" s="34"/>
      <c r="T30" s="34"/>
      <c r="U30" s="34"/>
      <c r="V30" s="34"/>
      <c r="W30" s="34"/>
      <c r="X30" s="34"/>
      <c r="Y30" s="34"/>
      <c r="Z30" s="34"/>
    </row>
    <row r="31" spans="1:26" ht="28.5" x14ac:dyDescent="0.2">
      <c r="A31" s="3" t="s">
        <v>305</v>
      </c>
      <c r="B31" s="3" t="s">
        <v>306</v>
      </c>
      <c r="C31" s="4">
        <v>25</v>
      </c>
      <c r="D31" s="3" t="s">
        <v>160</v>
      </c>
      <c r="E31" s="3" t="s">
        <v>307</v>
      </c>
      <c r="F31" s="3" t="s">
        <v>308</v>
      </c>
      <c r="G31" s="3" t="s">
        <v>309</v>
      </c>
      <c r="H31" s="3">
        <v>42771</v>
      </c>
      <c r="I31" s="3" t="s">
        <v>310</v>
      </c>
      <c r="J31" s="3" t="s">
        <v>187</v>
      </c>
      <c r="K31" s="34"/>
      <c r="L31" s="34"/>
      <c r="M31" s="34"/>
      <c r="N31" s="34"/>
      <c r="O31" s="34"/>
      <c r="P31" s="34"/>
      <c r="Q31" s="34"/>
      <c r="R31" s="34"/>
      <c r="S31" s="34"/>
      <c r="T31" s="34"/>
      <c r="U31" s="34"/>
      <c r="V31" s="34"/>
      <c r="W31" s="34"/>
      <c r="X31" s="34"/>
      <c r="Y31" s="34"/>
      <c r="Z31" s="34"/>
    </row>
    <row r="32" spans="1:26" ht="28.5" x14ac:dyDescent="0.2">
      <c r="A32" s="3" t="s">
        <v>311</v>
      </c>
      <c r="B32" s="3" t="s">
        <v>312</v>
      </c>
      <c r="C32" s="4">
        <v>47</v>
      </c>
      <c r="D32" s="3" t="s">
        <v>160</v>
      </c>
      <c r="E32" s="3">
        <v>45014</v>
      </c>
      <c r="F32" s="3" t="s">
        <v>313</v>
      </c>
      <c r="G32" s="3" t="s">
        <v>314</v>
      </c>
      <c r="H32" s="3" t="s">
        <v>315</v>
      </c>
      <c r="I32" s="3" t="s">
        <v>316</v>
      </c>
      <c r="J32" s="3">
        <v>44736</v>
      </c>
      <c r="K32" s="34"/>
      <c r="L32" s="34"/>
      <c r="M32" s="34"/>
      <c r="N32" s="34"/>
      <c r="O32" s="34"/>
      <c r="P32" s="34"/>
      <c r="Q32" s="34"/>
      <c r="R32" s="34"/>
      <c r="S32" s="34"/>
      <c r="T32" s="34"/>
      <c r="U32" s="34"/>
      <c r="V32" s="34"/>
      <c r="W32" s="34"/>
      <c r="X32" s="34"/>
      <c r="Y32" s="34"/>
      <c r="Z32" s="34"/>
    </row>
    <row r="33" spans="1:26" ht="28.5" x14ac:dyDescent="0.2">
      <c r="A33" s="3" t="s">
        <v>317</v>
      </c>
      <c r="B33" s="3" t="s">
        <v>318</v>
      </c>
      <c r="C33" s="4">
        <v>47</v>
      </c>
      <c r="D33" s="3" t="s">
        <v>146</v>
      </c>
      <c r="E33" s="3" t="s">
        <v>147</v>
      </c>
      <c r="F33" s="3" t="s">
        <v>319</v>
      </c>
      <c r="G33" s="3" t="s">
        <v>320</v>
      </c>
      <c r="H33" s="3" t="s">
        <v>315</v>
      </c>
      <c r="I33" s="3" t="s">
        <v>321</v>
      </c>
      <c r="J33" s="3">
        <v>44736</v>
      </c>
      <c r="K33" s="34"/>
      <c r="L33" s="34"/>
      <c r="M33" s="34"/>
      <c r="N33" s="34"/>
      <c r="O33" s="34"/>
      <c r="P33" s="34"/>
      <c r="Q33" s="34"/>
      <c r="R33" s="34"/>
      <c r="S33" s="34"/>
      <c r="T33" s="34"/>
      <c r="U33" s="34"/>
      <c r="V33" s="34"/>
      <c r="W33" s="34"/>
      <c r="X33" s="34"/>
      <c r="Y33" s="34"/>
      <c r="Z33" s="34"/>
    </row>
    <row r="34" spans="1:26" ht="28.5" x14ac:dyDescent="0.2">
      <c r="A34" s="3" t="s">
        <v>322</v>
      </c>
      <c r="B34" s="3" t="s">
        <v>323</v>
      </c>
      <c r="C34" s="4">
        <v>63</v>
      </c>
      <c r="D34" s="3" t="s">
        <v>160</v>
      </c>
      <c r="E34" s="3" t="s">
        <v>198</v>
      </c>
      <c r="F34" s="3" t="s">
        <v>198</v>
      </c>
      <c r="G34" s="3" t="s">
        <v>324</v>
      </c>
      <c r="H34" s="3" t="s">
        <v>315</v>
      </c>
      <c r="I34" s="3" t="s">
        <v>198</v>
      </c>
      <c r="J34" s="3" t="s">
        <v>939</v>
      </c>
      <c r="K34" s="34"/>
      <c r="L34" s="34"/>
      <c r="M34" s="34"/>
      <c r="N34" s="34"/>
      <c r="O34" s="34"/>
      <c r="P34" s="34"/>
      <c r="Q34" s="34"/>
      <c r="R34" s="34"/>
      <c r="S34" s="34"/>
      <c r="T34" s="34"/>
      <c r="U34" s="34"/>
      <c r="V34" s="34"/>
      <c r="W34" s="34"/>
      <c r="X34" s="34"/>
      <c r="Y34" s="34"/>
      <c r="Z34" s="34"/>
    </row>
    <row r="35" spans="1:26" ht="28.5" x14ac:dyDescent="0.2">
      <c r="A35" s="3" t="s">
        <v>325</v>
      </c>
      <c r="B35" s="3" t="s">
        <v>326</v>
      </c>
      <c r="C35" s="4">
        <v>49</v>
      </c>
      <c r="D35" s="3" t="s">
        <v>160</v>
      </c>
      <c r="E35" s="3" t="s">
        <v>327</v>
      </c>
      <c r="F35" s="3" t="s">
        <v>328</v>
      </c>
      <c r="G35" s="3" t="s">
        <v>329</v>
      </c>
      <c r="H35" s="3">
        <v>42381</v>
      </c>
      <c r="I35" s="3" t="s">
        <v>330</v>
      </c>
      <c r="J35" s="3" t="s">
        <v>234</v>
      </c>
      <c r="K35" s="34"/>
      <c r="L35" s="34"/>
      <c r="M35" s="34"/>
      <c r="N35" s="34"/>
      <c r="O35" s="34"/>
      <c r="P35" s="34"/>
      <c r="Q35" s="34"/>
      <c r="R35" s="34"/>
      <c r="S35" s="34"/>
      <c r="T35" s="34"/>
      <c r="U35" s="34"/>
      <c r="V35" s="34"/>
      <c r="W35" s="34"/>
      <c r="X35" s="34"/>
      <c r="Y35" s="34"/>
      <c r="Z35" s="34"/>
    </row>
    <row r="36" spans="1:26" ht="28.5" x14ac:dyDescent="0.2">
      <c r="A36" s="3" t="s">
        <v>331</v>
      </c>
      <c r="B36" s="3" t="s">
        <v>332</v>
      </c>
      <c r="C36" s="4">
        <v>81</v>
      </c>
      <c r="D36" s="3" t="s">
        <v>146</v>
      </c>
      <c r="E36" s="3">
        <v>45058</v>
      </c>
      <c r="F36" s="3" t="s">
        <v>333</v>
      </c>
      <c r="G36" s="3" t="s">
        <v>334</v>
      </c>
      <c r="H36" s="3" t="s">
        <v>335</v>
      </c>
      <c r="I36" s="3" t="s">
        <v>336</v>
      </c>
      <c r="J36" s="3" t="s">
        <v>337</v>
      </c>
      <c r="K36" s="34"/>
      <c r="L36" s="34"/>
      <c r="M36" s="34"/>
      <c r="N36" s="34"/>
      <c r="O36" s="34"/>
      <c r="P36" s="34"/>
      <c r="Q36" s="34"/>
      <c r="R36" s="34"/>
      <c r="S36" s="34"/>
      <c r="T36" s="34"/>
      <c r="U36" s="34"/>
      <c r="V36" s="34"/>
      <c r="W36" s="34"/>
      <c r="X36" s="34"/>
      <c r="Y36" s="34"/>
      <c r="Z36" s="34"/>
    </row>
    <row r="37" spans="1:26" ht="42.75" x14ac:dyDescent="0.2">
      <c r="A37" s="3" t="s">
        <v>338</v>
      </c>
      <c r="B37" s="3" t="s">
        <v>339</v>
      </c>
      <c r="C37" s="4">
        <v>79</v>
      </c>
      <c r="D37" s="3" t="s">
        <v>160</v>
      </c>
      <c r="E37" s="3" t="s">
        <v>340</v>
      </c>
      <c r="F37" s="3" t="s">
        <v>341</v>
      </c>
      <c r="G37" s="3" t="s">
        <v>342</v>
      </c>
      <c r="H37" s="3" t="s">
        <v>335</v>
      </c>
      <c r="I37" s="3" t="s">
        <v>343</v>
      </c>
      <c r="J37" s="3" t="s">
        <v>344</v>
      </c>
      <c r="K37" s="34"/>
      <c r="L37" s="34"/>
      <c r="M37" s="34"/>
      <c r="N37" s="34"/>
      <c r="O37" s="34"/>
      <c r="P37" s="34"/>
      <c r="Q37" s="34"/>
      <c r="R37" s="34"/>
      <c r="S37" s="34"/>
      <c r="T37" s="34"/>
      <c r="U37" s="34"/>
      <c r="V37" s="34"/>
      <c r="W37" s="34"/>
      <c r="X37" s="34"/>
      <c r="Y37" s="34"/>
      <c r="Z37" s="34"/>
    </row>
    <row r="38" spans="1:26" ht="42.75" x14ac:dyDescent="0.2">
      <c r="A38" s="3" t="s">
        <v>345</v>
      </c>
      <c r="B38" s="3" t="s">
        <v>346</v>
      </c>
      <c r="C38" s="4">
        <v>81</v>
      </c>
      <c r="D38" s="3" t="s">
        <v>160</v>
      </c>
      <c r="E38" s="3" t="s">
        <v>347</v>
      </c>
      <c r="F38" s="3">
        <v>45444</v>
      </c>
      <c r="G38" s="3" t="s">
        <v>348</v>
      </c>
      <c r="H38" s="3" t="s">
        <v>349</v>
      </c>
      <c r="I38" s="3" t="s">
        <v>350</v>
      </c>
      <c r="J38" s="3" t="s">
        <v>234</v>
      </c>
      <c r="K38" s="34"/>
      <c r="L38" s="34"/>
      <c r="M38" s="34"/>
      <c r="N38" s="34"/>
      <c r="O38" s="34"/>
      <c r="P38" s="34"/>
      <c r="Q38" s="34"/>
      <c r="R38" s="34"/>
      <c r="S38" s="34"/>
      <c r="T38" s="34"/>
      <c r="U38" s="34"/>
      <c r="V38" s="34"/>
      <c r="W38" s="34"/>
      <c r="X38" s="34"/>
      <c r="Y38" s="34"/>
      <c r="Z38" s="34"/>
    </row>
    <row r="39" spans="1:26" ht="42.75" x14ac:dyDescent="0.2">
      <c r="A39" s="3" t="s">
        <v>351</v>
      </c>
      <c r="B39" s="3" t="s">
        <v>352</v>
      </c>
      <c r="C39" s="4">
        <v>20</v>
      </c>
      <c r="D39" s="3" t="s">
        <v>146</v>
      </c>
      <c r="E39" s="3" t="s">
        <v>353</v>
      </c>
      <c r="F39" s="3" t="s">
        <v>354</v>
      </c>
      <c r="G39" s="3" t="s">
        <v>355</v>
      </c>
      <c r="H39" s="3" t="s">
        <v>349</v>
      </c>
      <c r="I39" s="3" t="s">
        <v>356</v>
      </c>
      <c r="J39" s="3" t="s">
        <v>357</v>
      </c>
      <c r="K39" s="34"/>
      <c r="L39" s="34"/>
      <c r="M39" s="34"/>
      <c r="N39" s="34"/>
      <c r="O39" s="34"/>
      <c r="P39" s="34"/>
      <c r="Q39" s="34"/>
      <c r="R39" s="34"/>
      <c r="S39" s="34"/>
      <c r="T39" s="34"/>
      <c r="U39" s="34"/>
      <c r="V39" s="34"/>
      <c r="W39" s="34"/>
      <c r="X39" s="34"/>
      <c r="Y39" s="34"/>
      <c r="Z39" s="34"/>
    </row>
    <row r="40" spans="1:26" ht="42.75" x14ac:dyDescent="0.2">
      <c r="A40" s="3" t="s">
        <v>358</v>
      </c>
      <c r="B40" s="3" t="s">
        <v>359</v>
      </c>
      <c r="C40" s="4">
        <v>40</v>
      </c>
      <c r="D40" s="3" t="s">
        <v>146</v>
      </c>
      <c r="E40" s="3" t="s">
        <v>360</v>
      </c>
      <c r="F40" s="3" t="s">
        <v>361</v>
      </c>
      <c r="G40" s="3" t="s">
        <v>362</v>
      </c>
      <c r="H40" s="3">
        <v>42956</v>
      </c>
      <c r="I40" s="3" t="s">
        <v>364</v>
      </c>
      <c r="J40" s="3">
        <v>44927</v>
      </c>
      <c r="K40" s="34"/>
      <c r="L40" s="34"/>
      <c r="M40" s="34"/>
      <c r="N40" s="34"/>
      <c r="O40" s="34"/>
      <c r="P40" s="34"/>
      <c r="Q40" s="34"/>
      <c r="R40" s="34"/>
      <c r="S40" s="34"/>
      <c r="T40" s="34"/>
      <c r="U40" s="34"/>
      <c r="V40" s="34"/>
      <c r="W40" s="34"/>
      <c r="X40" s="34"/>
      <c r="Y40" s="34"/>
      <c r="Z40" s="34"/>
    </row>
    <row r="41" spans="1:26" ht="28.5" x14ac:dyDescent="0.2">
      <c r="A41" s="3" t="s">
        <v>365</v>
      </c>
      <c r="B41" s="3" t="s">
        <v>366</v>
      </c>
      <c r="C41" s="4">
        <v>52</v>
      </c>
      <c r="D41" s="3" t="s">
        <v>146</v>
      </c>
      <c r="E41" s="3" t="s">
        <v>367</v>
      </c>
      <c r="F41" s="3" t="s">
        <v>368</v>
      </c>
      <c r="G41" s="3" t="s">
        <v>369</v>
      </c>
      <c r="H41" s="3" t="s">
        <v>370</v>
      </c>
      <c r="I41" s="3" t="s">
        <v>371</v>
      </c>
      <c r="J41" s="3" t="s">
        <v>165</v>
      </c>
      <c r="K41" s="34"/>
      <c r="L41" s="34"/>
      <c r="M41" s="34"/>
      <c r="N41" s="34"/>
      <c r="O41" s="34"/>
      <c r="P41" s="34"/>
      <c r="Q41" s="34"/>
      <c r="R41" s="34"/>
      <c r="S41" s="34"/>
      <c r="T41" s="34"/>
      <c r="U41" s="34"/>
      <c r="V41" s="34"/>
      <c r="W41" s="34"/>
      <c r="X41" s="34"/>
      <c r="Y41" s="34"/>
      <c r="Z41" s="34"/>
    </row>
    <row r="42" spans="1:26" ht="28.5" x14ac:dyDescent="0.2">
      <c r="A42" s="3" t="s">
        <v>372</v>
      </c>
      <c r="B42" s="3" t="s">
        <v>373</v>
      </c>
      <c r="C42" s="4">
        <v>77</v>
      </c>
      <c r="D42" s="3" t="s">
        <v>146</v>
      </c>
      <c r="E42" s="3" t="s">
        <v>374</v>
      </c>
      <c r="F42" s="3">
        <v>44700</v>
      </c>
      <c r="G42" s="3" t="s">
        <v>375</v>
      </c>
      <c r="H42" s="3" t="s">
        <v>376</v>
      </c>
      <c r="I42" s="3" t="s">
        <v>377</v>
      </c>
      <c r="J42" s="3">
        <v>44927</v>
      </c>
      <c r="K42" s="34"/>
      <c r="L42" s="34"/>
      <c r="M42" s="34"/>
      <c r="N42" s="34"/>
      <c r="O42" s="34"/>
      <c r="P42" s="34"/>
      <c r="Q42" s="34"/>
      <c r="R42" s="34"/>
      <c r="S42" s="34"/>
      <c r="T42" s="34"/>
      <c r="U42" s="34"/>
      <c r="V42" s="34"/>
      <c r="W42" s="34"/>
      <c r="X42" s="34"/>
      <c r="Y42" s="34"/>
      <c r="Z42" s="34"/>
    </row>
    <row r="43" spans="1:26" ht="42.75" x14ac:dyDescent="0.2">
      <c r="A43" s="3" t="s">
        <v>378</v>
      </c>
      <c r="B43" s="3" t="s">
        <v>379</v>
      </c>
      <c r="C43" s="4">
        <v>41</v>
      </c>
      <c r="D43" s="3" t="s">
        <v>160</v>
      </c>
      <c r="E43" s="3" t="s">
        <v>380</v>
      </c>
      <c r="F43" s="3" t="s">
        <v>381</v>
      </c>
      <c r="G43" s="3" t="s">
        <v>382</v>
      </c>
      <c r="H43" s="3">
        <v>43507</v>
      </c>
      <c r="I43" s="3" t="s">
        <v>383</v>
      </c>
      <c r="J43" s="3">
        <v>44866</v>
      </c>
      <c r="K43" s="34"/>
      <c r="L43" s="34"/>
      <c r="M43" s="34"/>
      <c r="N43" s="34"/>
      <c r="O43" s="34"/>
      <c r="P43" s="34"/>
      <c r="Q43" s="34"/>
      <c r="R43" s="34"/>
      <c r="S43" s="34"/>
      <c r="T43" s="34"/>
      <c r="U43" s="34"/>
      <c r="V43" s="34"/>
      <c r="W43" s="34"/>
      <c r="X43" s="34"/>
      <c r="Y43" s="34"/>
      <c r="Z43" s="34"/>
    </row>
    <row r="44" spans="1:26" ht="28.5" x14ac:dyDescent="0.2">
      <c r="A44" s="3" t="s">
        <v>384</v>
      </c>
      <c r="B44" s="3" t="s">
        <v>385</v>
      </c>
      <c r="C44" s="4">
        <v>68</v>
      </c>
      <c r="D44" s="3" t="s">
        <v>160</v>
      </c>
      <c r="E44" s="3" t="s">
        <v>386</v>
      </c>
      <c r="F44" s="25" t="s">
        <v>1329</v>
      </c>
      <c r="G44" s="3" t="s">
        <v>387</v>
      </c>
      <c r="H44" s="3">
        <v>43507</v>
      </c>
      <c r="I44" s="34"/>
      <c r="J44" s="3">
        <v>44866</v>
      </c>
      <c r="K44" s="34"/>
      <c r="L44" s="34"/>
      <c r="M44" s="34"/>
      <c r="N44" s="34"/>
      <c r="O44" s="34"/>
      <c r="P44" s="34"/>
      <c r="Q44" s="34"/>
      <c r="R44" s="34"/>
      <c r="S44" s="34"/>
      <c r="T44" s="34"/>
      <c r="U44" s="34"/>
      <c r="V44" s="34"/>
      <c r="W44" s="34"/>
      <c r="X44" s="34"/>
      <c r="Y44" s="34"/>
      <c r="Z44" s="34"/>
    </row>
    <row r="45" spans="1:26" ht="28.5" x14ac:dyDescent="0.2">
      <c r="A45" s="3" t="s">
        <v>388</v>
      </c>
      <c r="B45" s="3" t="s">
        <v>389</v>
      </c>
      <c r="C45" s="4">
        <v>78</v>
      </c>
      <c r="D45" s="3" t="s">
        <v>160</v>
      </c>
      <c r="E45" s="3" t="s">
        <v>147</v>
      </c>
      <c r="F45" s="3" t="s">
        <v>390</v>
      </c>
      <c r="G45" s="3" t="s">
        <v>391</v>
      </c>
      <c r="H45" s="3" t="s">
        <v>392</v>
      </c>
      <c r="I45" s="3" t="s">
        <v>10</v>
      </c>
      <c r="J45" s="3" t="s">
        <v>187</v>
      </c>
      <c r="K45" s="34"/>
      <c r="L45" s="34"/>
      <c r="M45" s="34"/>
      <c r="N45" s="34"/>
      <c r="O45" s="34"/>
      <c r="P45" s="34"/>
      <c r="Q45" s="34"/>
      <c r="R45" s="34"/>
      <c r="S45" s="34"/>
      <c r="T45" s="34"/>
      <c r="U45" s="34"/>
      <c r="V45" s="34"/>
      <c r="W45" s="34"/>
      <c r="X45" s="34"/>
      <c r="Y45" s="34"/>
      <c r="Z45" s="34"/>
    </row>
    <row r="46" spans="1:26" ht="28.5" x14ac:dyDescent="0.2">
      <c r="A46" s="3" t="s">
        <v>394</v>
      </c>
      <c r="B46" s="3" t="s">
        <v>395</v>
      </c>
      <c r="C46" s="4">
        <v>80</v>
      </c>
      <c r="D46" s="3" t="s">
        <v>160</v>
      </c>
      <c r="E46" s="3" t="s">
        <v>396</v>
      </c>
      <c r="F46" s="3" t="s">
        <v>397</v>
      </c>
      <c r="G46" s="3" t="s">
        <v>398</v>
      </c>
      <c r="H46" s="3" t="s">
        <v>399</v>
      </c>
      <c r="I46" s="34"/>
      <c r="J46" s="3">
        <v>45144</v>
      </c>
      <c r="K46" s="34"/>
      <c r="L46" s="34"/>
      <c r="M46" s="34"/>
      <c r="N46" s="34"/>
      <c r="O46" s="34"/>
      <c r="P46" s="34"/>
      <c r="Q46" s="34"/>
      <c r="R46" s="34"/>
      <c r="S46" s="34"/>
      <c r="T46" s="34"/>
      <c r="U46" s="34"/>
      <c r="V46" s="34"/>
      <c r="W46" s="34"/>
      <c r="X46" s="34"/>
      <c r="Y46" s="34"/>
      <c r="Z46" s="34"/>
    </row>
    <row r="47" spans="1:26" ht="42.75" x14ac:dyDescent="0.2">
      <c r="A47" s="3" t="s">
        <v>400</v>
      </c>
      <c r="B47" s="3" t="s">
        <v>401</v>
      </c>
      <c r="C47" s="4">
        <v>61</v>
      </c>
      <c r="D47" s="3" t="s">
        <v>146</v>
      </c>
      <c r="E47" s="3" t="s">
        <v>402</v>
      </c>
      <c r="F47" s="3" t="s">
        <v>403</v>
      </c>
      <c r="G47" s="3" t="s">
        <v>404</v>
      </c>
      <c r="H47" s="3" t="s">
        <v>399</v>
      </c>
      <c r="I47" s="34"/>
      <c r="J47" s="3">
        <v>45488</v>
      </c>
      <c r="K47" s="34"/>
      <c r="L47" s="34"/>
      <c r="M47" s="34"/>
      <c r="N47" s="34"/>
      <c r="O47" s="34"/>
      <c r="P47" s="34"/>
      <c r="Q47" s="34"/>
      <c r="R47" s="34"/>
      <c r="S47" s="34"/>
      <c r="T47" s="34"/>
      <c r="U47" s="34"/>
      <c r="V47" s="34"/>
      <c r="W47" s="34"/>
      <c r="X47" s="34"/>
      <c r="Y47" s="34"/>
      <c r="Z47" s="34"/>
    </row>
    <row r="48" spans="1:26" ht="42.75" x14ac:dyDescent="0.2">
      <c r="A48" s="3" t="s">
        <v>405</v>
      </c>
      <c r="B48" s="3" t="s">
        <v>406</v>
      </c>
      <c r="C48" s="4">
        <v>79</v>
      </c>
      <c r="D48" s="3" t="s">
        <v>146</v>
      </c>
      <c r="E48" s="3" t="s">
        <v>407</v>
      </c>
      <c r="F48" s="3" t="s">
        <v>390</v>
      </c>
      <c r="G48" s="3" t="s">
        <v>408</v>
      </c>
      <c r="H48" s="3" t="s">
        <v>399</v>
      </c>
      <c r="I48" s="3" t="s">
        <v>11</v>
      </c>
      <c r="J48" s="3" t="s">
        <v>234</v>
      </c>
      <c r="K48" s="34"/>
      <c r="L48" s="34"/>
      <c r="M48" s="34"/>
      <c r="N48" s="34"/>
      <c r="O48" s="34"/>
      <c r="P48" s="34"/>
      <c r="Q48" s="34"/>
      <c r="R48" s="34"/>
      <c r="S48" s="34"/>
      <c r="T48" s="34"/>
      <c r="U48" s="34"/>
      <c r="V48" s="34"/>
      <c r="W48" s="34"/>
      <c r="X48" s="34"/>
      <c r="Y48" s="34"/>
      <c r="Z48" s="34"/>
    </row>
    <row r="49" spans="1:26" ht="28.5" x14ac:dyDescent="0.2">
      <c r="A49" s="3" t="s">
        <v>410</v>
      </c>
      <c r="B49" s="3" t="s">
        <v>411</v>
      </c>
      <c r="C49" s="4">
        <v>34</v>
      </c>
      <c r="D49" s="3" t="s">
        <v>160</v>
      </c>
      <c r="E49" s="3" t="s">
        <v>412</v>
      </c>
      <c r="F49" s="3">
        <v>45288</v>
      </c>
      <c r="G49" s="3" t="s">
        <v>413</v>
      </c>
      <c r="H49" s="3">
        <v>42857</v>
      </c>
      <c r="I49" s="3" t="s">
        <v>12</v>
      </c>
      <c r="J49" s="3" t="s">
        <v>415</v>
      </c>
      <c r="K49" s="34"/>
      <c r="L49" s="34"/>
      <c r="M49" s="34"/>
      <c r="N49" s="34"/>
      <c r="O49" s="34"/>
      <c r="P49" s="34"/>
      <c r="Q49" s="34"/>
      <c r="R49" s="34"/>
      <c r="S49" s="34"/>
      <c r="T49" s="34"/>
      <c r="U49" s="34"/>
      <c r="V49" s="34"/>
      <c r="W49" s="34"/>
      <c r="X49" s="34"/>
      <c r="Y49" s="34"/>
      <c r="Z49" s="34"/>
    </row>
    <row r="50" spans="1:26" ht="28.5" x14ac:dyDescent="0.2">
      <c r="A50" s="3" t="s">
        <v>416</v>
      </c>
      <c r="B50" s="3" t="s">
        <v>417</v>
      </c>
      <c r="C50" s="4">
        <v>81</v>
      </c>
      <c r="D50" s="3" t="s">
        <v>160</v>
      </c>
      <c r="E50" s="3" t="s">
        <v>418</v>
      </c>
      <c r="F50" s="3" t="s">
        <v>419</v>
      </c>
      <c r="G50" s="3" t="s">
        <v>420</v>
      </c>
      <c r="H50" s="3">
        <v>42857</v>
      </c>
      <c r="I50" s="34"/>
      <c r="J50" s="3" t="s">
        <v>415</v>
      </c>
      <c r="K50" s="34"/>
      <c r="L50" s="34"/>
      <c r="M50" s="34"/>
      <c r="N50" s="34"/>
      <c r="O50" s="34"/>
      <c r="P50" s="34"/>
      <c r="Q50" s="34"/>
      <c r="R50" s="34"/>
      <c r="S50" s="34"/>
      <c r="T50" s="34"/>
      <c r="U50" s="34"/>
      <c r="V50" s="34"/>
      <c r="W50" s="34"/>
      <c r="X50" s="34"/>
      <c r="Y50" s="34"/>
      <c r="Z50" s="34"/>
    </row>
    <row r="51" spans="1:26" ht="42.75" x14ac:dyDescent="0.2">
      <c r="A51" s="3" t="s">
        <v>421</v>
      </c>
      <c r="B51" s="3" t="s">
        <v>842</v>
      </c>
      <c r="C51" s="4">
        <v>81</v>
      </c>
      <c r="D51" s="3" t="s">
        <v>160</v>
      </c>
      <c r="E51" s="3" t="s">
        <v>422</v>
      </c>
      <c r="F51" s="3" t="s">
        <v>381</v>
      </c>
      <c r="G51" s="3" t="s">
        <v>423</v>
      </c>
      <c r="H51" s="3">
        <v>42857</v>
      </c>
      <c r="I51" s="3" t="s">
        <v>13</v>
      </c>
      <c r="J51" s="3" t="s">
        <v>951</v>
      </c>
      <c r="K51" s="34"/>
      <c r="L51" s="34"/>
      <c r="M51" s="34"/>
      <c r="N51" s="34"/>
      <c r="O51" s="34"/>
      <c r="P51" s="34"/>
      <c r="Q51" s="34"/>
      <c r="R51" s="34"/>
      <c r="S51" s="34"/>
      <c r="T51" s="34"/>
      <c r="U51" s="34"/>
      <c r="V51" s="34"/>
      <c r="W51" s="34"/>
      <c r="X51" s="34"/>
      <c r="Y51" s="34"/>
      <c r="Z51" s="34"/>
    </row>
    <row r="52" spans="1:26" ht="42.75" x14ac:dyDescent="0.2">
      <c r="A52" s="3" t="s">
        <v>425</v>
      </c>
      <c r="B52" s="3" t="s">
        <v>426</v>
      </c>
      <c r="C52" s="4">
        <v>66</v>
      </c>
      <c r="D52" s="3" t="s">
        <v>160</v>
      </c>
      <c r="E52" s="3" t="s">
        <v>427</v>
      </c>
      <c r="F52" s="3" t="s">
        <v>428</v>
      </c>
      <c r="G52" s="3" t="s">
        <v>429</v>
      </c>
      <c r="H52" s="3" t="s">
        <v>430</v>
      </c>
      <c r="I52" s="3" t="s">
        <v>14</v>
      </c>
      <c r="J52" s="3">
        <v>44736</v>
      </c>
      <c r="K52" s="34"/>
      <c r="L52" s="34"/>
      <c r="M52" s="34"/>
      <c r="N52" s="34"/>
      <c r="O52" s="34"/>
      <c r="P52" s="34"/>
      <c r="Q52" s="34"/>
      <c r="R52" s="34"/>
      <c r="S52" s="34"/>
      <c r="T52" s="34"/>
      <c r="U52" s="34"/>
      <c r="V52" s="34"/>
      <c r="W52" s="34"/>
      <c r="X52" s="34"/>
      <c r="Y52" s="34"/>
      <c r="Z52" s="34"/>
    </row>
    <row r="53" spans="1:26" ht="42.75" x14ac:dyDescent="0.2">
      <c r="A53" s="3" t="s">
        <v>431</v>
      </c>
      <c r="B53" s="3" t="s">
        <v>432</v>
      </c>
      <c r="C53" s="4">
        <v>81</v>
      </c>
      <c r="D53" s="3" t="s">
        <v>146</v>
      </c>
      <c r="E53" s="3" t="s">
        <v>433</v>
      </c>
      <c r="F53" s="3" t="s">
        <v>341</v>
      </c>
      <c r="G53" s="3" t="s">
        <v>434</v>
      </c>
      <c r="H53" s="3" t="s">
        <v>435</v>
      </c>
      <c r="I53" s="3" t="s">
        <v>15</v>
      </c>
      <c r="J53" s="3">
        <v>44866</v>
      </c>
      <c r="K53" s="34"/>
      <c r="L53" s="34"/>
      <c r="M53" s="34"/>
      <c r="N53" s="34"/>
      <c r="O53" s="34"/>
      <c r="P53" s="34"/>
      <c r="Q53" s="34"/>
      <c r="R53" s="34"/>
      <c r="S53" s="34"/>
      <c r="T53" s="34"/>
      <c r="U53" s="34"/>
      <c r="V53" s="34"/>
      <c r="W53" s="34"/>
      <c r="X53" s="34"/>
      <c r="Y53" s="34"/>
      <c r="Z53" s="34"/>
    </row>
    <row r="54" spans="1:26" ht="42.75" x14ac:dyDescent="0.2">
      <c r="A54" s="3" t="s">
        <v>437</v>
      </c>
      <c r="B54" s="3" t="s">
        <v>438</v>
      </c>
      <c r="C54" s="4">
        <v>70</v>
      </c>
      <c r="D54" s="3" t="s">
        <v>160</v>
      </c>
      <c r="E54" s="3" t="s">
        <v>147</v>
      </c>
      <c r="F54" s="3" t="s">
        <v>439</v>
      </c>
      <c r="G54" s="3" t="s">
        <v>440</v>
      </c>
      <c r="H54" s="3" t="s">
        <v>441</v>
      </c>
      <c r="I54" s="3" t="s">
        <v>16</v>
      </c>
      <c r="J54" s="3">
        <v>44867</v>
      </c>
      <c r="K54" s="34"/>
      <c r="L54" s="34"/>
      <c r="M54" s="34"/>
      <c r="N54" s="34"/>
      <c r="O54" s="34"/>
      <c r="P54" s="34"/>
      <c r="Q54" s="34"/>
      <c r="R54" s="34"/>
      <c r="S54" s="34"/>
      <c r="T54" s="34"/>
      <c r="U54" s="34"/>
      <c r="V54" s="34"/>
      <c r="W54" s="34"/>
      <c r="X54" s="34"/>
      <c r="Y54" s="34"/>
      <c r="Z54" s="34"/>
    </row>
    <row r="55" spans="1:26" ht="28.5" x14ac:dyDescent="0.2">
      <c r="A55" s="3" t="s">
        <v>443</v>
      </c>
      <c r="B55" s="3" t="s">
        <v>444</v>
      </c>
      <c r="C55" s="4">
        <v>74</v>
      </c>
      <c r="D55" s="3" t="s">
        <v>146</v>
      </c>
      <c r="E55" s="3" t="s">
        <v>445</v>
      </c>
      <c r="F55" s="3" t="s">
        <v>446</v>
      </c>
      <c r="G55" s="3" t="s">
        <v>447</v>
      </c>
      <c r="H55" s="3" t="s">
        <v>448</v>
      </c>
      <c r="I55" s="3" t="s">
        <v>17</v>
      </c>
      <c r="J55" s="3" t="s">
        <v>161</v>
      </c>
      <c r="K55" s="34"/>
      <c r="L55" s="34"/>
      <c r="M55" s="34"/>
      <c r="N55" s="34"/>
      <c r="O55" s="34"/>
      <c r="P55" s="34"/>
      <c r="Q55" s="34"/>
      <c r="R55" s="34"/>
      <c r="S55" s="34"/>
      <c r="T55" s="34"/>
      <c r="U55" s="34"/>
      <c r="V55" s="34"/>
      <c r="W55" s="34"/>
      <c r="X55" s="34"/>
      <c r="Y55" s="34"/>
      <c r="Z55" s="34"/>
    </row>
    <row r="56" spans="1:26" ht="28.5" x14ac:dyDescent="0.2">
      <c r="A56" s="3" t="s">
        <v>450</v>
      </c>
      <c r="B56" s="3" t="s">
        <v>843</v>
      </c>
      <c r="C56" s="4">
        <v>83</v>
      </c>
      <c r="D56" s="3" t="s">
        <v>160</v>
      </c>
      <c r="E56" s="3" t="s">
        <v>451</v>
      </c>
      <c r="F56" s="3">
        <v>43229</v>
      </c>
      <c r="G56" s="3" t="s">
        <v>452</v>
      </c>
      <c r="H56" s="3">
        <v>43140</v>
      </c>
      <c r="I56" s="3">
        <v>20241015</v>
      </c>
      <c r="J56" s="3" t="s">
        <v>187</v>
      </c>
      <c r="K56" s="34"/>
      <c r="L56" s="34"/>
      <c r="M56" s="34"/>
      <c r="N56" s="34"/>
      <c r="O56" s="34"/>
      <c r="P56" s="34"/>
      <c r="Q56" s="34"/>
      <c r="R56" s="34"/>
      <c r="S56" s="34"/>
      <c r="T56" s="34"/>
      <c r="U56" s="34"/>
      <c r="V56" s="34"/>
      <c r="W56" s="34"/>
      <c r="X56" s="34"/>
      <c r="Y56" s="34"/>
      <c r="Z56" s="34"/>
    </row>
    <row r="57" spans="1:26" ht="28.5" x14ac:dyDescent="0.2">
      <c r="A57" s="3" t="s">
        <v>453</v>
      </c>
      <c r="B57" s="3" t="s">
        <v>454</v>
      </c>
      <c r="C57" s="4">
        <v>40</v>
      </c>
      <c r="D57" s="3" t="s">
        <v>146</v>
      </c>
      <c r="E57" s="3" t="s">
        <v>455</v>
      </c>
      <c r="F57" s="3" t="s">
        <v>198</v>
      </c>
      <c r="G57" s="3" t="s">
        <v>456</v>
      </c>
      <c r="H57" s="3">
        <v>43140</v>
      </c>
      <c r="I57" s="3" t="s">
        <v>18</v>
      </c>
      <c r="J57" s="3" t="s">
        <v>937</v>
      </c>
      <c r="K57" s="34"/>
      <c r="L57" s="34"/>
      <c r="M57" s="34"/>
      <c r="N57" s="34"/>
      <c r="O57" s="34"/>
      <c r="P57" s="34"/>
      <c r="Q57" s="34"/>
      <c r="R57" s="34"/>
      <c r="S57" s="34"/>
      <c r="T57" s="34"/>
      <c r="U57" s="34"/>
      <c r="V57" s="34"/>
      <c r="W57" s="34"/>
      <c r="X57" s="34"/>
      <c r="Y57" s="34"/>
      <c r="Z57" s="34"/>
    </row>
    <row r="58" spans="1:26" x14ac:dyDescent="0.2">
      <c r="A58" s="3" t="s">
        <v>458</v>
      </c>
      <c r="B58" s="3" t="s">
        <v>459</v>
      </c>
      <c r="C58" s="4">
        <v>22</v>
      </c>
      <c r="D58" s="3" t="s">
        <v>146</v>
      </c>
      <c r="E58" s="3">
        <v>44971</v>
      </c>
      <c r="F58" s="3">
        <v>45612</v>
      </c>
      <c r="G58" s="3" t="s">
        <v>460</v>
      </c>
      <c r="H58" s="3">
        <v>43140</v>
      </c>
      <c r="I58" s="34"/>
      <c r="J58" s="3" t="s">
        <v>461</v>
      </c>
      <c r="K58" s="34"/>
      <c r="L58" s="34"/>
      <c r="M58" s="34"/>
      <c r="N58" s="34"/>
      <c r="O58" s="34"/>
      <c r="P58" s="34"/>
      <c r="Q58" s="34"/>
      <c r="R58" s="34"/>
      <c r="S58" s="34"/>
      <c r="T58" s="34"/>
      <c r="U58" s="34"/>
      <c r="V58" s="34"/>
      <c r="W58" s="34"/>
      <c r="X58" s="34"/>
      <c r="Y58" s="34"/>
      <c r="Z58" s="34"/>
    </row>
    <row r="59" spans="1:26" ht="28.5" x14ac:dyDescent="0.2">
      <c r="A59" s="3" t="s">
        <v>462</v>
      </c>
      <c r="B59" s="3" t="s">
        <v>463</v>
      </c>
      <c r="C59" s="4">
        <v>70</v>
      </c>
      <c r="D59" s="3" t="s">
        <v>160</v>
      </c>
      <c r="E59" s="3" t="s">
        <v>147</v>
      </c>
      <c r="F59" s="3" t="s">
        <v>198</v>
      </c>
      <c r="G59" s="3" t="s">
        <v>464</v>
      </c>
      <c r="H59" s="3">
        <v>43202</v>
      </c>
      <c r="I59" s="3" t="s">
        <v>19</v>
      </c>
      <c r="J59" s="3" t="s">
        <v>165</v>
      </c>
      <c r="K59" s="34"/>
      <c r="L59" s="34"/>
      <c r="M59" s="34"/>
      <c r="N59" s="34"/>
      <c r="O59" s="34"/>
      <c r="P59" s="34"/>
      <c r="Q59" s="34"/>
      <c r="R59" s="34"/>
      <c r="S59" s="34"/>
      <c r="T59" s="34"/>
      <c r="U59" s="34"/>
      <c r="V59" s="34"/>
      <c r="W59" s="34"/>
      <c r="X59" s="34"/>
      <c r="Y59" s="34"/>
      <c r="Z59" s="34"/>
    </row>
    <row r="60" spans="1:26" ht="28.5" x14ac:dyDescent="0.2">
      <c r="A60" s="3" t="s">
        <v>466</v>
      </c>
      <c r="B60" s="3" t="s">
        <v>844</v>
      </c>
      <c r="C60" s="4">
        <v>26</v>
      </c>
      <c r="D60" s="3" t="s">
        <v>160</v>
      </c>
      <c r="E60" s="3" t="s">
        <v>467</v>
      </c>
      <c r="F60" s="3" t="s">
        <v>198</v>
      </c>
      <c r="G60" s="3" t="s">
        <v>468</v>
      </c>
      <c r="H60" s="3" t="s">
        <v>469</v>
      </c>
      <c r="I60" s="3" t="s">
        <v>20</v>
      </c>
      <c r="J60" s="3" t="s">
        <v>165</v>
      </c>
      <c r="K60" s="34"/>
      <c r="L60" s="34"/>
      <c r="M60" s="34"/>
      <c r="N60" s="34"/>
      <c r="O60" s="34"/>
      <c r="P60" s="34"/>
      <c r="Q60" s="34"/>
      <c r="R60" s="34"/>
      <c r="S60" s="34"/>
      <c r="T60" s="34"/>
      <c r="U60" s="34"/>
      <c r="V60" s="34"/>
      <c r="W60" s="34"/>
      <c r="X60" s="34"/>
      <c r="Y60" s="34"/>
      <c r="Z60" s="34"/>
    </row>
    <row r="61" spans="1:26" ht="28.5" x14ac:dyDescent="0.2">
      <c r="A61" s="3" t="s">
        <v>471</v>
      </c>
      <c r="B61" s="3" t="s">
        <v>472</v>
      </c>
      <c r="C61" s="4">
        <v>40</v>
      </c>
      <c r="D61" s="3" t="s">
        <v>160</v>
      </c>
      <c r="E61" s="3" t="s">
        <v>473</v>
      </c>
      <c r="F61" s="3">
        <v>45062</v>
      </c>
      <c r="G61" s="3">
        <v>45051</v>
      </c>
      <c r="H61" s="3" t="s">
        <v>469</v>
      </c>
      <c r="I61" s="3">
        <v>20240425</v>
      </c>
      <c r="J61" s="3" t="s">
        <v>474</v>
      </c>
      <c r="K61" s="34"/>
      <c r="L61" s="34"/>
      <c r="M61" s="34"/>
      <c r="N61" s="34"/>
      <c r="O61" s="34"/>
      <c r="P61" s="34"/>
      <c r="Q61" s="34"/>
      <c r="R61" s="34"/>
      <c r="S61" s="34"/>
      <c r="T61" s="34"/>
      <c r="U61" s="34"/>
      <c r="V61" s="34"/>
      <c r="W61" s="34"/>
      <c r="X61" s="34"/>
      <c r="Y61" s="34"/>
      <c r="Z61" s="34"/>
    </row>
    <row r="62" spans="1:26" ht="57" x14ac:dyDescent="0.2">
      <c r="A62" s="3" t="s">
        <v>475</v>
      </c>
      <c r="B62" s="3" t="s">
        <v>476</v>
      </c>
      <c r="C62" s="4">
        <v>58</v>
      </c>
      <c r="D62" s="3" t="s">
        <v>160</v>
      </c>
      <c r="E62" s="3" t="s">
        <v>477</v>
      </c>
      <c r="F62" s="3" t="s">
        <v>198</v>
      </c>
      <c r="G62" s="3">
        <v>45063</v>
      </c>
      <c r="H62" s="3" t="s">
        <v>469</v>
      </c>
      <c r="I62" s="34"/>
      <c r="J62" s="3" t="s">
        <v>940</v>
      </c>
      <c r="K62" s="34"/>
      <c r="L62" s="34"/>
      <c r="M62" s="34"/>
      <c r="N62" s="34"/>
      <c r="O62" s="34"/>
      <c r="P62" s="34"/>
      <c r="Q62" s="34"/>
      <c r="R62" s="34"/>
      <c r="S62" s="34"/>
      <c r="T62" s="34"/>
      <c r="U62" s="34"/>
      <c r="V62" s="34"/>
      <c r="W62" s="34"/>
      <c r="X62" s="34"/>
      <c r="Y62" s="34"/>
      <c r="Z62" s="34"/>
    </row>
    <row r="63" spans="1:26" ht="28.5" x14ac:dyDescent="0.2">
      <c r="A63" s="3" t="s">
        <v>478</v>
      </c>
      <c r="B63" s="3" t="s">
        <v>479</v>
      </c>
      <c r="C63" s="4">
        <v>37</v>
      </c>
      <c r="D63" s="3" t="s">
        <v>146</v>
      </c>
      <c r="E63" s="3" t="s">
        <v>480</v>
      </c>
      <c r="F63" s="3" t="s">
        <v>481</v>
      </c>
      <c r="G63" s="3">
        <v>45092</v>
      </c>
      <c r="H63" s="3" t="s">
        <v>482</v>
      </c>
      <c r="I63" s="3" t="s">
        <v>21</v>
      </c>
      <c r="J63" s="3">
        <v>44736</v>
      </c>
      <c r="K63" s="34"/>
      <c r="L63" s="34"/>
      <c r="M63" s="34"/>
      <c r="N63" s="34"/>
      <c r="O63" s="34"/>
      <c r="P63" s="34"/>
      <c r="Q63" s="34"/>
      <c r="R63" s="34"/>
      <c r="S63" s="34"/>
      <c r="T63" s="34"/>
      <c r="U63" s="34"/>
      <c r="V63" s="34"/>
      <c r="W63" s="34"/>
      <c r="X63" s="34"/>
      <c r="Y63" s="34"/>
      <c r="Z63" s="34"/>
    </row>
    <row r="64" spans="1:26" ht="28.5" x14ac:dyDescent="0.2">
      <c r="A64" s="3" t="s">
        <v>484</v>
      </c>
      <c r="B64" s="3" t="s">
        <v>485</v>
      </c>
      <c r="C64" s="4">
        <v>23</v>
      </c>
      <c r="D64" s="3" t="s">
        <v>160</v>
      </c>
      <c r="E64" s="3" t="s">
        <v>486</v>
      </c>
      <c r="F64" s="3" t="s">
        <v>487</v>
      </c>
      <c r="G64" s="3">
        <v>45131</v>
      </c>
      <c r="H64" s="3" t="s">
        <v>482</v>
      </c>
      <c r="I64" s="34"/>
      <c r="J64" s="3">
        <v>45019</v>
      </c>
      <c r="K64" s="34"/>
      <c r="L64" s="34"/>
      <c r="M64" s="34"/>
      <c r="N64" s="34"/>
      <c r="O64" s="34"/>
      <c r="P64" s="34"/>
      <c r="Q64" s="34"/>
      <c r="R64" s="34"/>
      <c r="S64" s="34"/>
      <c r="T64" s="34"/>
      <c r="U64" s="34"/>
      <c r="V64" s="34"/>
      <c r="W64" s="34"/>
      <c r="X64" s="34"/>
      <c r="Y64" s="34"/>
      <c r="Z64" s="34"/>
    </row>
    <row r="65" spans="1:26" ht="28.5" x14ac:dyDescent="0.2">
      <c r="A65" s="3" t="s">
        <v>488</v>
      </c>
      <c r="B65" s="3" t="s">
        <v>489</v>
      </c>
      <c r="C65" s="4">
        <v>79</v>
      </c>
      <c r="D65" s="3" t="s">
        <v>146</v>
      </c>
      <c r="E65" s="3" t="s">
        <v>490</v>
      </c>
      <c r="F65" s="3" t="s">
        <v>491</v>
      </c>
      <c r="G65" s="3" t="s">
        <v>492</v>
      </c>
      <c r="H65" s="3" t="s">
        <v>482</v>
      </c>
      <c r="I65" s="3" t="s">
        <v>22</v>
      </c>
      <c r="J65" s="3" t="s">
        <v>165</v>
      </c>
      <c r="K65" s="34"/>
      <c r="L65" s="34"/>
      <c r="M65" s="34"/>
      <c r="N65" s="34"/>
      <c r="O65" s="34"/>
      <c r="P65" s="34"/>
      <c r="Q65" s="34"/>
      <c r="R65" s="34"/>
      <c r="S65" s="34"/>
      <c r="T65" s="34"/>
      <c r="U65" s="34"/>
      <c r="V65" s="34"/>
      <c r="W65" s="34"/>
      <c r="X65" s="34"/>
      <c r="Y65" s="34"/>
      <c r="Z65" s="34"/>
    </row>
    <row r="66" spans="1:26" ht="28.5" x14ac:dyDescent="0.2">
      <c r="A66" s="3" t="s">
        <v>494</v>
      </c>
      <c r="B66" s="3" t="s">
        <v>845</v>
      </c>
      <c r="C66" s="4">
        <v>33</v>
      </c>
      <c r="D66" s="3" t="s">
        <v>146</v>
      </c>
      <c r="E66" s="3" t="s">
        <v>495</v>
      </c>
      <c r="F66" s="3" t="s">
        <v>496</v>
      </c>
      <c r="G66" s="3" t="s">
        <v>497</v>
      </c>
      <c r="H66" s="3" t="s">
        <v>498</v>
      </c>
      <c r="I66" s="34"/>
      <c r="J66" s="3" t="s">
        <v>234</v>
      </c>
      <c r="K66" s="34"/>
      <c r="L66" s="34"/>
      <c r="M66" s="34"/>
      <c r="N66" s="34"/>
      <c r="O66" s="34"/>
      <c r="P66" s="34"/>
      <c r="Q66" s="34"/>
      <c r="R66" s="34"/>
      <c r="S66" s="34"/>
      <c r="T66" s="34"/>
      <c r="U66" s="34"/>
      <c r="V66" s="34"/>
      <c r="W66" s="34"/>
      <c r="X66" s="34"/>
      <c r="Y66" s="34"/>
      <c r="Z66" s="34"/>
    </row>
    <row r="67" spans="1:26" ht="28.5" x14ac:dyDescent="0.2">
      <c r="A67" s="3" t="s">
        <v>499</v>
      </c>
      <c r="B67" s="3" t="s">
        <v>500</v>
      </c>
      <c r="C67" s="4">
        <v>28</v>
      </c>
      <c r="D67" s="3" t="s">
        <v>146</v>
      </c>
      <c r="E67" s="3" t="s">
        <v>147</v>
      </c>
      <c r="F67" s="3" t="s">
        <v>198</v>
      </c>
      <c r="G67" s="3" t="s">
        <v>501</v>
      </c>
      <c r="H67" s="3" t="s">
        <v>502</v>
      </c>
      <c r="I67" s="3">
        <v>20230916</v>
      </c>
      <c r="J67" s="3" t="s">
        <v>161</v>
      </c>
      <c r="K67" s="34"/>
      <c r="L67" s="34"/>
      <c r="M67" s="34"/>
      <c r="N67" s="34"/>
      <c r="O67" s="34"/>
      <c r="P67" s="34"/>
      <c r="Q67" s="34"/>
      <c r="R67" s="34"/>
      <c r="S67" s="34"/>
      <c r="T67" s="34"/>
      <c r="U67" s="34"/>
      <c r="V67" s="34"/>
      <c r="W67" s="34"/>
      <c r="X67" s="34"/>
      <c r="Y67" s="34"/>
      <c r="Z67" s="34"/>
    </row>
    <row r="68" spans="1:26" ht="28.5" x14ac:dyDescent="0.2">
      <c r="A68" s="3" t="s">
        <v>503</v>
      </c>
      <c r="B68" s="3" t="s">
        <v>504</v>
      </c>
      <c r="C68" s="4">
        <v>43</v>
      </c>
      <c r="D68" s="3" t="s">
        <v>160</v>
      </c>
      <c r="E68" s="3" t="s">
        <v>505</v>
      </c>
      <c r="F68" s="3" t="s">
        <v>506</v>
      </c>
      <c r="G68" s="3" t="s">
        <v>193</v>
      </c>
      <c r="H68" s="3" t="s">
        <v>507</v>
      </c>
      <c r="I68" s="3" t="s">
        <v>23</v>
      </c>
      <c r="J68" s="3" t="s">
        <v>937</v>
      </c>
      <c r="K68" s="34"/>
      <c r="L68" s="34"/>
      <c r="M68" s="34"/>
      <c r="N68" s="34"/>
      <c r="O68" s="34"/>
      <c r="P68" s="34"/>
      <c r="Q68" s="34"/>
      <c r="R68" s="34"/>
      <c r="S68" s="34"/>
      <c r="T68" s="34"/>
      <c r="U68" s="34"/>
      <c r="V68" s="34"/>
      <c r="W68" s="34"/>
      <c r="X68" s="34"/>
      <c r="Y68" s="34"/>
      <c r="Z68" s="34"/>
    </row>
    <row r="69" spans="1:26" ht="28.5" x14ac:dyDescent="0.2">
      <c r="A69" s="3" t="s">
        <v>509</v>
      </c>
      <c r="B69" s="3" t="s">
        <v>510</v>
      </c>
      <c r="C69" s="4">
        <v>72</v>
      </c>
      <c r="D69" s="3" t="s">
        <v>146</v>
      </c>
      <c r="E69" s="3" t="s">
        <v>511</v>
      </c>
      <c r="F69" s="3" t="s">
        <v>512</v>
      </c>
      <c r="G69" s="3" t="s">
        <v>513</v>
      </c>
      <c r="H69" s="3" t="s">
        <v>507</v>
      </c>
      <c r="I69" s="3" t="s">
        <v>24</v>
      </c>
      <c r="J69" s="3" t="s">
        <v>514</v>
      </c>
      <c r="K69" s="34"/>
      <c r="L69" s="34"/>
      <c r="M69" s="34"/>
      <c r="N69" s="34"/>
      <c r="O69" s="34"/>
      <c r="P69" s="34"/>
      <c r="Q69" s="34"/>
      <c r="R69" s="34"/>
      <c r="S69" s="34"/>
      <c r="T69" s="34"/>
      <c r="U69" s="34"/>
      <c r="V69" s="34"/>
      <c r="W69" s="34"/>
      <c r="X69" s="34"/>
      <c r="Y69" s="34"/>
      <c r="Z69" s="34"/>
    </row>
    <row r="70" spans="1:26" ht="28.5" x14ac:dyDescent="0.2">
      <c r="A70" s="3" t="s">
        <v>515</v>
      </c>
      <c r="B70" s="3" t="s">
        <v>516</v>
      </c>
      <c r="C70" s="4">
        <v>21</v>
      </c>
      <c r="D70" s="3" t="s">
        <v>160</v>
      </c>
      <c r="E70" s="3" t="s">
        <v>147</v>
      </c>
      <c r="F70" s="3" t="s">
        <v>517</v>
      </c>
      <c r="G70" s="3">
        <v>45403</v>
      </c>
      <c r="H70" s="3" t="s">
        <v>891</v>
      </c>
      <c r="I70" s="3" t="s">
        <v>25</v>
      </c>
      <c r="J70" s="3" t="s">
        <v>161</v>
      </c>
      <c r="K70" s="34"/>
      <c r="L70" s="34"/>
      <c r="M70" s="34"/>
      <c r="N70" s="34"/>
      <c r="O70" s="34"/>
      <c r="P70" s="34"/>
      <c r="Q70" s="34"/>
      <c r="R70" s="34"/>
      <c r="S70" s="34"/>
      <c r="T70" s="34"/>
      <c r="U70" s="34"/>
      <c r="V70" s="34"/>
      <c r="W70" s="34"/>
      <c r="X70" s="34"/>
      <c r="Y70" s="34"/>
      <c r="Z70" s="34"/>
    </row>
    <row r="71" spans="1:26" ht="28.5" x14ac:dyDescent="0.2">
      <c r="A71" s="3" t="s">
        <v>519</v>
      </c>
      <c r="B71" s="3" t="s">
        <v>520</v>
      </c>
      <c r="C71" s="4">
        <v>79</v>
      </c>
      <c r="D71" s="3" t="s">
        <v>146</v>
      </c>
      <c r="E71" s="3" t="s">
        <v>521</v>
      </c>
      <c r="F71" s="3" t="s">
        <v>522</v>
      </c>
      <c r="G71" s="3">
        <v>45450</v>
      </c>
      <c r="H71" s="3" t="s">
        <v>891</v>
      </c>
      <c r="I71" s="3" t="s">
        <v>26</v>
      </c>
      <c r="J71" s="3">
        <v>44927</v>
      </c>
      <c r="K71" s="34"/>
      <c r="L71" s="34"/>
      <c r="M71" s="34"/>
      <c r="N71" s="34"/>
      <c r="O71" s="34"/>
      <c r="P71" s="34"/>
      <c r="Q71" s="34"/>
      <c r="R71" s="34"/>
      <c r="S71" s="34"/>
      <c r="T71" s="34"/>
      <c r="U71" s="34"/>
      <c r="V71" s="34"/>
      <c r="W71" s="34"/>
      <c r="X71" s="34"/>
      <c r="Y71" s="34"/>
      <c r="Z71" s="34"/>
    </row>
    <row r="72" spans="1:26" ht="28.5" x14ac:dyDescent="0.2">
      <c r="A72" s="3" t="s">
        <v>524</v>
      </c>
      <c r="B72" s="3" t="s">
        <v>846</v>
      </c>
      <c r="C72" s="4">
        <v>63</v>
      </c>
      <c r="D72" s="3" t="s">
        <v>146</v>
      </c>
      <c r="E72" s="3" t="s">
        <v>525</v>
      </c>
      <c r="F72" s="3" t="s">
        <v>526</v>
      </c>
      <c r="G72" s="3" t="s">
        <v>527</v>
      </c>
      <c r="H72" s="3" t="s">
        <v>891</v>
      </c>
      <c r="I72" s="34"/>
      <c r="J72" s="3" t="s">
        <v>939</v>
      </c>
      <c r="K72" s="34"/>
      <c r="L72" s="34"/>
      <c r="M72" s="34"/>
      <c r="N72" s="34"/>
      <c r="O72" s="34"/>
      <c r="P72" s="34"/>
      <c r="Q72" s="34"/>
      <c r="R72" s="34"/>
      <c r="S72" s="34"/>
      <c r="T72" s="34"/>
      <c r="U72" s="34"/>
      <c r="V72" s="34"/>
      <c r="W72" s="34"/>
      <c r="X72" s="34"/>
      <c r="Y72" s="34"/>
      <c r="Z72" s="34"/>
    </row>
    <row r="73" spans="1:26" ht="28.5" x14ac:dyDescent="0.2">
      <c r="A73" s="3" t="s">
        <v>528</v>
      </c>
      <c r="B73" s="3" t="s">
        <v>529</v>
      </c>
      <c r="C73" s="4">
        <v>27</v>
      </c>
      <c r="D73" s="3" t="s">
        <v>146</v>
      </c>
      <c r="E73" s="3" t="s">
        <v>530</v>
      </c>
      <c r="F73" s="3" t="s">
        <v>531</v>
      </c>
      <c r="G73" s="3" t="s">
        <v>532</v>
      </c>
      <c r="H73" s="3" t="s">
        <v>891</v>
      </c>
      <c r="I73" s="3" t="s">
        <v>27</v>
      </c>
      <c r="J73" s="3" t="s">
        <v>951</v>
      </c>
      <c r="K73" s="34"/>
      <c r="L73" s="34"/>
      <c r="M73" s="34"/>
      <c r="N73" s="34"/>
      <c r="O73" s="34"/>
      <c r="P73" s="34"/>
      <c r="Q73" s="34"/>
      <c r="R73" s="34"/>
      <c r="S73" s="34"/>
      <c r="T73" s="34"/>
      <c r="U73" s="34"/>
      <c r="V73" s="34"/>
      <c r="W73" s="34"/>
      <c r="X73" s="34"/>
      <c r="Y73" s="34"/>
      <c r="Z73" s="34"/>
    </row>
    <row r="74" spans="1:26" ht="28.5" x14ac:dyDescent="0.2">
      <c r="A74" s="3" t="s">
        <v>533</v>
      </c>
      <c r="B74" s="3" t="s">
        <v>534</v>
      </c>
      <c r="C74" s="4">
        <v>66</v>
      </c>
      <c r="D74" s="3" t="s">
        <v>160</v>
      </c>
      <c r="E74" s="3" t="s">
        <v>535</v>
      </c>
      <c r="F74" s="3" t="s">
        <v>198</v>
      </c>
      <c r="G74" s="3" t="s">
        <v>536</v>
      </c>
      <c r="H74" s="3">
        <v>42889</v>
      </c>
      <c r="I74" s="34"/>
      <c r="J74" s="3">
        <v>44736</v>
      </c>
      <c r="K74" s="34"/>
      <c r="L74" s="34"/>
      <c r="M74" s="34"/>
      <c r="N74" s="34"/>
      <c r="O74" s="34"/>
      <c r="P74" s="34"/>
      <c r="Q74" s="34"/>
      <c r="R74" s="34"/>
      <c r="S74" s="34"/>
      <c r="T74" s="34"/>
      <c r="U74" s="34"/>
      <c r="V74" s="34"/>
      <c r="W74" s="34"/>
      <c r="X74" s="34"/>
      <c r="Y74" s="34"/>
      <c r="Z74" s="34"/>
    </row>
    <row r="75" spans="1:26" ht="28.5" x14ac:dyDescent="0.2">
      <c r="A75" s="3" t="s">
        <v>537</v>
      </c>
      <c r="B75" s="3" t="s">
        <v>538</v>
      </c>
      <c r="C75" s="4">
        <v>54</v>
      </c>
      <c r="D75" s="3" t="s">
        <v>160</v>
      </c>
      <c r="E75" s="3" t="s">
        <v>539</v>
      </c>
      <c r="F75" s="3" t="s">
        <v>343</v>
      </c>
      <c r="G75" s="3" t="s">
        <v>540</v>
      </c>
      <c r="H75" s="3" t="s">
        <v>541</v>
      </c>
      <c r="I75" s="3" t="s">
        <v>28</v>
      </c>
      <c r="J75" s="3">
        <v>44927</v>
      </c>
      <c r="K75" s="34"/>
      <c r="L75" s="34"/>
      <c r="M75" s="34"/>
      <c r="N75" s="34"/>
      <c r="O75" s="34"/>
      <c r="P75" s="34"/>
      <c r="Q75" s="34"/>
      <c r="R75" s="34"/>
      <c r="S75" s="34"/>
      <c r="T75" s="34"/>
      <c r="U75" s="34"/>
      <c r="V75" s="34"/>
      <c r="W75" s="34"/>
      <c r="X75" s="34"/>
      <c r="Y75" s="34"/>
      <c r="Z75" s="34"/>
    </row>
    <row r="76" spans="1:26" ht="28.5" x14ac:dyDescent="0.2">
      <c r="A76" s="3" t="s">
        <v>543</v>
      </c>
      <c r="B76" s="3" t="s">
        <v>544</v>
      </c>
      <c r="C76" s="4">
        <v>55</v>
      </c>
      <c r="D76" s="3" t="s">
        <v>160</v>
      </c>
      <c r="E76" s="3" t="s">
        <v>545</v>
      </c>
      <c r="F76" s="3">
        <v>45476</v>
      </c>
      <c r="G76" s="3" t="s">
        <v>546</v>
      </c>
      <c r="H76" s="3" t="s">
        <v>335</v>
      </c>
      <c r="I76" s="3" t="s">
        <v>29</v>
      </c>
      <c r="J76" s="3" t="s">
        <v>939</v>
      </c>
      <c r="K76" s="34"/>
      <c r="L76" s="34"/>
      <c r="M76" s="34"/>
      <c r="N76" s="34"/>
      <c r="O76" s="34"/>
      <c r="P76" s="34"/>
      <c r="Q76" s="34"/>
      <c r="R76" s="34"/>
      <c r="S76" s="34"/>
      <c r="T76" s="34"/>
      <c r="U76" s="34"/>
      <c r="V76" s="34"/>
      <c r="W76" s="34"/>
      <c r="X76" s="34"/>
      <c r="Y76" s="34"/>
      <c r="Z76" s="34"/>
    </row>
    <row r="77" spans="1:26" ht="28.5" x14ac:dyDescent="0.2">
      <c r="A77" s="3" t="s">
        <v>548</v>
      </c>
      <c r="B77" s="3" t="s">
        <v>549</v>
      </c>
      <c r="C77" s="4">
        <v>69</v>
      </c>
      <c r="D77" s="3" t="s">
        <v>160</v>
      </c>
      <c r="E77" s="3" t="s">
        <v>398</v>
      </c>
      <c r="F77" s="3" t="s">
        <v>550</v>
      </c>
      <c r="G77" s="3" t="s">
        <v>551</v>
      </c>
      <c r="H77" s="3" t="s">
        <v>335</v>
      </c>
      <c r="I77" s="3" t="s">
        <v>30</v>
      </c>
      <c r="J77" s="3">
        <v>45406</v>
      </c>
      <c r="K77" s="34"/>
      <c r="L77" s="34"/>
      <c r="M77" s="34"/>
      <c r="N77" s="34"/>
      <c r="O77" s="34"/>
      <c r="P77" s="34"/>
      <c r="Q77" s="34"/>
      <c r="R77" s="34"/>
      <c r="S77" s="34"/>
      <c r="T77" s="34"/>
      <c r="U77" s="34"/>
      <c r="V77" s="34"/>
      <c r="W77" s="34"/>
      <c r="X77" s="34"/>
      <c r="Y77" s="34"/>
      <c r="Z77" s="34"/>
    </row>
    <row r="78" spans="1:26" ht="28.5" x14ac:dyDescent="0.2">
      <c r="A78" s="3" t="s">
        <v>553</v>
      </c>
      <c r="B78" s="3" t="s">
        <v>554</v>
      </c>
      <c r="C78" s="4">
        <v>23</v>
      </c>
      <c r="D78" s="3" t="s">
        <v>146</v>
      </c>
      <c r="E78" s="3" t="s">
        <v>555</v>
      </c>
      <c r="F78" s="3" t="s">
        <v>556</v>
      </c>
      <c r="G78" s="3" t="s">
        <v>557</v>
      </c>
      <c r="H78" s="3" t="s">
        <v>335</v>
      </c>
      <c r="I78" s="3" t="s">
        <v>31</v>
      </c>
      <c r="J78" s="34"/>
      <c r="K78" s="34"/>
      <c r="L78" s="34"/>
      <c r="M78" s="34"/>
      <c r="N78" s="34"/>
      <c r="O78" s="34"/>
      <c r="P78" s="34"/>
      <c r="Q78" s="34"/>
      <c r="R78" s="34"/>
      <c r="S78" s="34"/>
      <c r="T78" s="34"/>
      <c r="U78" s="34"/>
      <c r="V78" s="34"/>
      <c r="W78" s="34"/>
      <c r="X78" s="34"/>
      <c r="Y78" s="34"/>
      <c r="Z78" s="34"/>
    </row>
    <row r="79" spans="1:26" ht="42.75" x14ac:dyDescent="0.2">
      <c r="A79" s="3" t="s">
        <v>559</v>
      </c>
      <c r="B79" s="3" t="s">
        <v>560</v>
      </c>
      <c r="C79" s="4">
        <v>22</v>
      </c>
      <c r="D79" s="3" t="s">
        <v>146</v>
      </c>
      <c r="E79" s="3" t="s">
        <v>561</v>
      </c>
      <c r="F79" s="3" t="s">
        <v>329</v>
      </c>
      <c r="G79" s="3" t="s">
        <v>562</v>
      </c>
      <c r="H79" s="3" t="s">
        <v>335</v>
      </c>
      <c r="I79" s="3" t="s">
        <v>32</v>
      </c>
      <c r="J79" s="3" t="s">
        <v>33</v>
      </c>
      <c r="K79" s="34"/>
      <c r="L79" s="34"/>
      <c r="M79" s="34"/>
      <c r="N79" s="34"/>
      <c r="O79" s="34"/>
      <c r="P79" s="34"/>
      <c r="Q79" s="34"/>
      <c r="R79" s="34"/>
      <c r="S79" s="34"/>
      <c r="T79" s="34"/>
      <c r="U79" s="34"/>
      <c r="V79" s="34"/>
      <c r="W79" s="34"/>
      <c r="X79" s="34"/>
      <c r="Y79" s="34"/>
      <c r="Z79" s="34"/>
    </row>
    <row r="80" spans="1:26" ht="28.5" x14ac:dyDescent="0.2">
      <c r="A80" s="3" t="s">
        <v>563</v>
      </c>
      <c r="B80" s="3" t="s">
        <v>847</v>
      </c>
      <c r="C80" s="4">
        <v>21</v>
      </c>
      <c r="D80" s="3" t="s">
        <v>146</v>
      </c>
      <c r="E80" s="3" t="s">
        <v>564</v>
      </c>
      <c r="F80" s="3" t="s">
        <v>565</v>
      </c>
      <c r="G80" s="3" t="s">
        <v>566</v>
      </c>
      <c r="H80" s="3" t="s">
        <v>335</v>
      </c>
      <c r="I80" s="3" t="s">
        <v>34</v>
      </c>
      <c r="J80" s="3" t="s">
        <v>35</v>
      </c>
      <c r="K80" s="34"/>
      <c r="L80" s="34"/>
      <c r="M80" s="34"/>
      <c r="N80" s="34"/>
      <c r="O80" s="34"/>
      <c r="P80" s="34"/>
      <c r="Q80" s="34"/>
      <c r="R80" s="34"/>
      <c r="S80" s="34"/>
      <c r="T80" s="34"/>
      <c r="U80" s="34"/>
      <c r="V80" s="34"/>
      <c r="W80" s="34"/>
      <c r="X80" s="34"/>
      <c r="Y80" s="34"/>
      <c r="Z80" s="34"/>
    </row>
    <row r="81" spans="1:26" ht="57" x14ac:dyDescent="0.2">
      <c r="A81" s="3" t="s">
        <v>569</v>
      </c>
      <c r="B81" s="3" t="s">
        <v>570</v>
      </c>
      <c r="C81" s="4">
        <v>25</v>
      </c>
      <c r="D81" s="3" t="s">
        <v>160</v>
      </c>
      <c r="E81" s="3">
        <v>45094</v>
      </c>
      <c r="F81" s="3">
        <v>45004</v>
      </c>
      <c r="G81" s="3" t="s">
        <v>571</v>
      </c>
      <c r="H81" s="3" t="s">
        <v>572</v>
      </c>
      <c r="I81" s="3" t="s">
        <v>36</v>
      </c>
      <c r="J81" s="3" t="s">
        <v>37</v>
      </c>
      <c r="K81" s="34"/>
      <c r="L81" s="34"/>
      <c r="M81" s="34"/>
      <c r="N81" s="34"/>
      <c r="O81" s="34"/>
      <c r="P81" s="34"/>
      <c r="Q81" s="34"/>
      <c r="R81" s="34"/>
      <c r="S81" s="34"/>
      <c r="T81" s="34"/>
      <c r="U81" s="34"/>
      <c r="V81" s="34"/>
      <c r="W81" s="34"/>
      <c r="X81" s="34"/>
      <c r="Y81" s="34"/>
      <c r="Z81" s="34"/>
    </row>
    <row r="82" spans="1:26" ht="28.5" x14ac:dyDescent="0.2">
      <c r="A82" s="3" t="s">
        <v>574</v>
      </c>
      <c r="B82" s="3" t="s">
        <v>575</v>
      </c>
      <c r="C82" s="4">
        <v>73</v>
      </c>
      <c r="D82" s="3" t="s">
        <v>146</v>
      </c>
      <c r="E82" s="3" t="s">
        <v>147</v>
      </c>
      <c r="F82" s="3" t="s">
        <v>576</v>
      </c>
      <c r="G82" s="3" t="s">
        <v>577</v>
      </c>
      <c r="H82" s="3" t="s">
        <v>578</v>
      </c>
      <c r="I82" s="3" t="s">
        <v>38</v>
      </c>
      <c r="J82" s="3" t="s">
        <v>39</v>
      </c>
      <c r="K82" s="34"/>
      <c r="L82" s="34"/>
      <c r="M82" s="34"/>
      <c r="N82" s="34"/>
      <c r="O82" s="34"/>
      <c r="P82" s="34"/>
      <c r="Q82" s="34"/>
      <c r="R82" s="34"/>
      <c r="S82" s="34"/>
      <c r="T82" s="34"/>
      <c r="U82" s="34"/>
      <c r="V82" s="34"/>
      <c r="W82" s="34"/>
      <c r="X82" s="34"/>
      <c r="Y82" s="34"/>
      <c r="Z82" s="34"/>
    </row>
    <row r="83" spans="1:26" ht="42.75" x14ac:dyDescent="0.2">
      <c r="A83" s="3" t="s">
        <v>579</v>
      </c>
      <c r="B83" s="3" t="s">
        <v>580</v>
      </c>
      <c r="C83" s="4">
        <v>23</v>
      </c>
      <c r="D83" s="3" t="s">
        <v>146</v>
      </c>
      <c r="E83" s="3" t="s">
        <v>198</v>
      </c>
      <c r="F83" s="3" t="s">
        <v>581</v>
      </c>
      <c r="G83" s="3" t="s">
        <v>582</v>
      </c>
      <c r="H83" s="3" t="s">
        <v>430</v>
      </c>
      <c r="I83" s="3">
        <v>20240125</v>
      </c>
      <c r="J83" s="3" t="s">
        <v>40</v>
      </c>
      <c r="K83" s="34"/>
      <c r="L83" s="34"/>
      <c r="M83" s="34"/>
      <c r="N83" s="34"/>
      <c r="O83" s="34"/>
      <c r="P83" s="34"/>
      <c r="Q83" s="34"/>
      <c r="R83" s="34"/>
      <c r="S83" s="34"/>
      <c r="T83" s="34"/>
      <c r="U83" s="34"/>
      <c r="V83" s="34"/>
      <c r="W83" s="34"/>
      <c r="X83" s="34"/>
      <c r="Y83" s="34"/>
      <c r="Z83" s="34"/>
    </row>
    <row r="84" spans="1:26" ht="28.5" x14ac:dyDescent="0.2">
      <c r="A84" s="3" t="s">
        <v>583</v>
      </c>
      <c r="B84" s="3" t="s">
        <v>584</v>
      </c>
      <c r="C84" s="4">
        <v>73</v>
      </c>
      <c r="D84" s="3" t="s">
        <v>146</v>
      </c>
      <c r="E84" s="3" t="s">
        <v>585</v>
      </c>
      <c r="F84" s="3" t="s">
        <v>526</v>
      </c>
      <c r="G84" s="3" t="s">
        <v>586</v>
      </c>
      <c r="H84" s="3" t="s">
        <v>430</v>
      </c>
      <c r="I84" s="3" t="s">
        <v>41</v>
      </c>
      <c r="J84" s="3">
        <v>20230809</v>
      </c>
      <c r="K84" s="34"/>
      <c r="L84" s="34"/>
      <c r="M84" s="34"/>
      <c r="N84" s="34"/>
      <c r="O84" s="34"/>
      <c r="P84" s="34"/>
      <c r="Q84" s="34"/>
      <c r="R84" s="34"/>
      <c r="S84" s="34"/>
      <c r="T84" s="34"/>
      <c r="U84" s="34"/>
      <c r="V84" s="34"/>
      <c r="W84" s="34"/>
      <c r="X84" s="34"/>
      <c r="Y84" s="34"/>
      <c r="Z84" s="34"/>
    </row>
    <row r="85" spans="1:26" ht="28.5" x14ac:dyDescent="0.2">
      <c r="A85" s="3" t="s">
        <v>588</v>
      </c>
      <c r="B85" s="3" t="s">
        <v>589</v>
      </c>
      <c r="C85" s="4">
        <v>82</v>
      </c>
      <c r="D85" s="3" t="s">
        <v>160</v>
      </c>
      <c r="E85" s="3" t="s">
        <v>590</v>
      </c>
      <c r="F85" s="3" t="s">
        <v>591</v>
      </c>
      <c r="G85" s="3" t="s">
        <v>592</v>
      </c>
      <c r="H85" s="3" t="s">
        <v>507</v>
      </c>
      <c r="I85" s="34"/>
      <c r="J85" s="3">
        <v>45356</v>
      </c>
      <c r="K85" s="34"/>
      <c r="L85" s="34"/>
      <c r="M85" s="34"/>
      <c r="N85" s="34"/>
      <c r="O85" s="34"/>
      <c r="P85" s="34"/>
      <c r="Q85" s="34"/>
      <c r="R85" s="34"/>
      <c r="S85" s="34"/>
      <c r="T85" s="34"/>
      <c r="U85" s="34"/>
      <c r="V85" s="34"/>
      <c r="W85" s="34"/>
      <c r="X85" s="34"/>
      <c r="Y85" s="34"/>
      <c r="Z85" s="34"/>
    </row>
    <row r="86" spans="1:26" ht="28.5" x14ac:dyDescent="0.2">
      <c r="A86" s="3" t="s">
        <v>593</v>
      </c>
      <c r="B86" s="3" t="s">
        <v>594</v>
      </c>
      <c r="C86" s="4">
        <v>37</v>
      </c>
      <c r="D86" s="3" t="s">
        <v>160</v>
      </c>
      <c r="E86" s="3" t="s">
        <v>147</v>
      </c>
      <c r="F86" s="3" t="s">
        <v>595</v>
      </c>
      <c r="G86" s="3" t="s">
        <v>330</v>
      </c>
      <c r="H86" s="3" t="s">
        <v>507</v>
      </c>
      <c r="I86" s="3" t="s">
        <v>42</v>
      </c>
      <c r="J86" s="3" t="s">
        <v>43</v>
      </c>
      <c r="K86" s="34"/>
      <c r="L86" s="34"/>
      <c r="M86" s="34"/>
      <c r="N86" s="34"/>
      <c r="O86" s="34"/>
      <c r="P86" s="34"/>
      <c r="Q86" s="34"/>
      <c r="R86" s="34"/>
      <c r="S86" s="34"/>
      <c r="T86" s="34"/>
      <c r="U86" s="34"/>
      <c r="V86" s="34"/>
      <c r="W86" s="34"/>
      <c r="X86" s="34"/>
      <c r="Y86" s="34"/>
      <c r="Z86" s="34"/>
    </row>
    <row r="87" spans="1:26" ht="28.5" x14ac:dyDescent="0.2">
      <c r="A87" s="3" t="s">
        <v>598</v>
      </c>
      <c r="B87" s="3" t="s">
        <v>599</v>
      </c>
      <c r="C87" s="4">
        <v>63</v>
      </c>
      <c r="D87" s="3" t="s">
        <v>146</v>
      </c>
      <c r="E87" s="3" t="s">
        <v>147</v>
      </c>
      <c r="F87" s="3" t="s">
        <v>260</v>
      </c>
      <c r="G87" s="3" t="s">
        <v>600</v>
      </c>
      <c r="H87" s="3">
        <v>43587</v>
      </c>
      <c r="I87" s="3" t="s">
        <v>44</v>
      </c>
      <c r="J87" s="3" t="s">
        <v>45</v>
      </c>
      <c r="K87" s="34"/>
      <c r="L87" s="34"/>
      <c r="M87" s="34"/>
      <c r="N87" s="34"/>
      <c r="O87" s="34"/>
      <c r="P87" s="34"/>
      <c r="Q87" s="34"/>
      <c r="R87" s="34"/>
      <c r="S87" s="34"/>
      <c r="T87" s="34"/>
      <c r="U87" s="34"/>
      <c r="V87" s="34"/>
      <c r="W87" s="34"/>
      <c r="X87" s="34"/>
      <c r="Y87" s="34"/>
      <c r="Z87" s="34"/>
    </row>
    <row r="88" spans="1:26" ht="28.5" x14ac:dyDescent="0.2">
      <c r="A88" s="3" t="s">
        <v>602</v>
      </c>
      <c r="B88" s="3" t="s">
        <v>603</v>
      </c>
      <c r="C88" s="4">
        <v>53</v>
      </c>
      <c r="D88" s="3" t="s">
        <v>160</v>
      </c>
      <c r="E88" s="3" t="s">
        <v>604</v>
      </c>
      <c r="F88" s="3">
        <v>45343</v>
      </c>
      <c r="G88" s="3" t="s">
        <v>605</v>
      </c>
      <c r="H88" s="3">
        <v>43587</v>
      </c>
      <c r="I88" s="3" t="s">
        <v>46</v>
      </c>
      <c r="J88" s="3" t="s">
        <v>47</v>
      </c>
      <c r="K88" s="34"/>
      <c r="L88" s="34"/>
      <c r="M88" s="34"/>
      <c r="N88" s="34"/>
      <c r="O88" s="34"/>
      <c r="P88" s="34"/>
      <c r="Q88" s="34"/>
      <c r="R88" s="34"/>
      <c r="S88" s="34"/>
      <c r="T88" s="34"/>
      <c r="U88" s="34"/>
      <c r="V88" s="34"/>
      <c r="W88" s="34"/>
      <c r="X88" s="34"/>
      <c r="Y88" s="34"/>
      <c r="Z88" s="34"/>
    </row>
    <row r="89" spans="1:26" ht="28.5" x14ac:dyDescent="0.2">
      <c r="A89" s="3" t="s">
        <v>607</v>
      </c>
      <c r="B89" s="3" t="s">
        <v>608</v>
      </c>
      <c r="C89" s="4">
        <v>81</v>
      </c>
      <c r="D89" s="3" t="s">
        <v>160</v>
      </c>
      <c r="E89" s="3" t="s">
        <v>147</v>
      </c>
      <c r="F89" s="3" t="s">
        <v>609</v>
      </c>
      <c r="G89" s="3" t="s">
        <v>610</v>
      </c>
      <c r="H89" s="3">
        <v>43587</v>
      </c>
      <c r="I89" s="3" t="s">
        <v>48</v>
      </c>
      <c r="J89" s="3" t="s">
        <v>49</v>
      </c>
      <c r="K89" s="34"/>
      <c r="L89" s="34"/>
      <c r="M89" s="34"/>
      <c r="N89" s="34"/>
      <c r="O89" s="34"/>
      <c r="P89" s="34"/>
      <c r="Q89" s="34"/>
      <c r="R89" s="34"/>
      <c r="S89" s="34"/>
      <c r="T89" s="34"/>
      <c r="U89" s="34"/>
      <c r="V89" s="34"/>
      <c r="W89" s="34"/>
      <c r="X89" s="34"/>
      <c r="Y89" s="34"/>
      <c r="Z89" s="34"/>
    </row>
    <row r="90" spans="1:26" ht="28.5" x14ac:dyDescent="0.2">
      <c r="A90" s="3" t="s">
        <v>612</v>
      </c>
      <c r="B90" s="3" t="s">
        <v>848</v>
      </c>
      <c r="C90" s="4">
        <v>41</v>
      </c>
      <c r="D90" s="3" t="s">
        <v>146</v>
      </c>
      <c r="E90" s="3" t="s">
        <v>613</v>
      </c>
      <c r="F90" s="3" t="s">
        <v>397</v>
      </c>
      <c r="G90" s="3" t="s">
        <v>614</v>
      </c>
      <c r="H90" s="3" t="s">
        <v>615</v>
      </c>
      <c r="I90" s="3">
        <v>20231227</v>
      </c>
      <c r="J90" s="3" t="s">
        <v>50</v>
      </c>
      <c r="K90" s="34"/>
      <c r="L90" s="34"/>
      <c r="M90" s="34"/>
      <c r="N90" s="34"/>
      <c r="O90" s="34"/>
      <c r="P90" s="34"/>
      <c r="Q90" s="34"/>
      <c r="R90" s="34"/>
      <c r="S90" s="34"/>
      <c r="T90" s="34"/>
      <c r="U90" s="34"/>
      <c r="V90" s="34"/>
      <c r="W90" s="34"/>
      <c r="X90" s="34"/>
      <c r="Y90" s="34"/>
      <c r="Z90" s="34"/>
    </row>
    <row r="91" spans="1:26" ht="28.5" x14ac:dyDescent="0.2">
      <c r="A91" s="3" t="s">
        <v>616</v>
      </c>
      <c r="B91" s="3" t="s">
        <v>617</v>
      </c>
      <c r="C91" s="4">
        <v>33</v>
      </c>
      <c r="D91" s="3" t="s">
        <v>160</v>
      </c>
      <c r="E91" s="3" t="s">
        <v>618</v>
      </c>
      <c r="F91" s="3" t="s">
        <v>619</v>
      </c>
      <c r="G91" s="3" t="s">
        <v>620</v>
      </c>
      <c r="H91" s="3" t="s">
        <v>615</v>
      </c>
      <c r="I91" s="3" t="s">
        <v>51</v>
      </c>
      <c r="J91" s="3" t="s">
        <v>52</v>
      </c>
      <c r="K91" s="34"/>
      <c r="L91" s="34"/>
      <c r="M91" s="34"/>
      <c r="N91" s="34"/>
      <c r="O91" s="34"/>
      <c r="P91" s="34"/>
      <c r="Q91" s="34"/>
      <c r="R91" s="34"/>
      <c r="S91" s="34"/>
      <c r="T91" s="34"/>
      <c r="U91" s="34"/>
      <c r="V91" s="34"/>
      <c r="W91" s="34"/>
      <c r="X91" s="34"/>
      <c r="Y91" s="34"/>
      <c r="Z91" s="34"/>
    </row>
    <row r="92" spans="1:26" ht="28.5" x14ac:dyDescent="0.2">
      <c r="A92" s="3" t="s">
        <v>622</v>
      </c>
      <c r="B92" s="3" t="s">
        <v>623</v>
      </c>
      <c r="C92" s="4">
        <v>67</v>
      </c>
      <c r="D92" s="3" t="s">
        <v>160</v>
      </c>
      <c r="E92" s="3" t="s">
        <v>624</v>
      </c>
      <c r="F92" s="3" t="s">
        <v>625</v>
      </c>
      <c r="G92" s="3" t="s">
        <v>626</v>
      </c>
      <c r="H92" s="3" t="s">
        <v>615</v>
      </c>
      <c r="I92" s="3" t="s">
        <v>53</v>
      </c>
      <c r="J92" s="3" t="s">
        <v>54</v>
      </c>
      <c r="K92" s="34"/>
      <c r="L92" s="34"/>
      <c r="M92" s="34"/>
      <c r="N92" s="34"/>
      <c r="O92" s="34"/>
      <c r="P92" s="34"/>
      <c r="Q92" s="34"/>
      <c r="R92" s="34"/>
      <c r="S92" s="34"/>
      <c r="T92" s="34"/>
      <c r="U92" s="34"/>
      <c r="V92" s="34"/>
      <c r="W92" s="34"/>
      <c r="X92" s="34"/>
      <c r="Y92" s="34"/>
      <c r="Z92" s="34"/>
    </row>
    <row r="93" spans="1:26" ht="28.5" x14ac:dyDescent="0.2">
      <c r="A93" s="3" t="s">
        <v>627</v>
      </c>
      <c r="B93" s="3" t="s">
        <v>628</v>
      </c>
      <c r="C93" s="4">
        <v>34</v>
      </c>
      <c r="D93" s="3" t="s">
        <v>160</v>
      </c>
      <c r="E93" s="3" t="s">
        <v>147</v>
      </c>
      <c r="F93" s="3" t="s">
        <v>591</v>
      </c>
      <c r="G93" s="3" t="s">
        <v>629</v>
      </c>
      <c r="H93" s="3" t="s">
        <v>615</v>
      </c>
      <c r="I93" s="3" t="s">
        <v>55</v>
      </c>
      <c r="J93" s="3" t="s">
        <v>56</v>
      </c>
      <c r="K93" s="34"/>
      <c r="L93" s="34"/>
      <c r="M93" s="34"/>
      <c r="N93" s="34"/>
      <c r="O93" s="34"/>
      <c r="P93" s="34"/>
      <c r="Q93" s="34"/>
      <c r="R93" s="34"/>
      <c r="S93" s="34"/>
      <c r="T93" s="34"/>
      <c r="U93" s="34"/>
      <c r="V93" s="34"/>
      <c r="W93" s="34"/>
      <c r="X93" s="34"/>
      <c r="Y93" s="34"/>
      <c r="Z93" s="34"/>
    </row>
    <row r="94" spans="1:26" ht="28.5" x14ac:dyDescent="0.2">
      <c r="A94" s="3" t="s">
        <v>631</v>
      </c>
      <c r="B94" s="3" t="s">
        <v>632</v>
      </c>
      <c r="C94" s="4">
        <v>81</v>
      </c>
      <c r="D94" s="3" t="s">
        <v>146</v>
      </c>
      <c r="E94" s="3" t="s">
        <v>147</v>
      </c>
      <c r="F94" s="3" t="s">
        <v>633</v>
      </c>
      <c r="G94" s="3" t="s">
        <v>634</v>
      </c>
      <c r="H94" s="3" t="s">
        <v>615</v>
      </c>
      <c r="I94" s="3" t="s">
        <v>57</v>
      </c>
      <c r="J94" s="3" t="s">
        <v>58</v>
      </c>
      <c r="K94" s="34"/>
      <c r="L94" s="34"/>
      <c r="M94" s="34"/>
      <c r="N94" s="34"/>
      <c r="O94" s="34"/>
      <c r="P94" s="34"/>
      <c r="Q94" s="34"/>
      <c r="R94" s="34"/>
      <c r="S94" s="34"/>
      <c r="T94" s="34"/>
      <c r="U94" s="34"/>
      <c r="V94" s="34"/>
      <c r="W94" s="34"/>
      <c r="X94" s="34"/>
      <c r="Y94" s="34"/>
      <c r="Z94" s="34"/>
    </row>
    <row r="95" spans="1:26" ht="28.5" x14ac:dyDescent="0.2">
      <c r="A95" s="3" t="s">
        <v>636</v>
      </c>
      <c r="B95" s="3" t="s">
        <v>637</v>
      </c>
      <c r="C95" s="4">
        <v>59</v>
      </c>
      <c r="D95" s="3" t="s">
        <v>160</v>
      </c>
      <c r="E95" s="3" t="s">
        <v>638</v>
      </c>
      <c r="F95" s="3">
        <v>45198</v>
      </c>
      <c r="G95" s="3" t="s">
        <v>639</v>
      </c>
      <c r="H95" s="3" t="s">
        <v>615</v>
      </c>
      <c r="I95" s="3" t="s">
        <v>59</v>
      </c>
      <c r="J95" s="3">
        <v>44362</v>
      </c>
      <c r="K95" s="34"/>
      <c r="L95" s="34"/>
      <c r="M95" s="34"/>
      <c r="N95" s="34"/>
      <c r="O95" s="34"/>
      <c r="P95" s="34"/>
      <c r="Q95" s="34"/>
      <c r="R95" s="34"/>
      <c r="S95" s="34"/>
      <c r="T95" s="34"/>
      <c r="U95" s="34"/>
      <c r="V95" s="34"/>
      <c r="W95" s="34"/>
      <c r="X95" s="34"/>
      <c r="Y95" s="34"/>
      <c r="Z95" s="34"/>
    </row>
    <row r="96" spans="1:26" ht="28.5" x14ac:dyDescent="0.2">
      <c r="A96" s="3" t="s">
        <v>641</v>
      </c>
      <c r="B96" s="3" t="s">
        <v>642</v>
      </c>
      <c r="C96" s="4">
        <v>72</v>
      </c>
      <c r="D96" s="3" t="s">
        <v>146</v>
      </c>
      <c r="E96" s="3" t="s">
        <v>643</v>
      </c>
      <c r="F96" s="3" t="s">
        <v>644</v>
      </c>
      <c r="G96" s="3" t="s">
        <v>645</v>
      </c>
      <c r="H96" s="3" t="s">
        <v>615</v>
      </c>
      <c r="I96" s="3">
        <v>20240223</v>
      </c>
      <c r="J96" s="3" t="s">
        <v>60</v>
      </c>
      <c r="K96" s="34"/>
      <c r="L96" s="34"/>
      <c r="M96" s="34"/>
      <c r="N96" s="34"/>
      <c r="O96" s="34"/>
      <c r="P96" s="34"/>
      <c r="Q96" s="34"/>
      <c r="R96" s="34"/>
      <c r="S96" s="34"/>
      <c r="T96" s="34"/>
      <c r="U96" s="34"/>
      <c r="V96" s="34"/>
      <c r="W96" s="34"/>
      <c r="X96" s="34"/>
      <c r="Y96" s="34"/>
      <c r="Z96" s="34"/>
    </row>
    <row r="97" spans="1:26" ht="42.75" x14ac:dyDescent="0.2">
      <c r="A97" s="3" t="s">
        <v>646</v>
      </c>
      <c r="B97" s="3" t="s">
        <v>647</v>
      </c>
      <c r="C97" s="4">
        <v>43</v>
      </c>
      <c r="D97" s="3" t="s">
        <v>146</v>
      </c>
      <c r="E97" s="3">
        <v>45144</v>
      </c>
      <c r="F97" s="3" t="s">
        <v>648</v>
      </c>
      <c r="G97" s="3" t="s">
        <v>649</v>
      </c>
      <c r="H97" s="3">
        <v>43290</v>
      </c>
      <c r="I97" s="3">
        <v>20241206</v>
      </c>
      <c r="J97" s="3" t="s">
        <v>61</v>
      </c>
      <c r="K97" s="34"/>
      <c r="L97" s="34"/>
      <c r="M97" s="34"/>
      <c r="N97" s="34"/>
      <c r="O97" s="34"/>
      <c r="P97" s="34"/>
      <c r="Q97" s="34"/>
      <c r="R97" s="34"/>
      <c r="S97" s="34"/>
      <c r="T97" s="34"/>
      <c r="U97" s="34"/>
      <c r="V97" s="34"/>
      <c r="W97" s="34"/>
      <c r="X97" s="34"/>
      <c r="Y97" s="34"/>
      <c r="Z97" s="34"/>
    </row>
    <row r="98" spans="1:26" ht="28.5" x14ac:dyDescent="0.2">
      <c r="A98" s="3" t="s">
        <v>650</v>
      </c>
      <c r="B98" s="3" t="s">
        <v>651</v>
      </c>
      <c r="C98" s="4">
        <v>45</v>
      </c>
      <c r="D98" s="3" t="s">
        <v>160</v>
      </c>
      <c r="E98" s="3">
        <v>45332</v>
      </c>
      <c r="F98" s="3">
        <v>45604</v>
      </c>
      <c r="G98" s="3" t="s">
        <v>652</v>
      </c>
      <c r="H98" s="3" t="s">
        <v>653</v>
      </c>
      <c r="I98" s="3" t="s">
        <v>62</v>
      </c>
      <c r="J98" s="3" t="s">
        <v>63</v>
      </c>
      <c r="K98" s="34"/>
      <c r="L98" s="34"/>
      <c r="M98" s="34"/>
      <c r="N98" s="34"/>
      <c r="O98" s="34"/>
      <c r="P98" s="34"/>
      <c r="Q98" s="34"/>
      <c r="R98" s="34"/>
      <c r="S98" s="34"/>
      <c r="T98" s="34"/>
      <c r="U98" s="34"/>
      <c r="V98" s="34"/>
      <c r="W98" s="34"/>
      <c r="X98" s="34"/>
      <c r="Y98" s="34"/>
      <c r="Z98" s="34"/>
    </row>
    <row r="99" spans="1:26" ht="28.5" x14ac:dyDescent="0.2">
      <c r="A99" s="3" t="s">
        <v>655</v>
      </c>
      <c r="B99" s="3" t="s">
        <v>656</v>
      </c>
      <c r="C99" s="4">
        <v>79</v>
      </c>
      <c r="D99" s="3" t="s">
        <v>146</v>
      </c>
      <c r="E99" s="3" t="s">
        <v>657</v>
      </c>
      <c r="F99" s="3" t="s">
        <v>591</v>
      </c>
      <c r="G99" s="3" t="s">
        <v>658</v>
      </c>
      <c r="H99" s="3" t="s">
        <v>653</v>
      </c>
      <c r="I99" s="34"/>
      <c r="J99" s="3" t="s">
        <v>64</v>
      </c>
      <c r="K99" s="34"/>
      <c r="L99" s="34"/>
      <c r="M99" s="34"/>
      <c r="N99" s="34"/>
      <c r="O99" s="34"/>
      <c r="P99" s="34"/>
      <c r="Q99" s="34"/>
      <c r="R99" s="34"/>
      <c r="S99" s="34"/>
      <c r="T99" s="34"/>
      <c r="U99" s="34"/>
      <c r="V99" s="34"/>
      <c r="W99" s="34"/>
      <c r="X99" s="34"/>
      <c r="Y99" s="34"/>
      <c r="Z99" s="34"/>
    </row>
    <row r="100" spans="1:26" ht="28.5" x14ac:dyDescent="0.2">
      <c r="A100" s="3" t="s">
        <v>659</v>
      </c>
      <c r="B100" s="3" t="s">
        <v>660</v>
      </c>
      <c r="C100" s="4">
        <v>60</v>
      </c>
      <c r="D100" s="3" t="s">
        <v>146</v>
      </c>
      <c r="E100" s="3" t="s">
        <v>147</v>
      </c>
      <c r="F100" s="3" t="s">
        <v>661</v>
      </c>
      <c r="G100" s="3" t="s">
        <v>662</v>
      </c>
      <c r="H100" s="3" t="s">
        <v>653</v>
      </c>
      <c r="I100" s="34"/>
      <c r="J100" s="3" t="s">
        <v>65</v>
      </c>
      <c r="K100" s="34"/>
      <c r="L100" s="34"/>
      <c r="M100" s="34"/>
      <c r="N100" s="34"/>
      <c r="O100" s="34"/>
      <c r="P100" s="34"/>
      <c r="Q100" s="34"/>
      <c r="R100" s="34"/>
      <c r="S100" s="34"/>
      <c r="T100" s="34"/>
      <c r="U100" s="34"/>
      <c r="V100" s="34"/>
      <c r="W100" s="34"/>
      <c r="X100" s="34"/>
      <c r="Y100" s="34"/>
      <c r="Z100" s="34"/>
    </row>
    <row r="101" spans="1:26" ht="28.5" x14ac:dyDescent="0.2">
      <c r="A101" s="3" t="s">
        <v>663</v>
      </c>
      <c r="B101" s="3" t="s">
        <v>664</v>
      </c>
      <c r="C101" s="4">
        <v>72</v>
      </c>
      <c r="D101" s="3" t="s">
        <v>146</v>
      </c>
      <c r="E101" s="3" t="s">
        <v>665</v>
      </c>
      <c r="F101" s="3" t="s">
        <v>666</v>
      </c>
      <c r="G101" s="3" t="s">
        <v>667</v>
      </c>
      <c r="H101" s="3" t="s">
        <v>668</v>
      </c>
      <c r="I101" s="34"/>
      <c r="J101" s="3" t="s">
        <v>66</v>
      </c>
      <c r="K101" s="34"/>
      <c r="L101" s="34"/>
      <c r="M101" s="34"/>
      <c r="N101" s="34"/>
      <c r="O101" s="34"/>
      <c r="P101" s="34"/>
      <c r="Q101" s="34"/>
      <c r="R101" s="34"/>
      <c r="S101" s="34"/>
      <c r="T101" s="34"/>
      <c r="U101" s="34"/>
      <c r="V101" s="34"/>
      <c r="W101" s="34"/>
      <c r="X101" s="34"/>
      <c r="Y101" s="34"/>
      <c r="Z101" s="34"/>
    </row>
    <row r="102" spans="1:26" ht="28.5" x14ac:dyDescent="0.2">
      <c r="A102" s="3" t="s">
        <v>669</v>
      </c>
      <c r="B102" s="3" t="s">
        <v>670</v>
      </c>
      <c r="C102" s="4">
        <v>48</v>
      </c>
      <c r="D102" s="3" t="s">
        <v>146</v>
      </c>
      <c r="E102" s="3" t="s">
        <v>147</v>
      </c>
      <c r="F102" s="3" t="s">
        <v>393</v>
      </c>
      <c r="G102" s="3" t="s">
        <v>671</v>
      </c>
      <c r="H102" s="3" t="s">
        <v>672</v>
      </c>
      <c r="I102" s="3" t="s">
        <v>67</v>
      </c>
      <c r="J102" s="3" t="s">
        <v>68</v>
      </c>
      <c r="K102" s="34"/>
      <c r="L102" s="34"/>
      <c r="M102" s="34"/>
      <c r="N102" s="34"/>
      <c r="O102" s="34"/>
      <c r="P102" s="34"/>
      <c r="Q102" s="34"/>
      <c r="R102" s="34"/>
      <c r="S102" s="34"/>
      <c r="T102" s="34"/>
      <c r="U102" s="34"/>
      <c r="V102" s="34"/>
      <c r="W102" s="34"/>
      <c r="X102" s="34"/>
      <c r="Y102" s="34"/>
      <c r="Z102" s="34"/>
    </row>
    <row r="103" spans="1:26" ht="28.5" x14ac:dyDescent="0.2">
      <c r="A103" s="3" t="s">
        <v>675</v>
      </c>
      <c r="B103" s="3" t="s">
        <v>676</v>
      </c>
      <c r="C103" s="4">
        <v>34</v>
      </c>
      <c r="D103" s="3" t="s">
        <v>160</v>
      </c>
      <c r="E103" s="3" t="s">
        <v>677</v>
      </c>
      <c r="F103" s="3" t="s">
        <v>678</v>
      </c>
      <c r="G103" s="3" t="s">
        <v>679</v>
      </c>
      <c r="H103" s="3" t="s">
        <v>680</v>
      </c>
      <c r="I103" s="3" t="s">
        <v>69</v>
      </c>
      <c r="J103" s="3" t="s">
        <v>70</v>
      </c>
      <c r="K103" s="34"/>
      <c r="L103" s="34"/>
      <c r="M103" s="34"/>
      <c r="N103" s="34"/>
      <c r="O103" s="34"/>
      <c r="P103" s="34"/>
      <c r="Q103" s="34"/>
      <c r="R103" s="34"/>
      <c r="S103" s="34"/>
      <c r="T103" s="34"/>
      <c r="U103" s="34"/>
      <c r="V103" s="34"/>
      <c r="W103" s="34"/>
      <c r="X103" s="34"/>
      <c r="Y103" s="34"/>
      <c r="Z103" s="34"/>
    </row>
    <row r="104" spans="1:26" ht="28.5" x14ac:dyDescent="0.2">
      <c r="A104" s="3" t="s">
        <v>683</v>
      </c>
      <c r="B104" s="3" t="s">
        <v>684</v>
      </c>
      <c r="C104" s="4">
        <v>64</v>
      </c>
      <c r="D104" s="3" t="s">
        <v>160</v>
      </c>
      <c r="E104" s="3" t="s">
        <v>685</v>
      </c>
      <c r="F104" s="3" t="s">
        <v>591</v>
      </c>
      <c r="G104" s="3" t="s">
        <v>686</v>
      </c>
      <c r="H104" s="3">
        <v>43355</v>
      </c>
      <c r="I104" s="34"/>
      <c r="J104" s="3" t="s">
        <v>71</v>
      </c>
      <c r="K104" s="34"/>
      <c r="L104" s="34"/>
      <c r="M104" s="34"/>
      <c r="N104" s="34"/>
      <c r="O104" s="34"/>
      <c r="P104" s="34"/>
      <c r="Q104" s="34"/>
      <c r="R104" s="34"/>
      <c r="S104" s="34"/>
      <c r="T104" s="34"/>
      <c r="U104" s="34"/>
      <c r="V104" s="34"/>
      <c r="W104" s="34"/>
      <c r="X104" s="34"/>
      <c r="Y104" s="34"/>
      <c r="Z104" s="34"/>
    </row>
    <row r="105" spans="1:26" ht="28.5" x14ac:dyDescent="0.2">
      <c r="A105" s="3" t="s">
        <v>688</v>
      </c>
      <c r="B105" s="3" t="s">
        <v>689</v>
      </c>
      <c r="C105" s="4">
        <v>84</v>
      </c>
      <c r="D105" s="3" t="s">
        <v>146</v>
      </c>
      <c r="E105" s="3" t="s">
        <v>147</v>
      </c>
      <c r="F105" s="3" t="s">
        <v>690</v>
      </c>
      <c r="G105" s="3" t="s">
        <v>691</v>
      </c>
      <c r="H105" s="34"/>
      <c r="I105" s="34"/>
      <c r="J105" s="3" t="s">
        <v>72</v>
      </c>
      <c r="K105" s="34"/>
      <c r="L105" s="34"/>
      <c r="M105" s="34"/>
      <c r="N105" s="34"/>
      <c r="O105" s="34"/>
      <c r="P105" s="34"/>
      <c r="Q105" s="34"/>
      <c r="R105" s="34"/>
      <c r="S105" s="34"/>
      <c r="T105" s="34"/>
      <c r="U105" s="34"/>
      <c r="V105" s="34"/>
      <c r="W105" s="34"/>
      <c r="X105" s="34"/>
      <c r="Y105" s="34"/>
      <c r="Z105" s="34"/>
    </row>
    <row r="106" spans="1:26" ht="28.5" x14ac:dyDescent="0.2">
      <c r="A106" s="3" t="s">
        <v>693</v>
      </c>
      <c r="B106" s="3" t="s">
        <v>694</v>
      </c>
      <c r="C106" s="4">
        <v>28</v>
      </c>
      <c r="D106" s="3" t="s">
        <v>160</v>
      </c>
      <c r="E106" s="3" t="s">
        <v>147</v>
      </c>
      <c r="F106" s="3" t="s">
        <v>695</v>
      </c>
      <c r="G106" s="3" t="s">
        <v>696</v>
      </c>
      <c r="H106" s="3" t="s">
        <v>73</v>
      </c>
      <c r="I106" s="3">
        <v>20241220</v>
      </c>
      <c r="J106" s="3" t="s">
        <v>74</v>
      </c>
      <c r="K106" s="34"/>
      <c r="L106" s="34"/>
      <c r="M106" s="34"/>
      <c r="N106" s="34"/>
      <c r="O106" s="34"/>
      <c r="P106" s="34"/>
      <c r="Q106" s="34"/>
      <c r="R106" s="34"/>
      <c r="S106" s="34"/>
      <c r="T106" s="34"/>
      <c r="U106" s="34"/>
      <c r="V106" s="34"/>
      <c r="W106" s="34"/>
      <c r="X106" s="34"/>
      <c r="Y106" s="34"/>
      <c r="Z106" s="34"/>
    </row>
    <row r="107" spans="1:26" ht="28.5" x14ac:dyDescent="0.2">
      <c r="A107" s="3" t="s">
        <v>698</v>
      </c>
      <c r="B107" s="3" t="s">
        <v>699</v>
      </c>
      <c r="C107" s="4">
        <v>20</v>
      </c>
      <c r="D107" s="3" t="s">
        <v>160</v>
      </c>
      <c r="E107" s="3" t="s">
        <v>700</v>
      </c>
      <c r="F107" s="3">
        <v>45525</v>
      </c>
      <c r="G107" s="3" t="s">
        <v>645</v>
      </c>
      <c r="H107" s="3" t="s">
        <v>75</v>
      </c>
      <c r="I107" s="3" t="s">
        <v>76</v>
      </c>
      <c r="J107" s="3">
        <v>45451</v>
      </c>
      <c r="K107" s="34"/>
      <c r="L107" s="34"/>
      <c r="M107" s="34"/>
      <c r="N107" s="34"/>
      <c r="O107" s="34"/>
      <c r="P107" s="34"/>
      <c r="Q107" s="34"/>
      <c r="R107" s="34"/>
      <c r="S107" s="34"/>
      <c r="T107" s="34"/>
      <c r="U107" s="34"/>
      <c r="V107" s="34"/>
      <c r="W107" s="34"/>
      <c r="X107" s="34"/>
      <c r="Y107" s="34"/>
      <c r="Z107" s="34"/>
    </row>
    <row r="108" spans="1:26" ht="28.5" x14ac:dyDescent="0.2">
      <c r="A108" s="3" t="s">
        <v>703</v>
      </c>
      <c r="B108" s="3" t="s">
        <v>704</v>
      </c>
      <c r="C108" s="4">
        <v>27</v>
      </c>
      <c r="D108" s="3" t="s">
        <v>160</v>
      </c>
      <c r="E108" s="3" t="s">
        <v>705</v>
      </c>
      <c r="F108" s="3" t="s">
        <v>706</v>
      </c>
      <c r="G108" s="3" t="s">
        <v>649</v>
      </c>
      <c r="H108" s="3" t="s">
        <v>77</v>
      </c>
      <c r="I108" s="34"/>
      <c r="J108" s="34"/>
      <c r="K108" s="34"/>
      <c r="L108" s="34"/>
      <c r="M108" s="34"/>
      <c r="N108" s="34"/>
      <c r="O108" s="34"/>
      <c r="P108" s="34"/>
      <c r="Q108" s="34"/>
      <c r="R108" s="34"/>
      <c r="S108" s="34"/>
      <c r="T108" s="34"/>
      <c r="U108" s="34"/>
      <c r="V108" s="34"/>
      <c r="W108" s="34"/>
      <c r="X108" s="34"/>
      <c r="Y108" s="34"/>
      <c r="Z108" s="34"/>
    </row>
    <row r="109" spans="1:26" ht="28.5" x14ac:dyDescent="0.2">
      <c r="A109" s="3" t="s">
        <v>708</v>
      </c>
      <c r="B109" s="3" t="s">
        <v>709</v>
      </c>
      <c r="C109" s="4">
        <v>82</v>
      </c>
      <c r="D109" s="3" t="s">
        <v>160</v>
      </c>
      <c r="E109" s="3" t="s">
        <v>710</v>
      </c>
      <c r="F109" s="3" t="s">
        <v>711</v>
      </c>
      <c r="G109" s="3" t="s">
        <v>652</v>
      </c>
      <c r="H109" s="3" t="s">
        <v>78</v>
      </c>
      <c r="I109" s="3" t="s">
        <v>79</v>
      </c>
      <c r="J109" s="3" t="s">
        <v>80</v>
      </c>
      <c r="K109" s="34"/>
      <c r="L109" s="34"/>
      <c r="M109" s="34"/>
      <c r="N109" s="34"/>
      <c r="O109" s="34"/>
      <c r="P109" s="34"/>
      <c r="Q109" s="34"/>
      <c r="R109" s="34"/>
      <c r="S109" s="34"/>
      <c r="T109" s="34"/>
      <c r="U109" s="34"/>
      <c r="V109" s="34"/>
      <c r="W109" s="34"/>
      <c r="X109" s="34"/>
      <c r="Y109" s="34"/>
      <c r="Z109" s="34"/>
    </row>
    <row r="110" spans="1:26" ht="28.5" x14ac:dyDescent="0.2">
      <c r="A110" s="3" t="s">
        <v>713</v>
      </c>
      <c r="B110" s="3" t="s">
        <v>714</v>
      </c>
      <c r="C110" s="4">
        <v>30</v>
      </c>
      <c r="D110" s="3" t="s">
        <v>146</v>
      </c>
      <c r="E110" s="3" t="s">
        <v>715</v>
      </c>
      <c r="F110" s="3" t="s">
        <v>591</v>
      </c>
      <c r="G110" s="3" t="s">
        <v>658</v>
      </c>
      <c r="H110" s="3" t="s">
        <v>81</v>
      </c>
      <c r="I110" s="3" t="s">
        <v>82</v>
      </c>
      <c r="J110" s="3" t="s">
        <v>83</v>
      </c>
      <c r="K110" s="34"/>
      <c r="L110" s="34"/>
      <c r="M110" s="34"/>
      <c r="N110" s="34"/>
      <c r="O110" s="34"/>
      <c r="P110" s="34"/>
      <c r="Q110" s="34"/>
      <c r="R110" s="34"/>
      <c r="S110" s="34"/>
      <c r="T110" s="34"/>
      <c r="U110" s="34"/>
      <c r="V110" s="34"/>
      <c r="W110" s="34"/>
      <c r="X110" s="34"/>
      <c r="Y110" s="34"/>
      <c r="Z110" s="34"/>
    </row>
    <row r="111" spans="1:26" ht="28.5" x14ac:dyDescent="0.2">
      <c r="A111" s="3" t="s">
        <v>719</v>
      </c>
      <c r="B111" s="3" t="s">
        <v>720</v>
      </c>
      <c r="C111" s="4">
        <v>27</v>
      </c>
      <c r="D111" s="3" t="s">
        <v>146</v>
      </c>
      <c r="E111" s="3" t="s">
        <v>721</v>
      </c>
      <c r="F111" s="3" t="s">
        <v>722</v>
      </c>
      <c r="G111" s="3" t="s">
        <v>662</v>
      </c>
      <c r="H111" s="34"/>
      <c r="I111" s="3" t="s">
        <v>84</v>
      </c>
      <c r="J111" s="3" t="s">
        <v>85</v>
      </c>
      <c r="K111" s="34"/>
      <c r="L111" s="34"/>
      <c r="M111" s="34"/>
      <c r="N111" s="34"/>
      <c r="O111" s="34"/>
      <c r="P111" s="34"/>
      <c r="Q111" s="34"/>
      <c r="R111" s="34"/>
      <c r="S111" s="34"/>
      <c r="T111" s="34"/>
      <c r="U111" s="34"/>
      <c r="V111" s="34"/>
      <c r="W111" s="34"/>
      <c r="X111" s="34"/>
      <c r="Y111" s="34"/>
      <c r="Z111" s="34"/>
    </row>
    <row r="112" spans="1:26" ht="57" x14ac:dyDescent="0.2">
      <c r="A112" s="3" t="s">
        <v>723</v>
      </c>
      <c r="B112" s="3" t="s">
        <v>724</v>
      </c>
      <c r="C112" s="4">
        <v>21</v>
      </c>
      <c r="D112" s="3" t="s">
        <v>146</v>
      </c>
      <c r="E112" s="3" t="s">
        <v>725</v>
      </c>
      <c r="F112" s="3" t="s">
        <v>726</v>
      </c>
      <c r="G112" s="3" t="s">
        <v>667</v>
      </c>
      <c r="H112" s="3" t="s">
        <v>86</v>
      </c>
      <c r="I112" s="3" t="s">
        <v>87</v>
      </c>
      <c r="J112" s="3" t="s">
        <v>88</v>
      </c>
      <c r="K112" s="34"/>
      <c r="L112" s="34"/>
      <c r="M112" s="34"/>
      <c r="N112" s="34"/>
      <c r="O112" s="34"/>
      <c r="P112" s="34"/>
      <c r="Q112" s="34"/>
      <c r="R112" s="34"/>
      <c r="S112" s="34"/>
      <c r="T112" s="34"/>
      <c r="U112" s="34"/>
      <c r="V112" s="34"/>
      <c r="W112" s="34"/>
      <c r="X112" s="34"/>
      <c r="Y112" s="34"/>
      <c r="Z112" s="34"/>
    </row>
    <row r="113" spans="1:26" ht="28.5" x14ac:dyDescent="0.2">
      <c r="A113" s="3" t="s">
        <v>729</v>
      </c>
      <c r="B113" s="3" t="s">
        <v>730</v>
      </c>
      <c r="C113" s="4">
        <v>54</v>
      </c>
      <c r="D113" s="3" t="s">
        <v>160</v>
      </c>
      <c r="E113" s="3" t="s">
        <v>731</v>
      </c>
      <c r="F113" s="3" t="s">
        <v>732</v>
      </c>
      <c r="G113" s="3" t="s">
        <v>671</v>
      </c>
      <c r="H113" s="3" t="s">
        <v>89</v>
      </c>
      <c r="I113" s="34"/>
      <c r="J113" s="3" t="s">
        <v>90</v>
      </c>
      <c r="K113" s="34"/>
      <c r="L113" s="34"/>
      <c r="M113" s="34"/>
      <c r="N113" s="34"/>
      <c r="O113" s="34"/>
      <c r="P113" s="34"/>
      <c r="Q113" s="34"/>
      <c r="R113" s="34"/>
      <c r="S113" s="34"/>
      <c r="T113" s="34"/>
      <c r="U113" s="34"/>
      <c r="V113" s="34"/>
      <c r="W113" s="34"/>
      <c r="X113" s="34"/>
      <c r="Y113" s="34"/>
      <c r="Z113" s="34"/>
    </row>
    <row r="114" spans="1:26" ht="42.75" x14ac:dyDescent="0.2">
      <c r="A114" s="3" t="s">
        <v>734</v>
      </c>
      <c r="B114" s="3" t="s">
        <v>735</v>
      </c>
      <c r="C114" s="4">
        <v>54</v>
      </c>
      <c r="D114" s="3" t="s">
        <v>160</v>
      </c>
      <c r="E114" s="3" t="s">
        <v>199</v>
      </c>
      <c r="F114" s="3" t="s">
        <v>591</v>
      </c>
      <c r="G114" s="3" t="s">
        <v>679</v>
      </c>
      <c r="H114" s="3" t="s">
        <v>91</v>
      </c>
      <c r="I114" s="3" t="s">
        <v>92</v>
      </c>
      <c r="J114" s="3" t="s">
        <v>93</v>
      </c>
      <c r="K114" s="34"/>
      <c r="L114" s="34"/>
      <c r="M114" s="34"/>
      <c r="N114" s="34"/>
      <c r="O114" s="34"/>
      <c r="P114" s="34"/>
      <c r="Q114" s="34"/>
      <c r="R114" s="34"/>
      <c r="S114" s="34"/>
      <c r="T114" s="34"/>
      <c r="U114" s="34"/>
      <c r="V114" s="34"/>
      <c r="W114" s="34"/>
      <c r="X114" s="34"/>
      <c r="Y114" s="34"/>
      <c r="Z114" s="34"/>
    </row>
    <row r="115" spans="1:26" ht="28.5" x14ac:dyDescent="0.2">
      <c r="A115" s="3" t="s">
        <v>738</v>
      </c>
      <c r="B115" s="3" t="s">
        <v>739</v>
      </c>
      <c r="C115" s="4">
        <v>52</v>
      </c>
      <c r="D115" s="3" t="s">
        <v>146</v>
      </c>
      <c r="E115" s="3" t="s">
        <v>206</v>
      </c>
      <c r="F115" s="3" t="s">
        <v>591</v>
      </c>
      <c r="G115" s="3" t="s">
        <v>740</v>
      </c>
      <c r="H115" s="3" t="s">
        <v>94</v>
      </c>
      <c r="I115" s="3" t="s">
        <v>95</v>
      </c>
      <c r="J115" s="3" t="s">
        <v>96</v>
      </c>
      <c r="K115" s="34"/>
      <c r="L115" s="34"/>
      <c r="M115" s="34"/>
      <c r="N115" s="34"/>
      <c r="O115" s="34"/>
      <c r="P115" s="34"/>
      <c r="Q115" s="34"/>
      <c r="R115" s="34"/>
      <c r="S115" s="34"/>
      <c r="T115" s="34"/>
      <c r="U115" s="34"/>
      <c r="V115" s="34"/>
      <c r="W115" s="34"/>
      <c r="X115" s="34"/>
      <c r="Y115" s="34"/>
      <c r="Z115" s="34"/>
    </row>
    <row r="116" spans="1:26" ht="28.5" x14ac:dyDescent="0.2">
      <c r="A116" s="3" t="s">
        <v>743</v>
      </c>
      <c r="B116" s="3" t="s">
        <v>744</v>
      </c>
      <c r="C116" s="4">
        <v>24</v>
      </c>
      <c r="D116" s="3" t="s">
        <v>146</v>
      </c>
      <c r="E116" s="3" t="s">
        <v>211</v>
      </c>
      <c r="F116" s="3" t="s">
        <v>745</v>
      </c>
      <c r="G116" s="3" t="s">
        <v>746</v>
      </c>
      <c r="H116" s="3" t="s">
        <v>97</v>
      </c>
      <c r="I116" s="3" t="s">
        <v>98</v>
      </c>
      <c r="J116" s="3" t="s">
        <v>99</v>
      </c>
      <c r="K116" s="34"/>
      <c r="L116" s="34"/>
      <c r="M116" s="34"/>
      <c r="N116" s="34"/>
      <c r="O116" s="34"/>
      <c r="P116" s="34"/>
      <c r="Q116" s="34"/>
      <c r="R116" s="34"/>
      <c r="S116" s="34"/>
      <c r="T116" s="34"/>
      <c r="U116" s="34"/>
      <c r="V116" s="34"/>
      <c r="W116" s="34"/>
      <c r="X116" s="34"/>
      <c r="Y116" s="34"/>
      <c r="Z116" s="34"/>
    </row>
    <row r="117" spans="1:26" ht="42.75" x14ac:dyDescent="0.2">
      <c r="A117" s="3" t="s">
        <v>748</v>
      </c>
      <c r="B117" s="3" t="s">
        <v>749</v>
      </c>
      <c r="C117" s="4">
        <v>60</v>
      </c>
      <c r="D117" s="3" t="s">
        <v>160</v>
      </c>
      <c r="E117" s="3" t="s">
        <v>216</v>
      </c>
      <c r="F117" s="3" t="s">
        <v>750</v>
      </c>
      <c r="G117" s="3" t="s">
        <v>751</v>
      </c>
      <c r="H117" s="3" t="s">
        <v>100</v>
      </c>
      <c r="I117" s="3" t="s">
        <v>101</v>
      </c>
      <c r="J117" s="3" t="s">
        <v>102</v>
      </c>
      <c r="K117" s="34"/>
      <c r="L117" s="34"/>
      <c r="M117" s="34"/>
      <c r="N117" s="34"/>
      <c r="O117" s="34"/>
      <c r="P117" s="34"/>
      <c r="Q117" s="34"/>
      <c r="R117" s="34"/>
      <c r="S117" s="34"/>
      <c r="T117" s="34"/>
      <c r="U117" s="34"/>
      <c r="V117" s="34"/>
      <c r="W117" s="34"/>
      <c r="X117" s="34"/>
      <c r="Y117" s="34"/>
      <c r="Z117" s="34"/>
    </row>
    <row r="118" spans="1:26" ht="28.5" x14ac:dyDescent="0.2">
      <c r="A118" s="3" t="s">
        <v>753</v>
      </c>
      <c r="B118" s="3" t="s">
        <v>754</v>
      </c>
      <c r="C118" s="4">
        <v>47</v>
      </c>
      <c r="D118" s="3" t="s">
        <v>146</v>
      </c>
      <c r="E118" s="3">
        <v>43843</v>
      </c>
      <c r="F118" s="3" t="s">
        <v>755</v>
      </c>
      <c r="G118" s="3" t="s">
        <v>756</v>
      </c>
      <c r="H118" s="3" t="s">
        <v>103</v>
      </c>
      <c r="I118" s="3" t="s">
        <v>104</v>
      </c>
      <c r="J118" s="3" t="s">
        <v>105</v>
      </c>
      <c r="K118" s="34"/>
      <c r="L118" s="34"/>
      <c r="M118" s="34"/>
      <c r="N118" s="34"/>
      <c r="O118" s="34"/>
      <c r="P118" s="34"/>
      <c r="Q118" s="34"/>
      <c r="R118" s="34"/>
      <c r="S118" s="34"/>
      <c r="T118" s="34"/>
      <c r="U118" s="34"/>
      <c r="V118" s="34"/>
      <c r="W118" s="34"/>
      <c r="X118" s="34"/>
      <c r="Y118" s="34"/>
      <c r="Z118" s="34"/>
    </row>
    <row r="119" spans="1:26" ht="28.5" x14ac:dyDescent="0.2">
      <c r="A119" s="3" t="s">
        <v>758</v>
      </c>
      <c r="B119" s="3" t="s">
        <v>759</v>
      </c>
      <c r="C119" s="4">
        <v>26</v>
      </c>
      <c r="D119" s="3" t="s">
        <v>160</v>
      </c>
      <c r="E119" s="3" t="s">
        <v>198</v>
      </c>
      <c r="F119" s="3" t="s">
        <v>760</v>
      </c>
      <c r="G119" s="3" t="s">
        <v>761</v>
      </c>
      <c r="H119" s="3" t="s">
        <v>106</v>
      </c>
      <c r="I119" s="3" t="s">
        <v>107</v>
      </c>
      <c r="J119" s="3" t="s">
        <v>108</v>
      </c>
      <c r="K119" s="34"/>
      <c r="L119" s="34"/>
      <c r="M119" s="34"/>
      <c r="N119" s="34"/>
      <c r="O119" s="34"/>
      <c r="P119" s="34"/>
      <c r="Q119" s="34"/>
      <c r="R119" s="34"/>
      <c r="S119" s="34"/>
      <c r="T119" s="34"/>
      <c r="U119" s="34"/>
      <c r="V119" s="34"/>
      <c r="W119" s="34"/>
      <c r="X119" s="34"/>
      <c r="Y119" s="34"/>
      <c r="Z119" s="34"/>
    </row>
    <row r="120" spans="1:26" ht="28.5" x14ac:dyDescent="0.2">
      <c r="A120" s="3" t="s">
        <v>763</v>
      </c>
      <c r="B120" s="3" t="s">
        <v>764</v>
      </c>
      <c r="C120" s="4">
        <v>31</v>
      </c>
      <c r="D120" s="3" t="s">
        <v>160</v>
      </c>
      <c r="E120" s="3" t="s">
        <v>765</v>
      </c>
      <c r="F120" s="3" t="s">
        <v>766</v>
      </c>
      <c r="G120" s="3" t="s">
        <v>767</v>
      </c>
      <c r="H120" s="34"/>
      <c r="I120" s="34"/>
      <c r="J120" s="3">
        <v>45540</v>
      </c>
      <c r="K120" s="34"/>
      <c r="L120" s="34"/>
      <c r="M120" s="34"/>
      <c r="N120" s="34"/>
      <c r="O120" s="34"/>
      <c r="P120" s="34"/>
      <c r="Q120" s="34"/>
      <c r="R120" s="34"/>
      <c r="S120" s="34"/>
      <c r="T120" s="34"/>
      <c r="U120" s="34"/>
      <c r="V120" s="34"/>
      <c r="W120" s="34"/>
      <c r="X120" s="34"/>
      <c r="Y120" s="34"/>
      <c r="Z120" s="34"/>
    </row>
    <row r="121" spans="1:26" ht="28.5" x14ac:dyDescent="0.2">
      <c r="A121" s="3" t="s">
        <v>768</v>
      </c>
      <c r="B121" s="3" t="s">
        <v>769</v>
      </c>
      <c r="C121" s="4">
        <v>53</v>
      </c>
      <c r="D121" s="3" t="s">
        <v>146</v>
      </c>
      <c r="E121" s="3" t="s">
        <v>147</v>
      </c>
      <c r="F121" s="3" t="s">
        <v>770</v>
      </c>
      <c r="G121" s="3" t="s">
        <v>771</v>
      </c>
      <c r="H121" s="3" t="s">
        <v>109</v>
      </c>
      <c r="I121" s="3" t="s">
        <v>110</v>
      </c>
      <c r="J121" s="3" t="s">
        <v>111</v>
      </c>
      <c r="K121" s="34"/>
      <c r="L121" s="34"/>
      <c r="M121" s="34"/>
      <c r="N121" s="34"/>
      <c r="O121" s="34"/>
      <c r="P121" s="34"/>
      <c r="Q121" s="34"/>
      <c r="R121" s="34"/>
      <c r="S121" s="34"/>
      <c r="T121" s="34"/>
      <c r="U121" s="34"/>
      <c r="V121" s="34"/>
      <c r="W121" s="34"/>
      <c r="X121" s="34"/>
      <c r="Y121" s="34"/>
      <c r="Z121" s="34"/>
    </row>
    <row r="122" spans="1:26" ht="28.5" x14ac:dyDescent="0.2">
      <c r="A122" s="3" t="s">
        <v>773</v>
      </c>
      <c r="B122" s="3" t="s">
        <v>774</v>
      </c>
      <c r="C122" s="4">
        <v>52</v>
      </c>
      <c r="D122" s="3" t="s">
        <v>146</v>
      </c>
      <c r="E122" s="3" t="s">
        <v>775</v>
      </c>
      <c r="F122" s="3" t="s">
        <v>776</v>
      </c>
      <c r="G122" s="3" t="s">
        <v>363</v>
      </c>
      <c r="H122" s="3" t="s">
        <v>112</v>
      </c>
      <c r="I122" s="3" t="s">
        <v>113</v>
      </c>
      <c r="J122" s="3">
        <v>44958</v>
      </c>
      <c r="K122" s="34"/>
      <c r="L122" s="34"/>
      <c r="M122" s="34"/>
      <c r="N122" s="34"/>
      <c r="O122" s="34"/>
      <c r="P122" s="34"/>
      <c r="Q122" s="34"/>
      <c r="R122" s="34"/>
      <c r="S122" s="34"/>
      <c r="T122" s="34"/>
      <c r="U122" s="34"/>
      <c r="V122" s="34"/>
      <c r="W122" s="34"/>
      <c r="X122" s="34"/>
      <c r="Y122" s="34"/>
      <c r="Z122" s="34"/>
    </row>
    <row r="123" spans="1:26" ht="57" x14ac:dyDescent="0.2">
      <c r="A123" s="3" t="s">
        <v>779</v>
      </c>
      <c r="B123" s="3" t="s">
        <v>780</v>
      </c>
      <c r="C123" s="4">
        <v>49</v>
      </c>
      <c r="D123" s="3" t="s">
        <v>160</v>
      </c>
      <c r="E123" s="3" t="s">
        <v>781</v>
      </c>
      <c r="F123" s="3" t="s">
        <v>726</v>
      </c>
      <c r="G123" s="3" t="s">
        <v>782</v>
      </c>
      <c r="H123" s="3" t="s">
        <v>114</v>
      </c>
      <c r="I123" s="3" t="s">
        <v>115</v>
      </c>
      <c r="J123" s="3">
        <v>45235</v>
      </c>
      <c r="K123" s="34"/>
      <c r="L123" s="34"/>
      <c r="M123" s="34"/>
      <c r="N123" s="34"/>
      <c r="O123" s="34"/>
      <c r="P123" s="34"/>
      <c r="Q123" s="34"/>
      <c r="R123" s="34"/>
      <c r="S123" s="34"/>
      <c r="T123" s="34"/>
      <c r="U123" s="34"/>
      <c r="V123" s="34"/>
      <c r="W123" s="34"/>
      <c r="X123" s="34"/>
      <c r="Y123" s="34"/>
      <c r="Z123" s="34"/>
    </row>
    <row r="124" spans="1:26" ht="57" x14ac:dyDescent="0.2">
      <c r="A124" s="3" t="s">
        <v>784</v>
      </c>
      <c r="B124" s="3" t="s">
        <v>785</v>
      </c>
      <c r="C124" s="4">
        <v>67</v>
      </c>
      <c r="D124" s="3" t="s">
        <v>160</v>
      </c>
      <c r="E124" s="3">
        <v>45537</v>
      </c>
      <c r="F124" s="3" t="s">
        <v>786</v>
      </c>
      <c r="G124" s="3" t="s">
        <v>687</v>
      </c>
      <c r="H124" s="3" t="s">
        <v>116</v>
      </c>
      <c r="I124" s="34"/>
      <c r="J124" s="3">
        <v>45067</v>
      </c>
      <c r="K124" s="34"/>
      <c r="L124" s="34"/>
      <c r="M124" s="34"/>
      <c r="N124" s="34"/>
      <c r="O124" s="34"/>
      <c r="P124" s="34"/>
      <c r="Q124" s="34"/>
      <c r="R124" s="34"/>
      <c r="S124" s="34"/>
      <c r="T124" s="34"/>
      <c r="U124" s="34"/>
      <c r="V124" s="34"/>
      <c r="W124" s="34"/>
      <c r="X124" s="34"/>
      <c r="Y124" s="34"/>
      <c r="Z124" s="34"/>
    </row>
    <row r="125" spans="1:26" ht="28.5" x14ac:dyDescent="0.2">
      <c r="A125" s="3" t="s">
        <v>787</v>
      </c>
      <c r="B125" s="3" t="s">
        <v>788</v>
      </c>
      <c r="C125" s="4">
        <v>42</v>
      </c>
      <c r="D125" s="3" t="s">
        <v>160</v>
      </c>
      <c r="E125" s="3" t="s">
        <v>147</v>
      </c>
      <c r="F125" s="3" t="s">
        <v>789</v>
      </c>
      <c r="G125" s="3" t="s">
        <v>790</v>
      </c>
      <c r="H125" s="3" t="s">
        <v>117</v>
      </c>
      <c r="I125" s="3" t="s">
        <v>118</v>
      </c>
      <c r="J125" s="3" t="s">
        <v>119</v>
      </c>
      <c r="K125" s="34"/>
      <c r="L125" s="34"/>
      <c r="M125" s="34"/>
      <c r="N125" s="34"/>
      <c r="O125" s="34"/>
      <c r="P125" s="34"/>
      <c r="Q125" s="34"/>
      <c r="R125" s="34"/>
      <c r="S125" s="34"/>
      <c r="T125" s="34"/>
      <c r="U125" s="34"/>
      <c r="V125" s="34"/>
      <c r="W125" s="34"/>
      <c r="X125" s="34"/>
      <c r="Y125" s="34"/>
      <c r="Z125" s="34"/>
    </row>
    <row r="126" spans="1:26" ht="28.5" x14ac:dyDescent="0.2">
      <c r="A126" s="3" t="s">
        <v>792</v>
      </c>
      <c r="B126" s="3" t="s">
        <v>793</v>
      </c>
      <c r="C126" s="4">
        <v>81</v>
      </c>
      <c r="D126" s="3" t="s">
        <v>146</v>
      </c>
      <c r="E126" s="3" t="s">
        <v>794</v>
      </c>
      <c r="F126" s="3" t="s">
        <v>795</v>
      </c>
      <c r="G126" s="3" t="s">
        <v>796</v>
      </c>
      <c r="H126" s="3" t="s">
        <v>120</v>
      </c>
      <c r="I126" s="34"/>
      <c r="J126" s="3" t="s">
        <v>121</v>
      </c>
      <c r="K126" s="34"/>
      <c r="L126" s="34"/>
      <c r="M126" s="34"/>
      <c r="N126" s="34"/>
      <c r="O126" s="34"/>
      <c r="P126" s="34"/>
      <c r="Q126" s="34"/>
      <c r="R126" s="34"/>
      <c r="S126" s="34"/>
      <c r="T126" s="34"/>
      <c r="U126" s="34"/>
      <c r="V126" s="34"/>
      <c r="W126" s="34"/>
      <c r="X126" s="34"/>
      <c r="Y126" s="34"/>
      <c r="Z126" s="34"/>
    </row>
    <row r="127" spans="1:26" ht="28.5" x14ac:dyDescent="0.2">
      <c r="A127" s="3" t="s">
        <v>797</v>
      </c>
      <c r="B127" s="3" t="s">
        <v>798</v>
      </c>
      <c r="C127" s="4">
        <v>56</v>
      </c>
      <c r="D127" s="3" t="s">
        <v>160</v>
      </c>
      <c r="E127" s="3" t="s">
        <v>799</v>
      </c>
      <c r="F127" s="3" t="s">
        <v>800</v>
      </c>
      <c r="G127" s="3" t="s">
        <v>801</v>
      </c>
      <c r="H127" s="3" t="s">
        <v>122</v>
      </c>
      <c r="I127" s="3" t="s">
        <v>123</v>
      </c>
      <c r="J127" s="3" t="s">
        <v>124</v>
      </c>
      <c r="K127" s="34"/>
      <c r="L127" s="34"/>
      <c r="M127" s="34"/>
      <c r="N127" s="34"/>
      <c r="O127" s="34"/>
      <c r="P127" s="34"/>
      <c r="Q127" s="34"/>
      <c r="R127" s="34"/>
      <c r="S127" s="34"/>
      <c r="T127" s="34"/>
      <c r="U127" s="34"/>
      <c r="V127" s="34"/>
      <c r="W127" s="34"/>
      <c r="X127" s="34"/>
      <c r="Y127" s="34"/>
      <c r="Z127" s="34"/>
    </row>
    <row r="128" spans="1:26" ht="28.5" x14ac:dyDescent="0.2">
      <c r="A128" s="3" t="s">
        <v>802</v>
      </c>
      <c r="B128" s="3" t="s">
        <v>803</v>
      </c>
      <c r="C128" s="4">
        <v>63</v>
      </c>
      <c r="D128" s="3" t="s">
        <v>146</v>
      </c>
      <c r="E128" s="3" t="s">
        <v>804</v>
      </c>
      <c r="F128" s="3" t="s">
        <v>198</v>
      </c>
      <c r="G128" s="3" t="s">
        <v>202</v>
      </c>
      <c r="H128" s="3" t="s">
        <v>125</v>
      </c>
      <c r="I128" s="34"/>
      <c r="J128" s="34"/>
      <c r="K128" s="34"/>
      <c r="L128" s="34"/>
      <c r="M128" s="34"/>
      <c r="N128" s="34"/>
      <c r="O128" s="34"/>
      <c r="P128" s="34"/>
      <c r="Q128" s="34"/>
      <c r="R128" s="34"/>
      <c r="S128" s="34"/>
      <c r="T128" s="34"/>
      <c r="U128" s="34"/>
      <c r="V128" s="34"/>
      <c r="W128" s="34"/>
      <c r="X128" s="34"/>
      <c r="Y128" s="34"/>
      <c r="Z128" s="34"/>
    </row>
    <row r="129" spans="1:26" ht="28.5" x14ac:dyDescent="0.2">
      <c r="A129" s="3" t="s">
        <v>805</v>
      </c>
      <c r="B129" s="3" t="s">
        <v>806</v>
      </c>
      <c r="C129" s="4">
        <v>54</v>
      </c>
      <c r="D129" s="3" t="s">
        <v>160</v>
      </c>
      <c r="E129" s="3" t="s">
        <v>147</v>
      </c>
      <c r="F129" s="3" t="s">
        <v>790</v>
      </c>
      <c r="G129" s="3" t="s">
        <v>807</v>
      </c>
      <c r="H129" s="3" t="s">
        <v>126</v>
      </c>
      <c r="I129" s="3">
        <v>20240520</v>
      </c>
      <c r="J129" s="3">
        <v>45019</v>
      </c>
      <c r="K129" s="34"/>
      <c r="L129" s="34"/>
      <c r="M129" s="34"/>
      <c r="N129" s="34"/>
      <c r="O129" s="34"/>
      <c r="P129" s="34"/>
      <c r="Q129" s="34"/>
      <c r="R129" s="34"/>
      <c r="S129" s="34"/>
      <c r="T129" s="34"/>
      <c r="U129" s="34"/>
      <c r="V129" s="34"/>
      <c r="W129" s="34"/>
      <c r="X129" s="34"/>
      <c r="Y129" s="34"/>
      <c r="Z129" s="34"/>
    </row>
    <row r="130" spans="1:26" ht="28.5" x14ac:dyDescent="0.2">
      <c r="A130" s="3" t="s">
        <v>808</v>
      </c>
      <c r="B130" s="3" t="s">
        <v>809</v>
      </c>
      <c r="C130" s="4">
        <v>84</v>
      </c>
      <c r="D130" s="3" t="s">
        <v>146</v>
      </c>
      <c r="E130" s="3" t="s">
        <v>198</v>
      </c>
      <c r="F130" s="3" t="s">
        <v>810</v>
      </c>
      <c r="G130" s="3" t="s">
        <v>811</v>
      </c>
      <c r="H130" s="3" t="s">
        <v>127</v>
      </c>
      <c r="I130" s="3" t="s">
        <v>128</v>
      </c>
      <c r="J130" s="3" t="s">
        <v>129</v>
      </c>
      <c r="K130" s="34"/>
      <c r="L130" s="34"/>
      <c r="M130" s="34"/>
      <c r="N130" s="34"/>
      <c r="O130" s="34"/>
      <c r="P130" s="34"/>
      <c r="Q130" s="34"/>
      <c r="R130" s="34"/>
      <c r="S130" s="34"/>
      <c r="T130" s="34"/>
      <c r="U130" s="34"/>
      <c r="V130" s="34"/>
      <c r="W130" s="34"/>
      <c r="X130" s="34"/>
      <c r="Y130" s="34"/>
      <c r="Z130" s="34"/>
    </row>
    <row r="131" spans="1:26" ht="28.5" x14ac:dyDescent="0.2">
      <c r="A131" s="3" t="s">
        <v>815</v>
      </c>
      <c r="B131" s="3" t="s">
        <v>816</v>
      </c>
      <c r="C131" s="4">
        <v>66</v>
      </c>
      <c r="D131" s="3" t="s">
        <v>146</v>
      </c>
      <c r="E131" s="3" t="s">
        <v>817</v>
      </c>
      <c r="F131" s="3" t="s">
        <v>810</v>
      </c>
      <c r="G131" s="3" t="s">
        <v>818</v>
      </c>
      <c r="H131" s="3" t="s">
        <v>130</v>
      </c>
      <c r="I131" s="3" t="s">
        <v>131</v>
      </c>
      <c r="J131" s="3" t="s">
        <v>132</v>
      </c>
      <c r="K131" s="34"/>
      <c r="L131" s="34"/>
      <c r="M131" s="34"/>
      <c r="N131" s="34"/>
      <c r="O131" s="34"/>
      <c r="P131" s="34"/>
      <c r="Q131" s="34"/>
      <c r="R131" s="34"/>
      <c r="S131" s="34"/>
      <c r="T131" s="34"/>
      <c r="U131" s="34"/>
      <c r="V131" s="34"/>
      <c r="W131" s="34"/>
      <c r="X131" s="34"/>
      <c r="Y131" s="34"/>
      <c r="Z131" s="34"/>
    </row>
    <row r="132" spans="1:26" ht="28.5" x14ac:dyDescent="0.2">
      <c r="A132" s="3" t="s">
        <v>820</v>
      </c>
      <c r="B132" s="3" t="s">
        <v>821</v>
      </c>
      <c r="C132" s="4">
        <v>22</v>
      </c>
      <c r="D132" s="3" t="s">
        <v>146</v>
      </c>
      <c r="E132" s="3" t="s">
        <v>822</v>
      </c>
      <c r="F132" s="3" t="s">
        <v>823</v>
      </c>
      <c r="G132" s="3" t="s">
        <v>192</v>
      </c>
      <c r="H132" s="3" t="s">
        <v>133</v>
      </c>
      <c r="I132" s="34"/>
      <c r="J132" s="3">
        <v>46184</v>
      </c>
      <c r="K132" s="34"/>
      <c r="L132" s="34"/>
      <c r="M132" s="34"/>
      <c r="N132" s="34"/>
      <c r="O132" s="34"/>
      <c r="P132" s="34"/>
      <c r="Q132" s="34"/>
      <c r="R132" s="34"/>
      <c r="S132" s="34"/>
      <c r="T132" s="34"/>
      <c r="U132" s="34"/>
      <c r="V132" s="34"/>
      <c r="W132" s="34"/>
      <c r="X132" s="34"/>
      <c r="Y132" s="34"/>
      <c r="Z132" s="34"/>
    </row>
    <row r="133" spans="1:26" ht="28.5" x14ac:dyDescent="0.2">
      <c r="A133" s="3" t="s">
        <v>825</v>
      </c>
      <c r="B133" s="3" t="s">
        <v>826</v>
      </c>
      <c r="C133" s="4">
        <v>20</v>
      </c>
      <c r="D133" s="3" t="s">
        <v>160</v>
      </c>
      <c r="E133" s="3" t="s">
        <v>827</v>
      </c>
      <c r="F133" s="3" t="s">
        <v>828</v>
      </c>
      <c r="G133" s="3" t="s">
        <v>192</v>
      </c>
      <c r="H133" s="3" t="s">
        <v>134</v>
      </c>
      <c r="I133" s="34"/>
      <c r="J133" s="3">
        <v>45472</v>
      </c>
      <c r="K133" s="34"/>
      <c r="L133" s="34"/>
      <c r="M133" s="34"/>
      <c r="N133" s="34"/>
      <c r="O133" s="34"/>
      <c r="P133" s="34"/>
      <c r="Q133" s="34"/>
      <c r="R133" s="34"/>
      <c r="S133" s="34"/>
      <c r="T133" s="34"/>
      <c r="U133" s="34"/>
      <c r="V133" s="34"/>
      <c r="W133" s="34"/>
      <c r="X133" s="34"/>
      <c r="Y133" s="34"/>
      <c r="Z133" s="34"/>
    </row>
    <row r="134" spans="1:26" x14ac:dyDescent="0.2">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x14ac:dyDescent="0.2">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x14ac:dyDescent="0.2">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x14ac:dyDescent="0.2">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x14ac:dyDescent="0.2">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x14ac:dyDescent="0.2">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x14ac:dyDescent="0.2">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x14ac:dyDescent="0.2">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x14ac:dyDescent="0.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x14ac:dyDescent="0.2">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x14ac:dyDescent="0.2">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x14ac:dyDescent="0.2">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x14ac:dyDescent="0.2">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x14ac:dyDescent="0.2">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x14ac:dyDescent="0.2">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x14ac:dyDescent="0.2">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x14ac:dyDescent="0.2">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x14ac:dyDescent="0.2">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x14ac:dyDescent="0.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x14ac:dyDescent="0.2">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x14ac:dyDescent="0.2">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x14ac:dyDescent="0.2">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x14ac:dyDescent="0.2">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x14ac:dyDescent="0.2">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x14ac:dyDescent="0.2">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x14ac:dyDescent="0.2">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x14ac:dyDescent="0.2">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x14ac:dyDescent="0.2">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x14ac:dyDescent="0.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x14ac:dyDescent="0.2">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x14ac:dyDescent="0.2">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x14ac:dyDescent="0.2">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x14ac:dyDescent="0.2">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x14ac:dyDescent="0.2">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x14ac:dyDescent="0.2">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x14ac:dyDescent="0.2">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x14ac:dyDescent="0.2">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x14ac:dyDescent="0.2">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x14ac:dyDescent="0.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x14ac:dyDescent="0.2">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x14ac:dyDescent="0.2">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x14ac:dyDescent="0.2">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x14ac:dyDescent="0.2">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x14ac:dyDescent="0.2">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x14ac:dyDescent="0.2">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x14ac:dyDescent="0.2">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x14ac:dyDescent="0.2">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x14ac:dyDescent="0.2">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x14ac:dyDescent="0.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x14ac:dyDescent="0.2">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x14ac:dyDescent="0.2">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x14ac:dyDescent="0.2">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x14ac:dyDescent="0.2">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x14ac:dyDescent="0.2">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x14ac:dyDescent="0.2">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x14ac:dyDescent="0.2">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x14ac:dyDescent="0.2">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x14ac:dyDescent="0.2">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x14ac:dyDescent="0.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x14ac:dyDescent="0.2">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x14ac:dyDescent="0.2">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x14ac:dyDescent="0.2">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x14ac:dyDescent="0.2">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x14ac:dyDescent="0.2">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x14ac:dyDescent="0.2">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x14ac:dyDescent="0.2">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x14ac:dyDescent="0.2">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x14ac:dyDescent="0.2">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x14ac:dyDescent="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x14ac:dyDescent="0.2">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x14ac:dyDescent="0.2">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x14ac:dyDescent="0.2">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x14ac:dyDescent="0.2">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x14ac:dyDescent="0.2">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x14ac:dyDescent="0.2">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x14ac:dyDescent="0.2">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x14ac:dyDescent="0.2">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x14ac:dyDescent="0.2">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x14ac:dyDescent="0.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x14ac:dyDescent="0.2">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x14ac:dyDescent="0.2">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x14ac:dyDescent="0.2">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x14ac:dyDescent="0.2">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x14ac:dyDescent="0.2">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x14ac:dyDescent="0.2">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x14ac:dyDescent="0.2">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x14ac:dyDescent="0.2">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x14ac:dyDescent="0.2">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x14ac:dyDescent="0.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x14ac:dyDescent="0.2">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x14ac:dyDescent="0.2">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x14ac:dyDescent="0.2">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x14ac:dyDescent="0.2">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x14ac:dyDescent="0.2">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x14ac:dyDescent="0.2">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x14ac:dyDescent="0.2">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x14ac:dyDescent="0.2">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x14ac:dyDescent="0.2">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x14ac:dyDescent="0.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x14ac:dyDescent="0.2">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x14ac:dyDescent="0.2">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x14ac:dyDescent="0.2">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x14ac:dyDescent="0.2">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x14ac:dyDescent="0.2">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x14ac:dyDescent="0.2">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x14ac:dyDescent="0.2">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x14ac:dyDescent="0.2">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x14ac:dyDescent="0.2">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x14ac:dyDescent="0.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x14ac:dyDescent="0.2">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x14ac:dyDescent="0.2">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x14ac:dyDescent="0.2">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x14ac:dyDescent="0.2">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x14ac:dyDescent="0.2">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x14ac:dyDescent="0.2">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x14ac:dyDescent="0.2">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x14ac:dyDescent="0.2">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x14ac:dyDescent="0.2">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x14ac:dyDescent="0.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x14ac:dyDescent="0.2">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x14ac:dyDescent="0.2">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x14ac:dyDescent="0.2">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x14ac:dyDescent="0.2">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x14ac:dyDescent="0.2">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x14ac:dyDescent="0.2">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x14ac:dyDescent="0.2">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x14ac:dyDescent="0.2">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x14ac:dyDescent="0.2">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x14ac:dyDescent="0.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x14ac:dyDescent="0.2">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x14ac:dyDescent="0.2">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x14ac:dyDescent="0.2">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x14ac:dyDescent="0.2">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x14ac:dyDescent="0.2">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x14ac:dyDescent="0.2">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x14ac:dyDescent="0.2">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x14ac:dyDescent="0.2">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x14ac:dyDescent="0.2">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x14ac:dyDescent="0.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x14ac:dyDescent="0.2">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x14ac:dyDescent="0.2">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x14ac:dyDescent="0.2">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x14ac:dyDescent="0.2">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x14ac:dyDescent="0.2">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x14ac:dyDescent="0.2">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x14ac:dyDescent="0.2">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x14ac:dyDescent="0.2">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x14ac:dyDescent="0.2">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x14ac:dyDescent="0.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x14ac:dyDescent="0.2">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x14ac:dyDescent="0.2">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x14ac:dyDescent="0.2">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x14ac:dyDescent="0.2">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x14ac:dyDescent="0.2">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x14ac:dyDescent="0.2">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x14ac:dyDescent="0.2">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x14ac:dyDescent="0.2">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x14ac:dyDescent="0.2">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x14ac:dyDescent="0.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x14ac:dyDescent="0.2">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x14ac:dyDescent="0.2">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x14ac:dyDescent="0.2">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x14ac:dyDescent="0.2">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x14ac:dyDescent="0.2">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x14ac:dyDescent="0.2">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x14ac:dyDescent="0.2">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x14ac:dyDescent="0.2">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x14ac:dyDescent="0.2">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x14ac:dyDescent="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x14ac:dyDescent="0.2">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x14ac:dyDescent="0.2">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x14ac:dyDescent="0.2">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x14ac:dyDescent="0.2">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x14ac:dyDescent="0.2">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x14ac:dyDescent="0.2">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x14ac:dyDescent="0.2">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x14ac:dyDescent="0.2">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x14ac:dyDescent="0.2">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x14ac:dyDescent="0.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x14ac:dyDescent="0.2">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x14ac:dyDescent="0.2">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x14ac:dyDescent="0.2">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x14ac:dyDescent="0.2">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x14ac:dyDescent="0.2">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x14ac:dyDescent="0.2">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x14ac:dyDescent="0.2">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x14ac:dyDescent="0.2">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x14ac:dyDescent="0.2">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x14ac:dyDescent="0.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x14ac:dyDescent="0.2">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x14ac:dyDescent="0.2">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x14ac:dyDescent="0.2">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x14ac:dyDescent="0.2">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x14ac:dyDescent="0.2">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x14ac:dyDescent="0.2">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x14ac:dyDescent="0.2">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x14ac:dyDescent="0.2">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x14ac:dyDescent="0.2">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x14ac:dyDescent="0.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x14ac:dyDescent="0.2">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x14ac:dyDescent="0.2">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x14ac:dyDescent="0.2">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x14ac:dyDescent="0.2">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x14ac:dyDescent="0.2">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x14ac:dyDescent="0.2">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x14ac:dyDescent="0.2">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x14ac:dyDescent="0.2">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x14ac:dyDescent="0.2">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x14ac:dyDescent="0.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x14ac:dyDescent="0.2">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x14ac:dyDescent="0.2">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x14ac:dyDescent="0.2">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x14ac:dyDescent="0.2">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x14ac:dyDescent="0.2">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x14ac:dyDescent="0.2">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x14ac:dyDescent="0.2">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x14ac:dyDescent="0.2">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x14ac:dyDescent="0.2">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x14ac:dyDescent="0.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x14ac:dyDescent="0.2">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x14ac:dyDescent="0.2">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x14ac:dyDescent="0.2">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x14ac:dyDescent="0.2">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x14ac:dyDescent="0.2">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x14ac:dyDescent="0.2">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x14ac:dyDescent="0.2">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x14ac:dyDescent="0.2">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x14ac:dyDescent="0.2">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x14ac:dyDescent="0.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x14ac:dyDescent="0.2">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x14ac:dyDescent="0.2">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x14ac:dyDescent="0.2">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x14ac:dyDescent="0.2">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x14ac:dyDescent="0.2">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x14ac:dyDescent="0.2">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x14ac:dyDescent="0.2">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x14ac:dyDescent="0.2">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x14ac:dyDescent="0.2">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x14ac:dyDescent="0.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x14ac:dyDescent="0.2">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x14ac:dyDescent="0.2">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x14ac:dyDescent="0.2">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x14ac:dyDescent="0.2">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x14ac:dyDescent="0.2">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x14ac:dyDescent="0.2">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x14ac:dyDescent="0.2">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x14ac:dyDescent="0.2">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x14ac:dyDescent="0.2">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x14ac:dyDescent="0.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x14ac:dyDescent="0.2">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x14ac:dyDescent="0.2">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x14ac:dyDescent="0.2">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x14ac:dyDescent="0.2">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x14ac:dyDescent="0.2">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x14ac:dyDescent="0.2">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x14ac:dyDescent="0.2">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x14ac:dyDescent="0.2">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x14ac:dyDescent="0.2">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x14ac:dyDescent="0.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x14ac:dyDescent="0.2">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x14ac:dyDescent="0.2">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x14ac:dyDescent="0.2">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x14ac:dyDescent="0.2">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x14ac:dyDescent="0.2">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x14ac:dyDescent="0.2">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x14ac:dyDescent="0.2">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x14ac:dyDescent="0.2">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x14ac:dyDescent="0.2">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x14ac:dyDescent="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x14ac:dyDescent="0.2">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x14ac:dyDescent="0.2">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x14ac:dyDescent="0.2">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x14ac:dyDescent="0.2">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x14ac:dyDescent="0.2">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x14ac:dyDescent="0.2">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x14ac:dyDescent="0.2">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x14ac:dyDescent="0.2">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x14ac:dyDescent="0.2">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x14ac:dyDescent="0.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x14ac:dyDescent="0.2">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x14ac:dyDescent="0.2">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x14ac:dyDescent="0.2">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x14ac:dyDescent="0.2">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x14ac:dyDescent="0.2">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x14ac:dyDescent="0.2">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x14ac:dyDescent="0.2">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x14ac:dyDescent="0.2">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x14ac:dyDescent="0.2">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x14ac:dyDescent="0.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x14ac:dyDescent="0.2">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x14ac:dyDescent="0.2">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x14ac:dyDescent="0.2">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x14ac:dyDescent="0.2">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x14ac:dyDescent="0.2">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x14ac:dyDescent="0.2">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x14ac:dyDescent="0.2">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x14ac:dyDescent="0.2">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x14ac:dyDescent="0.2">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x14ac:dyDescent="0.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x14ac:dyDescent="0.2">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x14ac:dyDescent="0.2">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x14ac:dyDescent="0.2">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x14ac:dyDescent="0.2">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x14ac:dyDescent="0.2">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x14ac:dyDescent="0.2">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x14ac:dyDescent="0.2">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x14ac:dyDescent="0.2">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x14ac:dyDescent="0.2">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x14ac:dyDescent="0.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x14ac:dyDescent="0.2">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x14ac:dyDescent="0.2">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x14ac:dyDescent="0.2">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x14ac:dyDescent="0.2">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x14ac:dyDescent="0.2">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x14ac:dyDescent="0.2">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x14ac:dyDescent="0.2">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x14ac:dyDescent="0.2">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x14ac:dyDescent="0.2">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x14ac:dyDescent="0.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x14ac:dyDescent="0.2">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x14ac:dyDescent="0.2">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x14ac:dyDescent="0.2">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x14ac:dyDescent="0.2">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x14ac:dyDescent="0.2">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x14ac:dyDescent="0.2">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x14ac:dyDescent="0.2">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x14ac:dyDescent="0.2">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x14ac:dyDescent="0.2">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x14ac:dyDescent="0.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x14ac:dyDescent="0.2">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x14ac:dyDescent="0.2">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x14ac:dyDescent="0.2">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x14ac:dyDescent="0.2">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x14ac:dyDescent="0.2">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x14ac:dyDescent="0.2">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x14ac:dyDescent="0.2">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x14ac:dyDescent="0.2">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x14ac:dyDescent="0.2">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x14ac:dyDescent="0.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x14ac:dyDescent="0.2">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x14ac:dyDescent="0.2">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x14ac:dyDescent="0.2">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x14ac:dyDescent="0.2">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x14ac:dyDescent="0.2">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x14ac:dyDescent="0.2">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x14ac:dyDescent="0.2">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x14ac:dyDescent="0.2">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x14ac:dyDescent="0.2">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x14ac:dyDescent="0.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x14ac:dyDescent="0.2">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x14ac:dyDescent="0.2">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x14ac:dyDescent="0.2">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x14ac:dyDescent="0.2">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x14ac:dyDescent="0.2">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x14ac:dyDescent="0.2">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x14ac:dyDescent="0.2">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x14ac:dyDescent="0.2">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x14ac:dyDescent="0.2">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x14ac:dyDescent="0.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x14ac:dyDescent="0.2">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x14ac:dyDescent="0.2">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x14ac:dyDescent="0.2">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x14ac:dyDescent="0.2">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x14ac:dyDescent="0.2">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x14ac:dyDescent="0.2">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x14ac:dyDescent="0.2">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x14ac:dyDescent="0.2">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x14ac:dyDescent="0.2">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x14ac:dyDescent="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x14ac:dyDescent="0.2">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x14ac:dyDescent="0.2">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x14ac:dyDescent="0.2">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x14ac:dyDescent="0.2">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x14ac:dyDescent="0.2">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x14ac:dyDescent="0.2">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x14ac:dyDescent="0.2">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x14ac:dyDescent="0.2">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x14ac:dyDescent="0.2">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x14ac:dyDescent="0.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x14ac:dyDescent="0.2">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x14ac:dyDescent="0.2">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x14ac:dyDescent="0.2">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x14ac:dyDescent="0.2">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x14ac:dyDescent="0.2">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x14ac:dyDescent="0.2">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x14ac:dyDescent="0.2">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x14ac:dyDescent="0.2">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x14ac:dyDescent="0.2">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x14ac:dyDescent="0.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x14ac:dyDescent="0.2">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x14ac:dyDescent="0.2">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x14ac:dyDescent="0.2">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x14ac:dyDescent="0.2">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x14ac:dyDescent="0.2">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x14ac:dyDescent="0.2">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x14ac:dyDescent="0.2">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x14ac:dyDescent="0.2">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x14ac:dyDescent="0.2">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x14ac:dyDescent="0.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x14ac:dyDescent="0.2">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x14ac:dyDescent="0.2">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x14ac:dyDescent="0.2">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x14ac:dyDescent="0.2">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x14ac:dyDescent="0.2">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x14ac:dyDescent="0.2">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x14ac:dyDescent="0.2">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x14ac:dyDescent="0.2">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x14ac:dyDescent="0.2">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x14ac:dyDescent="0.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x14ac:dyDescent="0.2">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x14ac:dyDescent="0.2">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x14ac:dyDescent="0.2">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x14ac:dyDescent="0.2">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x14ac:dyDescent="0.2">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x14ac:dyDescent="0.2">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x14ac:dyDescent="0.2">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x14ac:dyDescent="0.2">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x14ac:dyDescent="0.2">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x14ac:dyDescent="0.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x14ac:dyDescent="0.2">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x14ac:dyDescent="0.2">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x14ac:dyDescent="0.2">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x14ac:dyDescent="0.2">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x14ac:dyDescent="0.2">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x14ac:dyDescent="0.2">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x14ac:dyDescent="0.2">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x14ac:dyDescent="0.2">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x14ac:dyDescent="0.2">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x14ac:dyDescent="0.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x14ac:dyDescent="0.2">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x14ac:dyDescent="0.2">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x14ac:dyDescent="0.2">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x14ac:dyDescent="0.2">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x14ac:dyDescent="0.2">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x14ac:dyDescent="0.2">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x14ac:dyDescent="0.2">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x14ac:dyDescent="0.2">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x14ac:dyDescent="0.2">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x14ac:dyDescent="0.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x14ac:dyDescent="0.2">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x14ac:dyDescent="0.2">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x14ac:dyDescent="0.2">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x14ac:dyDescent="0.2">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x14ac:dyDescent="0.2">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x14ac:dyDescent="0.2">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x14ac:dyDescent="0.2">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x14ac:dyDescent="0.2">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x14ac:dyDescent="0.2">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x14ac:dyDescent="0.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x14ac:dyDescent="0.2">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x14ac:dyDescent="0.2">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x14ac:dyDescent="0.2">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x14ac:dyDescent="0.2">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x14ac:dyDescent="0.2">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x14ac:dyDescent="0.2">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x14ac:dyDescent="0.2">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x14ac:dyDescent="0.2">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x14ac:dyDescent="0.2">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x14ac:dyDescent="0.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x14ac:dyDescent="0.2">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x14ac:dyDescent="0.2">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x14ac:dyDescent="0.2">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x14ac:dyDescent="0.2">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x14ac:dyDescent="0.2">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x14ac:dyDescent="0.2">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x14ac:dyDescent="0.2">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x14ac:dyDescent="0.2">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x14ac:dyDescent="0.2">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x14ac:dyDescent="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x14ac:dyDescent="0.2">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x14ac:dyDescent="0.2">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x14ac:dyDescent="0.2">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x14ac:dyDescent="0.2">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x14ac:dyDescent="0.2">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x14ac:dyDescent="0.2">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x14ac:dyDescent="0.2">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x14ac:dyDescent="0.2">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x14ac:dyDescent="0.2">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x14ac:dyDescent="0.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x14ac:dyDescent="0.2">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x14ac:dyDescent="0.2">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x14ac:dyDescent="0.2">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x14ac:dyDescent="0.2">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x14ac:dyDescent="0.2">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x14ac:dyDescent="0.2">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x14ac:dyDescent="0.2">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x14ac:dyDescent="0.2">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x14ac:dyDescent="0.2">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x14ac:dyDescent="0.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x14ac:dyDescent="0.2">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x14ac:dyDescent="0.2">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x14ac:dyDescent="0.2">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x14ac:dyDescent="0.2">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x14ac:dyDescent="0.2">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x14ac:dyDescent="0.2">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x14ac:dyDescent="0.2">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x14ac:dyDescent="0.2">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x14ac:dyDescent="0.2">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x14ac:dyDescent="0.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x14ac:dyDescent="0.2">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x14ac:dyDescent="0.2">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x14ac:dyDescent="0.2">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x14ac:dyDescent="0.2">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x14ac:dyDescent="0.2">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x14ac:dyDescent="0.2">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x14ac:dyDescent="0.2">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x14ac:dyDescent="0.2">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x14ac:dyDescent="0.2">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x14ac:dyDescent="0.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x14ac:dyDescent="0.2">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x14ac:dyDescent="0.2">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x14ac:dyDescent="0.2">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x14ac:dyDescent="0.2">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x14ac:dyDescent="0.2">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x14ac:dyDescent="0.2">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x14ac:dyDescent="0.2">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x14ac:dyDescent="0.2">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x14ac:dyDescent="0.2">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x14ac:dyDescent="0.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x14ac:dyDescent="0.2">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x14ac:dyDescent="0.2">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x14ac:dyDescent="0.2">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x14ac:dyDescent="0.2">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x14ac:dyDescent="0.2">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x14ac:dyDescent="0.2">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x14ac:dyDescent="0.2">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x14ac:dyDescent="0.2">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x14ac:dyDescent="0.2">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x14ac:dyDescent="0.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x14ac:dyDescent="0.2">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x14ac:dyDescent="0.2">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x14ac:dyDescent="0.2">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x14ac:dyDescent="0.2">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x14ac:dyDescent="0.2">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x14ac:dyDescent="0.2">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x14ac:dyDescent="0.2">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x14ac:dyDescent="0.2">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x14ac:dyDescent="0.2">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x14ac:dyDescent="0.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x14ac:dyDescent="0.2">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x14ac:dyDescent="0.2">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x14ac:dyDescent="0.2">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x14ac:dyDescent="0.2">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x14ac:dyDescent="0.2">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x14ac:dyDescent="0.2">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x14ac:dyDescent="0.2">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x14ac:dyDescent="0.2">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x14ac:dyDescent="0.2">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x14ac:dyDescent="0.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x14ac:dyDescent="0.2">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x14ac:dyDescent="0.2">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x14ac:dyDescent="0.2">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x14ac:dyDescent="0.2">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x14ac:dyDescent="0.2">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x14ac:dyDescent="0.2">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x14ac:dyDescent="0.2">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x14ac:dyDescent="0.2">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x14ac:dyDescent="0.2">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x14ac:dyDescent="0.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x14ac:dyDescent="0.2">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x14ac:dyDescent="0.2">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x14ac:dyDescent="0.2">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x14ac:dyDescent="0.2">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x14ac:dyDescent="0.2">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x14ac:dyDescent="0.2">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x14ac:dyDescent="0.2">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x14ac:dyDescent="0.2">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x14ac:dyDescent="0.2">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x14ac:dyDescent="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x14ac:dyDescent="0.2">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x14ac:dyDescent="0.2">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x14ac:dyDescent="0.2">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x14ac:dyDescent="0.2">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x14ac:dyDescent="0.2">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x14ac:dyDescent="0.2">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x14ac:dyDescent="0.2">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x14ac:dyDescent="0.2">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x14ac:dyDescent="0.2">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x14ac:dyDescent="0.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x14ac:dyDescent="0.2">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x14ac:dyDescent="0.2">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x14ac:dyDescent="0.2">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x14ac:dyDescent="0.2">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x14ac:dyDescent="0.2">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x14ac:dyDescent="0.2">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x14ac:dyDescent="0.2">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x14ac:dyDescent="0.2">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x14ac:dyDescent="0.2">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x14ac:dyDescent="0.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x14ac:dyDescent="0.2">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x14ac:dyDescent="0.2">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x14ac:dyDescent="0.2">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x14ac:dyDescent="0.2">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x14ac:dyDescent="0.2">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x14ac:dyDescent="0.2">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x14ac:dyDescent="0.2">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x14ac:dyDescent="0.2">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x14ac:dyDescent="0.2">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x14ac:dyDescent="0.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x14ac:dyDescent="0.2">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x14ac:dyDescent="0.2">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x14ac:dyDescent="0.2">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x14ac:dyDescent="0.2">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x14ac:dyDescent="0.2">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x14ac:dyDescent="0.2">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x14ac:dyDescent="0.2">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x14ac:dyDescent="0.2">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x14ac:dyDescent="0.2">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x14ac:dyDescent="0.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x14ac:dyDescent="0.2">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x14ac:dyDescent="0.2">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x14ac:dyDescent="0.2">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x14ac:dyDescent="0.2">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x14ac:dyDescent="0.2">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x14ac:dyDescent="0.2">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x14ac:dyDescent="0.2">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x14ac:dyDescent="0.2">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x14ac:dyDescent="0.2">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x14ac:dyDescent="0.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x14ac:dyDescent="0.2">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x14ac:dyDescent="0.2">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x14ac:dyDescent="0.2">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x14ac:dyDescent="0.2">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x14ac:dyDescent="0.2">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x14ac:dyDescent="0.2">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x14ac:dyDescent="0.2">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x14ac:dyDescent="0.2">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x14ac:dyDescent="0.2">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x14ac:dyDescent="0.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x14ac:dyDescent="0.2">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x14ac:dyDescent="0.2">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x14ac:dyDescent="0.2">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x14ac:dyDescent="0.2">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x14ac:dyDescent="0.2">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x14ac:dyDescent="0.2">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x14ac:dyDescent="0.2">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x14ac:dyDescent="0.2">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x14ac:dyDescent="0.2">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x14ac:dyDescent="0.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x14ac:dyDescent="0.2">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x14ac:dyDescent="0.2">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x14ac:dyDescent="0.2">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x14ac:dyDescent="0.2">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x14ac:dyDescent="0.2">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x14ac:dyDescent="0.2">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x14ac:dyDescent="0.2">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x14ac:dyDescent="0.2">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x14ac:dyDescent="0.2">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x14ac:dyDescent="0.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x14ac:dyDescent="0.2">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x14ac:dyDescent="0.2">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x14ac:dyDescent="0.2">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x14ac:dyDescent="0.2">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x14ac:dyDescent="0.2">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x14ac:dyDescent="0.2">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x14ac:dyDescent="0.2">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x14ac:dyDescent="0.2">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x14ac:dyDescent="0.2">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x14ac:dyDescent="0.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x14ac:dyDescent="0.2">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x14ac:dyDescent="0.2">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x14ac:dyDescent="0.2">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x14ac:dyDescent="0.2">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x14ac:dyDescent="0.2">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x14ac:dyDescent="0.2">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x14ac:dyDescent="0.2">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x14ac:dyDescent="0.2">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x14ac:dyDescent="0.2">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x14ac:dyDescent="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x14ac:dyDescent="0.2">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x14ac:dyDescent="0.2">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x14ac:dyDescent="0.2">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x14ac:dyDescent="0.2">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x14ac:dyDescent="0.2">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x14ac:dyDescent="0.2">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x14ac:dyDescent="0.2">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x14ac:dyDescent="0.2">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x14ac:dyDescent="0.2">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x14ac:dyDescent="0.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x14ac:dyDescent="0.2">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x14ac:dyDescent="0.2">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x14ac:dyDescent="0.2">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x14ac:dyDescent="0.2">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x14ac:dyDescent="0.2">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x14ac:dyDescent="0.2">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x14ac:dyDescent="0.2">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x14ac:dyDescent="0.2">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x14ac:dyDescent="0.2">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x14ac:dyDescent="0.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x14ac:dyDescent="0.2">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x14ac:dyDescent="0.2">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x14ac:dyDescent="0.2">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x14ac:dyDescent="0.2">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x14ac:dyDescent="0.2">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x14ac:dyDescent="0.2">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x14ac:dyDescent="0.2">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x14ac:dyDescent="0.2">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x14ac:dyDescent="0.2">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x14ac:dyDescent="0.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x14ac:dyDescent="0.2">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x14ac:dyDescent="0.2">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x14ac:dyDescent="0.2">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x14ac:dyDescent="0.2">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x14ac:dyDescent="0.2">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x14ac:dyDescent="0.2">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x14ac:dyDescent="0.2">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x14ac:dyDescent="0.2">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x14ac:dyDescent="0.2">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x14ac:dyDescent="0.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x14ac:dyDescent="0.2">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x14ac:dyDescent="0.2">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x14ac:dyDescent="0.2">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x14ac:dyDescent="0.2">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x14ac:dyDescent="0.2">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x14ac:dyDescent="0.2">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x14ac:dyDescent="0.2">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x14ac:dyDescent="0.2">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x14ac:dyDescent="0.2">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x14ac:dyDescent="0.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x14ac:dyDescent="0.2">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x14ac:dyDescent="0.2">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x14ac:dyDescent="0.2">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x14ac:dyDescent="0.2">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x14ac:dyDescent="0.2">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x14ac:dyDescent="0.2">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x14ac:dyDescent="0.2">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x14ac:dyDescent="0.2">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x14ac:dyDescent="0.2">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x14ac:dyDescent="0.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x14ac:dyDescent="0.2">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x14ac:dyDescent="0.2">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x14ac:dyDescent="0.2">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x14ac:dyDescent="0.2">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x14ac:dyDescent="0.2">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x14ac:dyDescent="0.2">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x14ac:dyDescent="0.2">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x14ac:dyDescent="0.2">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x14ac:dyDescent="0.2">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x14ac:dyDescent="0.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x14ac:dyDescent="0.2">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x14ac:dyDescent="0.2">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x14ac:dyDescent="0.2">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x14ac:dyDescent="0.2">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x14ac:dyDescent="0.2">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x14ac:dyDescent="0.2">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x14ac:dyDescent="0.2">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x14ac:dyDescent="0.2">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x14ac:dyDescent="0.2">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x14ac:dyDescent="0.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x14ac:dyDescent="0.2">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x14ac:dyDescent="0.2">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x14ac:dyDescent="0.2">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x14ac:dyDescent="0.2">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x14ac:dyDescent="0.2">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x14ac:dyDescent="0.2">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x14ac:dyDescent="0.2">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x14ac:dyDescent="0.2">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x14ac:dyDescent="0.2">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x14ac:dyDescent="0.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x14ac:dyDescent="0.2">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x14ac:dyDescent="0.2">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x14ac:dyDescent="0.2">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x14ac:dyDescent="0.2">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x14ac:dyDescent="0.2">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x14ac:dyDescent="0.2">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x14ac:dyDescent="0.2">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x14ac:dyDescent="0.2">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x14ac:dyDescent="0.2">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x14ac:dyDescent="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x14ac:dyDescent="0.2">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x14ac:dyDescent="0.2">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x14ac:dyDescent="0.2">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x14ac:dyDescent="0.2">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x14ac:dyDescent="0.2">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x14ac:dyDescent="0.2">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x14ac:dyDescent="0.2">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x14ac:dyDescent="0.2">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x14ac:dyDescent="0.2">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x14ac:dyDescent="0.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x14ac:dyDescent="0.2">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x14ac:dyDescent="0.2">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x14ac:dyDescent="0.2">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x14ac:dyDescent="0.2">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x14ac:dyDescent="0.2">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x14ac:dyDescent="0.2">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x14ac:dyDescent="0.2">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x14ac:dyDescent="0.2">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x14ac:dyDescent="0.2">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x14ac:dyDescent="0.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x14ac:dyDescent="0.2">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x14ac:dyDescent="0.2">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x14ac:dyDescent="0.2">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x14ac:dyDescent="0.2">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x14ac:dyDescent="0.2">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x14ac:dyDescent="0.2">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x14ac:dyDescent="0.2">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x14ac:dyDescent="0.2">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x14ac:dyDescent="0.2">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x14ac:dyDescent="0.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x14ac:dyDescent="0.2">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x14ac:dyDescent="0.2">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x14ac:dyDescent="0.2">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x14ac:dyDescent="0.2">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x14ac:dyDescent="0.2">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x14ac:dyDescent="0.2">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x14ac:dyDescent="0.2">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x14ac:dyDescent="0.2">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x14ac:dyDescent="0.2">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x14ac:dyDescent="0.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x14ac:dyDescent="0.2">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x14ac:dyDescent="0.2">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x14ac:dyDescent="0.2">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x14ac:dyDescent="0.2">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x14ac:dyDescent="0.2">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x14ac:dyDescent="0.2">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x14ac:dyDescent="0.2">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x14ac:dyDescent="0.2">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x14ac:dyDescent="0.2">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x14ac:dyDescent="0.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x14ac:dyDescent="0.2">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x14ac:dyDescent="0.2">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x14ac:dyDescent="0.2">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x14ac:dyDescent="0.2">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x14ac:dyDescent="0.2">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x14ac:dyDescent="0.2">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x14ac:dyDescent="0.2">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x14ac:dyDescent="0.2">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x14ac:dyDescent="0.2">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x14ac:dyDescent="0.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x14ac:dyDescent="0.2">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x14ac:dyDescent="0.2">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x14ac:dyDescent="0.2">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x14ac:dyDescent="0.2">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x14ac:dyDescent="0.2">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x14ac:dyDescent="0.2">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x14ac:dyDescent="0.2">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x14ac:dyDescent="0.2">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x14ac:dyDescent="0.2">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x14ac:dyDescent="0.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x14ac:dyDescent="0.2">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x14ac:dyDescent="0.2">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x14ac:dyDescent="0.2">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x14ac:dyDescent="0.2">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x14ac:dyDescent="0.2">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x14ac:dyDescent="0.2">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x14ac:dyDescent="0.2">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x14ac:dyDescent="0.2">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x14ac:dyDescent="0.2">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x14ac:dyDescent="0.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x14ac:dyDescent="0.2">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x14ac:dyDescent="0.2">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x14ac:dyDescent="0.2">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x14ac:dyDescent="0.2">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x14ac:dyDescent="0.2">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x14ac:dyDescent="0.2">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x14ac:dyDescent="0.2">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x14ac:dyDescent="0.2">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x14ac:dyDescent="0.2">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x14ac:dyDescent="0.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x14ac:dyDescent="0.2">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x14ac:dyDescent="0.2">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x14ac:dyDescent="0.2">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x14ac:dyDescent="0.2">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x14ac:dyDescent="0.2">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x14ac:dyDescent="0.2">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x14ac:dyDescent="0.2">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x14ac:dyDescent="0.2">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24700">
    <mergeCell ref="Z698"/>
    <mergeCell ref="M705"/>
    <mergeCell ref="D706"/>
    <mergeCell ref="Z705"/>
    <mergeCell ref="V700"/>
    <mergeCell ref="M701"/>
    <mergeCell ref="Z702"/>
    <mergeCell ref="Z708"/>
    <mergeCell ref="D701"/>
    <mergeCell ref="E701"/>
    <mergeCell ref="F703"/>
    <mergeCell ref="G703"/>
    <mergeCell ref="H703"/>
    <mergeCell ref="K698"/>
    <mergeCell ref="X698"/>
    <mergeCell ref="A609"/>
    <mergeCell ref="A608"/>
    <mergeCell ref="W600"/>
    <mergeCell ref="A602"/>
    <mergeCell ref="I601"/>
    <mergeCell ref="J602"/>
    <mergeCell ref="G607"/>
    <mergeCell ref="I608"/>
    <mergeCell ref="W604"/>
    <mergeCell ref="C610"/>
    <mergeCell ref="B602"/>
    <mergeCell ref="B603"/>
    <mergeCell ref="B610"/>
    <mergeCell ref="A606"/>
    <mergeCell ref="E605"/>
    <mergeCell ref="F606"/>
    <mergeCell ref="S605"/>
    <mergeCell ref="R604"/>
    <mergeCell ref="V605"/>
    <mergeCell ref="U605"/>
    <mergeCell ref="T605"/>
    <mergeCell ref="P605"/>
    <mergeCell ref="T604"/>
    <mergeCell ref="A610"/>
    <mergeCell ref="Z652"/>
    <mergeCell ref="Q652"/>
    <mergeCell ref="V652"/>
    <mergeCell ref="S652"/>
    <mergeCell ref="X652"/>
    <mergeCell ref="A652"/>
    <mergeCell ref="L651"/>
    <mergeCell ref="C652"/>
    <mergeCell ref="H650"/>
    <mergeCell ref="A619"/>
    <mergeCell ref="K619"/>
    <mergeCell ref="A629"/>
    <mergeCell ref="Y628"/>
    <mergeCell ref="B629"/>
    <mergeCell ref="C629"/>
    <mergeCell ref="D629"/>
    <mergeCell ref="E629"/>
    <mergeCell ref="F630"/>
    <mergeCell ref="S629"/>
    <mergeCell ref="J630"/>
    <mergeCell ref="I630"/>
    <mergeCell ref="Y606"/>
    <mergeCell ref="Y607"/>
    <mergeCell ref="Z611"/>
    <mergeCell ref="S603"/>
    <mergeCell ref="Y609"/>
    <mergeCell ref="Z609"/>
    <mergeCell ref="E600"/>
    <mergeCell ref="P600"/>
    <mergeCell ref="P601"/>
    <mergeCell ref="B601"/>
    <mergeCell ref="D602"/>
    <mergeCell ref="J601"/>
    <mergeCell ref="U607"/>
    <mergeCell ref="X609"/>
    <mergeCell ref="V609"/>
    <mergeCell ref="Q608"/>
    <mergeCell ref="K607"/>
    <mergeCell ref="X607"/>
    <mergeCell ref="V607"/>
    <mergeCell ref="Q607"/>
    <mergeCell ref="J608"/>
    <mergeCell ref="K608"/>
    <mergeCell ref="N602"/>
    <mergeCell ref="G601"/>
    <mergeCell ref="F601"/>
    <mergeCell ref="M600"/>
    <mergeCell ref="X600"/>
    <mergeCell ref="Z600"/>
    <mergeCell ref="H603"/>
    <mergeCell ref="F603"/>
    <mergeCell ref="L603"/>
    <mergeCell ref="I603"/>
    <mergeCell ref="G602"/>
    <mergeCell ref="U603"/>
    <mergeCell ref="W603"/>
    <mergeCell ref="X603"/>
    <mergeCell ref="Y603"/>
    <mergeCell ref="Z603"/>
    <mergeCell ref="X608"/>
    <mergeCell ref="J604"/>
    <mergeCell ref="K604"/>
    <mergeCell ref="D606"/>
    <mergeCell ref="W606"/>
    <mergeCell ref="W607"/>
    <mergeCell ref="R608"/>
    <mergeCell ref="M608"/>
    <mergeCell ref="L607"/>
    <mergeCell ref="B605"/>
    <mergeCell ref="H605"/>
    <mergeCell ref="I605"/>
    <mergeCell ref="J605"/>
    <mergeCell ref="K605"/>
    <mergeCell ref="D604"/>
    <mergeCell ref="I604"/>
    <mergeCell ref="H604"/>
    <mergeCell ref="F604"/>
    <mergeCell ref="G604"/>
    <mergeCell ref="C604"/>
    <mergeCell ref="G609"/>
    <mergeCell ref="K606"/>
    <mergeCell ref="D607"/>
    <mergeCell ref="P608"/>
    <mergeCell ref="W608"/>
    <mergeCell ref="S608"/>
    <mergeCell ref="T608"/>
    <mergeCell ref="U608"/>
    <mergeCell ref="A604"/>
    <mergeCell ref="H630"/>
    <mergeCell ref="P629"/>
    <mergeCell ref="J629"/>
    <mergeCell ref="K636"/>
    <mergeCell ref="O637"/>
    <mergeCell ref="H637"/>
    <mergeCell ref="O625"/>
    <mergeCell ref="V625"/>
    <mergeCell ref="J624"/>
    <mergeCell ref="G623"/>
    <mergeCell ref="J637"/>
    <mergeCell ref="R637"/>
    <mergeCell ref="N637"/>
    <mergeCell ref="D612"/>
    <mergeCell ref="E609"/>
    <mergeCell ref="B609"/>
    <mergeCell ref="Z561"/>
    <mergeCell ref="J560"/>
    <mergeCell ref="O561"/>
    <mergeCell ref="N561"/>
    <mergeCell ref="X617"/>
    <mergeCell ref="W617"/>
    <mergeCell ref="T617"/>
    <mergeCell ref="R617"/>
    <mergeCell ref="V617"/>
    <mergeCell ref="I618"/>
    <mergeCell ref="H618"/>
    <mergeCell ref="G618"/>
    <mergeCell ref="D618"/>
    <mergeCell ref="E618"/>
    <mergeCell ref="F618"/>
    <mergeCell ref="J615"/>
    <mergeCell ref="D617"/>
    <mergeCell ref="Z618"/>
    <mergeCell ref="Y618"/>
    <mergeCell ref="F617"/>
    <mergeCell ref="S617"/>
    <mergeCell ref="L598"/>
    <mergeCell ref="S598"/>
    <mergeCell ref="X599"/>
    <mergeCell ref="M599"/>
    <mergeCell ref="C600"/>
    <mergeCell ref="L601"/>
    <mergeCell ref="C602"/>
    <mergeCell ref="Z602"/>
    <mergeCell ref="O611"/>
    <mergeCell ref="D610"/>
    <mergeCell ref="M611"/>
    <mergeCell ref="G603"/>
    <mergeCell ref="V598"/>
    <mergeCell ref="D600"/>
    <mergeCell ref="L600"/>
    <mergeCell ref="E614"/>
    <mergeCell ref="F614"/>
    <mergeCell ref="G614"/>
    <mergeCell ref="H614"/>
    <mergeCell ref="I614"/>
    <mergeCell ref="J614"/>
    <mergeCell ref="U613"/>
    <mergeCell ref="X618"/>
    <mergeCell ref="W610"/>
    <mergeCell ref="X610"/>
    <mergeCell ref="J606"/>
    <mergeCell ref="O613"/>
    <mergeCell ref="H612"/>
    <mergeCell ref="V610"/>
    <mergeCell ref="M610"/>
    <mergeCell ref="T610"/>
    <mergeCell ref="S610"/>
    <mergeCell ref="O610"/>
    <mergeCell ref="L599"/>
    <mergeCell ref="Z604"/>
    <mergeCell ref="Q605"/>
    <mergeCell ref="P604"/>
    <mergeCell ref="J603"/>
    <mergeCell ref="S612"/>
    <mergeCell ref="E612"/>
    <mergeCell ref="M612"/>
    <mergeCell ref="J607"/>
    <mergeCell ref="T607"/>
    <mergeCell ref="Z452"/>
    <mergeCell ref="N453"/>
    <mergeCell ref="V455"/>
    <mergeCell ref="K451"/>
    <mergeCell ref="U439"/>
    <mergeCell ref="Q439"/>
    <mergeCell ref="Y436"/>
    <mergeCell ref="Q437"/>
    <mergeCell ref="M447"/>
    <mergeCell ref="C441"/>
    <mergeCell ref="J442"/>
    <mergeCell ref="Q443"/>
    <mergeCell ref="F443"/>
    <mergeCell ref="N442"/>
    <mergeCell ref="D443"/>
    <mergeCell ref="F442"/>
    <mergeCell ref="K443"/>
    <mergeCell ref="C558"/>
    <mergeCell ref="X557"/>
    <mergeCell ref="D558"/>
    <mergeCell ref="Z557"/>
    <mergeCell ref="F558"/>
    <mergeCell ref="J559"/>
    <mergeCell ref="A560"/>
    <mergeCell ref="E558"/>
    <mergeCell ref="X559"/>
    <mergeCell ref="P560"/>
    <mergeCell ref="O559"/>
    <mergeCell ref="L559"/>
    <mergeCell ref="Y559"/>
    <mergeCell ref="L560"/>
    <mergeCell ref="K544"/>
    <mergeCell ref="E546"/>
    <mergeCell ref="D545"/>
    <mergeCell ref="Y560"/>
    <mergeCell ref="T558"/>
    <mergeCell ref="A545"/>
    <mergeCell ref="B545"/>
    <mergeCell ref="C545"/>
    <mergeCell ref="U558"/>
    <mergeCell ref="J555"/>
    <mergeCell ref="J554"/>
    <mergeCell ref="C555"/>
    <mergeCell ref="Z510"/>
    <mergeCell ref="U509"/>
    <mergeCell ref="S510"/>
    <mergeCell ref="T503"/>
    <mergeCell ref="R502"/>
    <mergeCell ref="W503"/>
    <mergeCell ref="V503"/>
    <mergeCell ref="U503"/>
    <mergeCell ref="Y503"/>
    <mergeCell ref="Z503"/>
    <mergeCell ref="Q542"/>
    <mergeCell ref="G555"/>
    <mergeCell ref="M553"/>
    <mergeCell ref="V553"/>
    <mergeCell ref="Q554"/>
    <mergeCell ref="S554"/>
    <mergeCell ref="D357"/>
    <mergeCell ref="D359"/>
    <mergeCell ref="J360"/>
    <mergeCell ref="B365"/>
    <mergeCell ref="G367"/>
    <mergeCell ref="K367"/>
    <mergeCell ref="X366"/>
    <mergeCell ref="G366"/>
    <mergeCell ref="Q366"/>
    <mergeCell ref="L368"/>
    <mergeCell ref="V368"/>
    <mergeCell ref="X368"/>
    <mergeCell ref="W368"/>
    <mergeCell ref="O368"/>
    <mergeCell ref="U368"/>
    <mergeCell ref="Q368"/>
    <mergeCell ref="P368"/>
    <mergeCell ref="S368"/>
    <mergeCell ref="Y553"/>
    <mergeCell ref="E552"/>
    <mergeCell ref="I368"/>
    <mergeCell ref="Z370"/>
    <mergeCell ref="B364"/>
    <mergeCell ref="C364"/>
    <mergeCell ref="D364"/>
    <mergeCell ref="Y369"/>
    <mergeCell ref="N368"/>
    <mergeCell ref="H369"/>
    <mergeCell ref="B367"/>
    <mergeCell ref="C367"/>
    <mergeCell ref="C360"/>
    <mergeCell ref="G359"/>
    <mergeCell ref="S449"/>
    <mergeCell ref="Y450"/>
    <mergeCell ref="L456"/>
    <mergeCell ref="U456"/>
    <mergeCell ref="P456"/>
    <mergeCell ref="R456"/>
    <mergeCell ref="B457"/>
    <mergeCell ref="C457"/>
    <mergeCell ref="D457"/>
    <mergeCell ref="J456"/>
    <mergeCell ref="J457"/>
    <mergeCell ref="V370"/>
    <mergeCell ref="M371"/>
    <mergeCell ref="S371"/>
    <mergeCell ref="R371"/>
    <mergeCell ref="Q371"/>
    <mergeCell ref="P371"/>
    <mergeCell ref="O371"/>
    <mergeCell ref="E367"/>
    <mergeCell ref="F367"/>
    <mergeCell ref="B369"/>
    <mergeCell ref="V367"/>
    <mergeCell ref="T367"/>
    <mergeCell ref="B368"/>
    <mergeCell ref="L394"/>
    <mergeCell ref="G394"/>
    <mergeCell ref="C453"/>
    <mergeCell ref="G453"/>
    <mergeCell ref="N452"/>
    <mergeCell ref="E453"/>
    <mergeCell ref="E451"/>
    <mergeCell ref="O451"/>
    <mergeCell ref="Q356"/>
    <mergeCell ref="I358"/>
    <mergeCell ref="O358"/>
    <mergeCell ref="X358"/>
    <mergeCell ref="D353"/>
    <mergeCell ref="D354"/>
    <mergeCell ref="E354"/>
    <mergeCell ref="V341"/>
    <mergeCell ref="J343"/>
    <mergeCell ref="B357"/>
    <mergeCell ref="U356"/>
    <mergeCell ref="N355"/>
    <mergeCell ref="J356"/>
    <mergeCell ref="V334"/>
    <mergeCell ref="R333"/>
    <mergeCell ref="O334"/>
    <mergeCell ref="U334"/>
    <mergeCell ref="L333"/>
    <mergeCell ref="W333"/>
    <mergeCell ref="U333"/>
    <mergeCell ref="P333"/>
    <mergeCell ref="I334"/>
    <mergeCell ref="J334"/>
    <mergeCell ref="K334"/>
    <mergeCell ref="Z454"/>
    <mergeCell ref="L455"/>
    <mergeCell ref="P349"/>
    <mergeCell ref="U350"/>
    <mergeCell ref="T350"/>
    <mergeCell ref="S350"/>
    <mergeCell ref="W350"/>
    <mergeCell ref="A355"/>
    <mergeCell ref="B355"/>
    <mergeCell ref="C355"/>
    <mergeCell ref="A356"/>
    <mergeCell ref="D366"/>
    <mergeCell ref="H364"/>
    <mergeCell ref="L366"/>
    <mergeCell ref="C368"/>
    <mergeCell ref="D368"/>
    <mergeCell ref="E368"/>
    <mergeCell ref="T368"/>
    <mergeCell ref="M368"/>
    <mergeCell ref="E352"/>
    <mergeCell ref="I353"/>
    <mergeCell ref="A353"/>
    <mergeCell ref="A354"/>
    <mergeCell ref="B354"/>
    <mergeCell ref="C354"/>
    <mergeCell ref="M354"/>
    <mergeCell ref="X354"/>
    <mergeCell ref="R354"/>
    <mergeCell ref="T354"/>
    <mergeCell ref="H360"/>
    <mergeCell ref="S360"/>
    <mergeCell ref="A361"/>
    <mergeCell ref="B361"/>
    <mergeCell ref="C361"/>
    <mergeCell ref="W360"/>
    <mergeCell ref="L362"/>
    <mergeCell ref="K362"/>
    <mergeCell ref="T362"/>
    <mergeCell ref="K361"/>
    <mergeCell ref="R362"/>
    <mergeCell ref="F333"/>
    <mergeCell ref="I333"/>
    <mergeCell ref="D334"/>
    <mergeCell ref="S333"/>
    <mergeCell ref="C333"/>
    <mergeCell ref="K350"/>
    <mergeCell ref="L350"/>
    <mergeCell ref="M350"/>
    <mergeCell ref="P342"/>
    <mergeCell ref="Y342"/>
    <mergeCell ref="G343"/>
    <mergeCell ref="H343"/>
    <mergeCell ref="O341"/>
    <mergeCell ref="H342"/>
    <mergeCell ref="R334"/>
    <mergeCell ref="S334"/>
    <mergeCell ref="C335"/>
    <mergeCell ref="D335"/>
    <mergeCell ref="H341"/>
    <mergeCell ref="M341"/>
    <mergeCell ref="N349"/>
    <mergeCell ref="Y349"/>
    <mergeCell ref="J348"/>
    <mergeCell ref="L346"/>
    <mergeCell ref="Q342"/>
    <mergeCell ref="C353"/>
    <mergeCell ref="L353"/>
    <mergeCell ref="G353"/>
    <mergeCell ref="E353"/>
    <mergeCell ref="D350"/>
    <mergeCell ref="B353"/>
    <mergeCell ref="Y353"/>
    <mergeCell ref="N353"/>
    <mergeCell ref="W353"/>
    <mergeCell ref="V353"/>
    <mergeCell ref="S353"/>
    <mergeCell ref="Q353"/>
    <mergeCell ref="U353"/>
    <mergeCell ref="A346"/>
    <mergeCell ref="B346"/>
    <mergeCell ref="C346"/>
    <mergeCell ref="J346"/>
    <mergeCell ref="G346"/>
    <mergeCell ref="Q346"/>
    <mergeCell ref="A347"/>
    <mergeCell ref="B349"/>
    <mergeCell ref="F349"/>
    <mergeCell ref="E349"/>
    <mergeCell ref="A352"/>
    <mergeCell ref="U352"/>
    <mergeCell ref="V350"/>
    <mergeCell ref="A345"/>
    <mergeCell ref="W352"/>
    <mergeCell ref="X352"/>
    <mergeCell ref="B344"/>
    <mergeCell ref="B345"/>
    <mergeCell ref="C334"/>
    <mergeCell ref="A339"/>
    <mergeCell ref="B339"/>
    <mergeCell ref="D338"/>
    <mergeCell ref="I336"/>
    <mergeCell ref="J338"/>
    <mergeCell ref="N335"/>
    <mergeCell ref="U336"/>
    <mergeCell ref="N337"/>
    <mergeCell ref="R336"/>
    <mergeCell ref="T337"/>
    <mergeCell ref="X337"/>
    <mergeCell ref="Y337"/>
    <mergeCell ref="V349"/>
    <mergeCell ref="R350"/>
    <mergeCell ref="X343"/>
    <mergeCell ref="Y343"/>
    <mergeCell ref="B351"/>
    <mergeCell ref="L338"/>
    <mergeCell ref="F346"/>
    <mergeCell ref="M347"/>
    <mergeCell ref="U347"/>
    <mergeCell ref="Q347"/>
    <mergeCell ref="O347"/>
    <mergeCell ref="X346"/>
    <mergeCell ref="K346"/>
    <mergeCell ref="V346"/>
    <mergeCell ref="R346"/>
    <mergeCell ref="X345"/>
    <mergeCell ref="A344"/>
    <mergeCell ref="J347"/>
    <mergeCell ref="B341"/>
    <mergeCell ref="X342"/>
    <mergeCell ref="K343"/>
    <mergeCell ref="L343"/>
    <mergeCell ref="K342"/>
    <mergeCell ref="J342"/>
    <mergeCell ref="M342"/>
    <mergeCell ref="N342"/>
    <mergeCell ref="O342"/>
    <mergeCell ref="Q341"/>
    <mergeCell ref="B342"/>
    <mergeCell ref="C342"/>
    <mergeCell ref="D342"/>
    <mergeCell ref="X341"/>
    <mergeCell ref="K341"/>
    <mergeCell ref="Z343"/>
    <mergeCell ref="C344"/>
    <mergeCell ref="T343"/>
    <mergeCell ref="D344"/>
    <mergeCell ref="E344"/>
    <mergeCell ref="F344"/>
    <mergeCell ref="G344"/>
    <mergeCell ref="F342"/>
    <mergeCell ref="L342"/>
    <mergeCell ref="G340"/>
    <mergeCell ref="C343"/>
    <mergeCell ref="U344"/>
    <mergeCell ref="T344"/>
    <mergeCell ref="S344"/>
    <mergeCell ref="Z341"/>
    <mergeCell ref="F347"/>
    <mergeCell ref="N347"/>
    <mergeCell ref="Y347"/>
    <mergeCell ref="K339"/>
    <mergeCell ref="T339"/>
    <mergeCell ref="M339"/>
    <mergeCell ref="Q339"/>
    <mergeCell ref="C340"/>
    <mergeCell ref="D340"/>
    <mergeCell ref="Z342"/>
    <mergeCell ref="Z346"/>
    <mergeCell ref="E346"/>
    <mergeCell ref="J345"/>
    <mergeCell ref="E340"/>
    <mergeCell ref="S342"/>
    <mergeCell ref="L347"/>
    <mergeCell ref="I343"/>
    <mergeCell ref="T342"/>
    <mergeCell ref="G342"/>
    <mergeCell ref="W342"/>
    <mergeCell ref="D343"/>
    <mergeCell ref="E343"/>
    <mergeCell ref="F343"/>
    <mergeCell ref="R344"/>
    <mergeCell ref="N345"/>
    <mergeCell ref="T345"/>
    <mergeCell ref="F345"/>
    <mergeCell ref="Q344"/>
    <mergeCell ref="H345"/>
    <mergeCell ref="O344"/>
    <mergeCell ref="M343"/>
    <mergeCell ref="J344"/>
    <mergeCell ref="O343"/>
    <mergeCell ref="P344"/>
    <mergeCell ref="M344"/>
    <mergeCell ref="W344"/>
    <mergeCell ref="V344"/>
    <mergeCell ref="W345"/>
    <mergeCell ref="O345"/>
    <mergeCell ref="U345"/>
    <mergeCell ref="G341"/>
    <mergeCell ref="F340"/>
    <mergeCell ref="X340"/>
    <mergeCell ref="D341"/>
    <mergeCell ref="C341"/>
    <mergeCell ref="R340"/>
    <mergeCell ref="S340"/>
    <mergeCell ref="P340"/>
    <mergeCell ref="N344"/>
    <mergeCell ref="C253"/>
    <mergeCell ref="I251"/>
    <mergeCell ref="D257"/>
    <mergeCell ref="I259"/>
    <mergeCell ref="Q259"/>
    <mergeCell ref="U259"/>
    <mergeCell ref="T259"/>
    <mergeCell ref="S259"/>
    <mergeCell ref="R259"/>
    <mergeCell ref="Z257"/>
    <mergeCell ref="M258"/>
    <mergeCell ref="Z266"/>
    <mergeCell ref="J371"/>
    <mergeCell ref="K370"/>
    <mergeCell ref="U370"/>
    <mergeCell ref="P370"/>
    <mergeCell ref="R370"/>
    <mergeCell ref="C371"/>
    <mergeCell ref="D371"/>
    <mergeCell ref="E371"/>
    <mergeCell ref="S369"/>
    <mergeCell ref="H370"/>
    <mergeCell ref="H371"/>
    <mergeCell ref="Y366"/>
    <mergeCell ref="M367"/>
    <mergeCell ref="O367"/>
    <mergeCell ref="N367"/>
    <mergeCell ref="V366"/>
    <mergeCell ref="P346"/>
    <mergeCell ref="D347"/>
    <mergeCell ref="E347"/>
    <mergeCell ref="H346"/>
    <mergeCell ref="N346"/>
    <mergeCell ref="N363"/>
    <mergeCell ref="Y363"/>
    <mergeCell ref="X363"/>
    <mergeCell ref="U363"/>
    <mergeCell ref="S363"/>
    <mergeCell ref="W363"/>
    <mergeCell ref="Y360"/>
    <mergeCell ref="J361"/>
    <mergeCell ref="F363"/>
    <mergeCell ref="R363"/>
    <mergeCell ref="L355"/>
    <mergeCell ref="W356"/>
    <mergeCell ref="I355"/>
    <mergeCell ref="T265"/>
    <mergeCell ref="Y266"/>
    <mergeCell ref="S266"/>
    <mergeCell ref="C267"/>
    <mergeCell ref="R266"/>
    <mergeCell ref="D267"/>
    <mergeCell ref="E267"/>
    <mergeCell ref="F267"/>
    <mergeCell ref="G267"/>
    <mergeCell ref="J266"/>
    <mergeCell ref="Z333"/>
    <mergeCell ref="N334"/>
    <mergeCell ref="M333"/>
    <mergeCell ref="V342"/>
    <mergeCell ref="N343"/>
    <mergeCell ref="U343"/>
    <mergeCell ref="V343"/>
    <mergeCell ref="W343"/>
    <mergeCell ref="A249"/>
    <mergeCell ref="B249"/>
    <mergeCell ref="C249"/>
    <mergeCell ref="A244"/>
    <mergeCell ref="C241"/>
    <mergeCell ref="D241"/>
    <mergeCell ref="A247"/>
    <mergeCell ref="B247"/>
    <mergeCell ref="C247"/>
    <mergeCell ref="N248"/>
    <mergeCell ref="O249"/>
    <mergeCell ref="D242"/>
    <mergeCell ref="D246"/>
    <mergeCell ref="U245"/>
    <mergeCell ref="Q245"/>
    <mergeCell ref="T245"/>
    <mergeCell ref="D247"/>
    <mergeCell ref="E247"/>
    <mergeCell ref="A243"/>
    <mergeCell ref="A241"/>
    <mergeCell ref="L249"/>
    <mergeCell ref="N249"/>
    <mergeCell ref="C244"/>
    <mergeCell ref="S245"/>
    <mergeCell ref="D245"/>
    <mergeCell ref="I244"/>
    <mergeCell ref="G245"/>
    <mergeCell ref="F245"/>
    <mergeCell ref="E245"/>
    <mergeCell ref="D249"/>
    <mergeCell ref="J245"/>
    <mergeCell ref="K245"/>
    <mergeCell ref="B246"/>
    <mergeCell ref="A246"/>
    <mergeCell ref="U243"/>
    <mergeCell ref="D243"/>
    <mergeCell ref="C242"/>
    <mergeCell ref="K243"/>
    <mergeCell ref="M243"/>
    <mergeCell ref="U242"/>
    <mergeCell ref="T248"/>
    <mergeCell ref="E249"/>
    <mergeCell ref="Y185"/>
    <mergeCell ref="X185"/>
    <mergeCell ref="U185"/>
    <mergeCell ref="S185"/>
    <mergeCell ref="W184"/>
    <mergeCell ref="J184"/>
    <mergeCell ref="Y239"/>
    <mergeCell ref="Z239"/>
    <mergeCell ref="W229"/>
    <mergeCell ref="R229"/>
    <mergeCell ref="T229"/>
    <mergeCell ref="O227"/>
    <mergeCell ref="X227"/>
    <mergeCell ref="T227"/>
    <mergeCell ref="T231"/>
    <mergeCell ref="I233"/>
    <mergeCell ref="W233"/>
    <mergeCell ref="Q240"/>
    <mergeCell ref="J240"/>
    <mergeCell ref="I235"/>
    <mergeCell ref="T235"/>
    <mergeCell ref="Z232"/>
    <mergeCell ref="H233"/>
    <mergeCell ref="Y234"/>
    <mergeCell ref="Y238"/>
    <mergeCell ref="C245"/>
    <mergeCell ref="C246"/>
    <mergeCell ref="A248"/>
    <mergeCell ref="B248"/>
    <mergeCell ref="C248"/>
    <mergeCell ref="Z240"/>
    <mergeCell ref="R226"/>
    <mergeCell ref="L227"/>
    <mergeCell ref="K229"/>
    <mergeCell ref="U229"/>
    <mergeCell ref="R234"/>
    <mergeCell ref="P234"/>
    <mergeCell ref="S234"/>
    <mergeCell ref="T234"/>
    <mergeCell ref="V234"/>
    <mergeCell ref="L234"/>
    <mergeCell ref="W234"/>
    <mergeCell ref="J234"/>
    <mergeCell ref="U234"/>
    <mergeCell ref="V233"/>
    <mergeCell ref="H234"/>
    <mergeCell ref="U231"/>
    <mergeCell ref="R233"/>
    <mergeCell ref="X233"/>
    <mergeCell ref="R220"/>
    <mergeCell ref="T220"/>
    <mergeCell ref="U220"/>
    <mergeCell ref="V220"/>
    <mergeCell ref="Q218"/>
    <mergeCell ref="I219"/>
    <mergeCell ref="H218"/>
    <mergeCell ref="H220"/>
    <mergeCell ref="Z230"/>
    <mergeCell ref="I220"/>
    <mergeCell ref="J223"/>
    <mergeCell ref="L248"/>
    <mergeCell ref="P245"/>
    <mergeCell ref="G248"/>
    <mergeCell ref="I248"/>
    <mergeCell ref="Y232"/>
    <mergeCell ref="Y230"/>
    <mergeCell ref="Y240"/>
    <mergeCell ref="O235"/>
    <mergeCell ref="Q236"/>
    <mergeCell ref="W236"/>
    <mergeCell ref="Z168"/>
    <mergeCell ref="M167"/>
    <mergeCell ref="D168"/>
    <mergeCell ref="H166"/>
    <mergeCell ref="K173"/>
    <mergeCell ref="T172"/>
    <mergeCell ref="O173"/>
    <mergeCell ref="R172"/>
    <mergeCell ref="H174"/>
    <mergeCell ref="Y176"/>
    <mergeCell ref="S175"/>
    <mergeCell ref="Q176"/>
    <mergeCell ref="G177"/>
    <mergeCell ref="R175"/>
    <mergeCell ref="U176"/>
    <mergeCell ref="H201"/>
    <mergeCell ref="S201"/>
    <mergeCell ref="X202"/>
    <mergeCell ref="L203"/>
    <mergeCell ref="M203"/>
    <mergeCell ref="T202"/>
    <mergeCell ref="R202"/>
    <mergeCell ref="J203"/>
    <mergeCell ref="S202"/>
    <mergeCell ref="E204"/>
    <mergeCell ref="F204"/>
    <mergeCell ref="G211"/>
    <mergeCell ref="U210"/>
    <mergeCell ref="P210"/>
    <mergeCell ref="Q210"/>
    <mergeCell ref="K211"/>
    <mergeCell ref="W210"/>
    <mergeCell ref="I211"/>
    <mergeCell ref="J211"/>
    <mergeCell ref="T210"/>
    <mergeCell ref="S210"/>
    <mergeCell ref="R211"/>
    <mergeCell ref="M211"/>
    <mergeCell ref="Q211"/>
    <mergeCell ref="M210"/>
    <mergeCell ref="S211"/>
    <mergeCell ref="Y211"/>
    <mergeCell ref="O170"/>
    <mergeCell ref="U170"/>
    <mergeCell ref="M169"/>
    <mergeCell ref="S170"/>
    <mergeCell ref="Q170"/>
    <mergeCell ref="H171"/>
    <mergeCell ref="R171"/>
    <mergeCell ref="Y171"/>
    <mergeCell ref="Z171"/>
    <mergeCell ref="Z182"/>
    <mergeCell ref="P183"/>
    <mergeCell ref="S180"/>
    <mergeCell ref="E179"/>
    <mergeCell ref="O180"/>
    <mergeCell ref="W187"/>
    <mergeCell ref="Q186"/>
    <mergeCell ref="Z760"/>
    <mergeCell ref="P187"/>
    <mergeCell ref="V186"/>
    <mergeCell ref="W186"/>
    <mergeCell ref="M186"/>
    <mergeCell ref="S186"/>
    <mergeCell ref="P186"/>
    <mergeCell ref="A769"/>
    <mergeCell ref="B769"/>
    <mergeCell ref="G756"/>
    <mergeCell ref="O755"/>
    <mergeCell ref="N756"/>
    <mergeCell ref="M756"/>
    <mergeCell ref="J756"/>
    <mergeCell ref="K756"/>
    <mergeCell ref="L756"/>
    <mergeCell ref="N753"/>
    <mergeCell ref="X754"/>
    <mergeCell ref="W754"/>
    <mergeCell ref="U754"/>
    <mergeCell ref="K755"/>
    <mergeCell ref="L755"/>
    <mergeCell ref="M755"/>
    <mergeCell ref="U755"/>
    <mergeCell ref="O754"/>
    <mergeCell ref="V755"/>
    <mergeCell ref="A756"/>
    <mergeCell ref="B756"/>
    <mergeCell ref="C756"/>
    <mergeCell ref="D756"/>
    <mergeCell ref="Y754"/>
    <mergeCell ref="F756"/>
    <mergeCell ref="Z755"/>
    <mergeCell ref="E766"/>
    <mergeCell ref="J765"/>
    <mergeCell ref="K766"/>
    <mergeCell ref="H766"/>
    <mergeCell ref="A767"/>
    <mergeCell ref="B767"/>
    <mergeCell ref="C767"/>
    <mergeCell ref="M767"/>
    <mergeCell ref="X766"/>
    <mergeCell ref="V766"/>
    <mergeCell ref="U766"/>
    <mergeCell ref="R766"/>
    <mergeCell ref="T766"/>
    <mergeCell ref="N766"/>
    <mergeCell ref="L766"/>
    <mergeCell ref="Y766"/>
    <mergeCell ref="K767"/>
    <mergeCell ref="L767"/>
    <mergeCell ref="D769"/>
    <mergeCell ref="H769"/>
    <mergeCell ref="P769"/>
    <mergeCell ref="L769"/>
    <mergeCell ref="K769"/>
    <mergeCell ref="M768"/>
    <mergeCell ref="G769"/>
    <mergeCell ref="Q768"/>
    <mergeCell ref="F769"/>
    <mergeCell ref="J769"/>
    <mergeCell ref="X769"/>
    <mergeCell ref="J755"/>
    <mergeCell ref="P756"/>
    <mergeCell ref="Y765"/>
    <mergeCell ref="O765"/>
    <mergeCell ref="W765"/>
    <mergeCell ref="V765"/>
    <mergeCell ref="Q765"/>
    <mergeCell ref="S765"/>
    <mergeCell ref="U765"/>
    <mergeCell ref="Z765"/>
    <mergeCell ref="G765"/>
    <mergeCell ref="Q766"/>
    <mergeCell ref="G768"/>
    <mergeCell ref="Y767"/>
    <mergeCell ref="I768"/>
    <mergeCell ref="S767"/>
    <mergeCell ref="Q767"/>
    <mergeCell ref="N767"/>
    <mergeCell ref="V767"/>
    <mergeCell ref="B768"/>
    <mergeCell ref="C768"/>
    <mergeCell ref="D768"/>
    <mergeCell ref="E768"/>
    <mergeCell ref="W767"/>
    <mergeCell ref="L768"/>
    <mergeCell ref="U768"/>
    <mergeCell ref="J766"/>
    <mergeCell ref="W766"/>
    <mergeCell ref="I767"/>
    <mergeCell ref="J767"/>
    <mergeCell ref="Z767"/>
    <mergeCell ref="J768"/>
    <mergeCell ref="F768"/>
    <mergeCell ref="V763"/>
    <mergeCell ref="Y768"/>
    <mergeCell ref="Y764"/>
    <mergeCell ref="P768"/>
    <mergeCell ref="Z768"/>
    <mergeCell ref="O768"/>
    <mergeCell ref="X768"/>
    <mergeCell ref="T768"/>
    <mergeCell ref="V768"/>
    <mergeCell ref="E764"/>
    <mergeCell ref="J764"/>
    <mergeCell ref="N764"/>
    <mergeCell ref="O764"/>
    <mergeCell ref="Y763"/>
    <mergeCell ref="M763"/>
    <mergeCell ref="P765"/>
    <mergeCell ref="F766"/>
    <mergeCell ref="D765"/>
    <mergeCell ref="F763"/>
    <mergeCell ref="Z763"/>
    <mergeCell ref="Q764"/>
    <mergeCell ref="Z769"/>
    <mergeCell ref="Z770"/>
    <mergeCell ref="O770"/>
    <mergeCell ref="T770"/>
    <mergeCell ref="U770"/>
    <mergeCell ref="X770"/>
    <mergeCell ref="I770"/>
    <mergeCell ref="O780"/>
    <mergeCell ref="W780"/>
    <mergeCell ref="S780"/>
    <mergeCell ref="Q780"/>
    <mergeCell ref="U780"/>
    <mergeCell ref="Y780"/>
    <mergeCell ref="Z780"/>
    <mergeCell ref="H781"/>
    <mergeCell ref="W783"/>
    <mergeCell ref="P784"/>
    <mergeCell ref="X784"/>
    <mergeCell ref="Y784"/>
    <mergeCell ref="O779"/>
    <mergeCell ref="U779"/>
    <mergeCell ref="G780"/>
    <mergeCell ref="H780"/>
    <mergeCell ref="I780"/>
    <mergeCell ref="J780"/>
    <mergeCell ref="K780"/>
    <mergeCell ref="T780"/>
    <mergeCell ref="S772"/>
    <mergeCell ref="Y769"/>
    <mergeCell ref="O769"/>
    <mergeCell ref="W769"/>
    <mergeCell ref="V769"/>
    <mergeCell ref="Q769"/>
    <mergeCell ref="R770"/>
    <mergeCell ref="S771"/>
    <mergeCell ref="R771"/>
    <mergeCell ref="P771"/>
    <mergeCell ref="Q771"/>
    <mergeCell ref="T771"/>
    <mergeCell ref="U771"/>
    <mergeCell ref="H770"/>
    <mergeCell ref="W770"/>
    <mergeCell ref="G770"/>
    <mergeCell ref="S770"/>
    <mergeCell ref="L770"/>
    <mergeCell ref="P770"/>
    <mergeCell ref="G782"/>
    <mergeCell ref="Z782"/>
    <mergeCell ref="Z779"/>
    <mergeCell ref="P779"/>
    <mergeCell ref="J781"/>
    <mergeCell ref="N781"/>
    <mergeCell ref="M781"/>
    <mergeCell ref="L781"/>
    <mergeCell ref="K781"/>
    <mergeCell ref="L780"/>
    <mergeCell ref="L778"/>
    <mergeCell ref="X774"/>
    <mergeCell ref="K774"/>
    <mergeCell ref="G771"/>
    <mergeCell ref="I769"/>
    <mergeCell ref="T769"/>
    <mergeCell ref="R769"/>
    <mergeCell ref="M769"/>
    <mergeCell ref="W740"/>
    <mergeCell ref="X736"/>
    <mergeCell ref="E737"/>
    <mergeCell ref="Y735"/>
    <mergeCell ref="O736"/>
    <mergeCell ref="S734"/>
    <mergeCell ref="O734"/>
    <mergeCell ref="N734"/>
    <mergeCell ref="P734"/>
    <mergeCell ref="Y751"/>
    <mergeCell ref="D748"/>
    <mergeCell ref="W749"/>
    <mergeCell ref="W750"/>
    <mergeCell ref="D754"/>
    <mergeCell ref="E754"/>
    <mergeCell ref="L748"/>
    <mergeCell ref="N745"/>
    <mergeCell ref="J748"/>
    <mergeCell ref="H747"/>
    <mergeCell ref="L747"/>
    <mergeCell ref="S747"/>
    <mergeCell ref="O746"/>
    <mergeCell ref="Q747"/>
    <mergeCell ref="F754"/>
    <mergeCell ref="V754"/>
    <mergeCell ref="E753"/>
    <mergeCell ref="M752"/>
    <mergeCell ref="Y753"/>
    <mergeCell ref="I753"/>
    <mergeCell ref="T753"/>
    <mergeCell ref="J747"/>
    <mergeCell ref="S748"/>
    <mergeCell ref="Q748"/>
    <mergeCell ref="K747"/>
    <mergeCell ref="I748"/>
    <mergeCell ref="S752"/>
    <mergeCell ref="L753"/>
    <mergeCell ref="V753"/>
    <mergeCell ref="Q753"/>
    <mergeCell ref="K749"/>
    <mergeCell ref="D751"/>
    <mergeCell ref="H751"/>
    <mergeCell ref="I751"/>
    <mergeCell ref="J751"/>
    <mergeCell ref="K751"/>
    <mergeCell ref="X751"/>
    <mergeCell ref="N751"/>
    <mergeCell ref="V751"/>
    <mergeCell ref="Q751"/>
    <mergeCell ref="U751"/>
    <mergeCell ref="M747"/>
    <mergeCell ref="T747"/>
    <mergeCell ref="W747"/>
    <mergeCell ref="V747"/>
    <mergeCell ref="G748"/>
    <mergeCell ref="F753"/>
    <mergeCell ref="Q752"/>
    <mergeCell ref="I746"/>
    <mergeCell ref="E748"/>
    <mergeCell ref="U735"/>
    <mergeCell ref="T735"/>
    <mergeCell ref="N738"/>
    <mergeCell ref="I747"/>
    <mergeCell ref="I728"/>
    <mergeCell ref="J728"/>
    <mergeCell ref="K728"/>
    <mergeCell ref="L728"/>
    <mergeCell ref="M728"/>
    <mergeCell ref="K730"/>
    <mergeCell ref="N730"/>
    <mergeCell ref="O730"/>
    <mergeCell ref="Q719"/>
    <mergeCell ref="T719"/>
    <mergeCell ref="R719"/>
    <mergeCell ref="X733"/>
    <mergeCell ref="S732"/>
    <mergeCell ref="V733"/>
    <mergeCell ref="U729"/>
    <mergeCell ref="H730"/>
    <mergeCell ref="Y730"/>
    <mergeCell ref="H731"/>
    <mergeCell ref="H732"/>
    <mergeCell ref="M731"/>
    <mergeCell ref="U719"/>
    <mergeCell ref="V719"/>
    <mergeCell ref="X719"/>
    <mergeCell ref="I719"/>
    <mergeCell ref="F719"/>
    <mergeCell ref="Y720"/>
    <mergeCell ref="O720"/>
    <mergeCell ref="S720"/>
    <mergeCell ref="Q720"/>
    <mergeCell ref="T720"/>
    <mergeCell ref="U720"/>
    <mergeCell ref="W720"/>
    <mergeCell ref="Z723"/>
    <mergeCell ref="Z724"/>
    <mergeCell ref="Y723"/>
    <mergeCell ref="G720"/>
    <mergeCell ref="V720"/>
    <mergeCell ref="M722"/>
    <mergeCell ref="Y722"/>
    <mergeCell ref="W722"/>
    <mergeCell ref="P722"/>
    <mergeCell ref="F722"/>
    <mergeCell ref="S722"/>
    <mergeCell ref="Z726"/>
    <mergeCell ref="U710"/>
    <mergeCell ref="X709"/>
    <mergeCell ref="W707"/>
    <mergeCell ref="D709"/>
    <mergeCell ref="D708"/>
    <mergeCell ref="J709"/>
    <mergeCell ref="M709"/>
    <mergeCell ref="K709"/>
    <mergeCell ref="R709"/>
    <mergeCell ref="P710"/>
    <mergeCell ref="X700"/>
    <mergeCell ref="L701"/>
    <mergeCell ref="E702"/>
    <mergeCell ref="D705"/>
    <mergeCell ref="B721"/>
    <mergeCell ref="C721"/>
    <mergeCell ref="D721"/>
    <mergeCell ref="E721"/>
    <mergeCell ref="M720"/>
    <mergeCell ref="X721"/>
    <mergeCell ref="T725"/>
    <mergeCell ref="X724"/>
    <mergeCell ref="S723"/>
    <mergeCell ref="L727"/>
    <mergeCell ref="G727"/>
    <mergeCell ref="I727"/>
    <mergeCell ref="P726"/>
    <mergeCell ref="U725"/>
    <mergeCell ref="Y724"/>
    <mergeCell ref="X725"/>
    <mergeCell ref="W725"/>
    <mergeCell ref="V724"/>
    <mergeCell ref="Z725"/>
    <mergeCell ref="J727"/>
    <mergeCell ref="Z701"/>
    <mergeCell ref="W701"/>
    <mergeCell ref="Y702"/>
    <mergeCell ref="Z704"/>
    <mergeCell ref="Z719"/>
    <mergeCell ref="Q730"/>
    <mergeCell ref="J730"/>
    <mergeCell ref="M730"/>
    <mergeCell ref="L730"/>
    <mergeCell ref="L708"/>
    <mergeCell ref="H709"/>
    <mergeCell ref="O709"/>
    <mergeCell ref="S708"/>
    <mergeCell ref="M733"/>
    <mergeCell ref="F712"/>
    <mergeCell ref="Q712"/>
    <mergeCell ref="M707"/>
    <mergeCell ref="Y721"/>
    <mergeCell ref="S721"/>
    <mergeCell ref="Z713"/>
    <mergeCell ref="Y664"/>
    <mergeCell ref="Z663"/>
    <mergeCell ref="M664"/>
    <mergeCell ref="Z677"/>
    <mergeCell ref="M678"/>
    <mergeCell ref="N676"/>
    <mergeCell ref="S677"/>
    <mergeCell ref="K677"/>
    <mergeCell ref="I678"/>
    <mergeCell ref="J678"/>
    <mergeCell ref="N678"/>
    <mergeCell ref="U677"/>
    <mergeCell ref="Q678"/>
    <mergeCell ref="P678"/>
    <mergeCell ref="P677"/>
    <mergeCell ref="T677"/>
    <mergeCell ref="O677"/>
    <mergeCell ref="Z678"/>
    <mergeCell ref="L678"/>
    <mergeCell ref="W677"/>
    <mergeCell ref="V676"/>
    <mergeCell ref="M677"/>
    <mergeCell ref="L676"/>
    <mergeCell ref="Z714"/>
    <mergeCell ref="I715"/>
    <mergeCell ref="Y719"/>
    <mergeCell ref="Y716"/>
    <mergeCell ref="Z691"/>
    <mergeCell ref="O691"/>
    <mergeCell ref="W691"/>
    <mergeCell ref="U691"/>
    <mergeCell ref="T691"/>
    <mergeCell ref="Q691"/>
    <mergeCell ref="S691"/>
    <mergeCell ref="R670"/>
    <mergeCell ref="Z687"/>
    <mergeCell ref="G709"/>
    <mergeCell ref="Q709"/>
    <mergeCell ref="S709"/>
    <mergeCell ref="T709"/>
    <mergeCell ref="M666"/>
    <mergeCell ref="M727"/>
    <mergeCell ref="U728"/>
    <mergeCell ref="Q671"/>
    <mergeCell ref="Q674"/>
    <mergeCell ref="Z675"/>
    <mergeCell ref="Q686"/>
    <mergeCell ref="Z680"/>
    <mergeCell ref="A678"/>
    <mergeCell ref="Q677"/>
    <mergeCell ref="H678"/>
    <mergeCell ref="A679"/>
    <mergeCell ref="B679"/>
    <mergeCell ref="C679"/>
    <mergeCell ref="D679"/>
    <mergeCell ref="E679"/>
    <mergeCell ref="T685"/>
    <mergeCell ref="Y686"/>
    <mergeCell ref="S686"/>
    <mergeCell ref="R686"/>
    <mergeCell ref="B691"/>
    <mergeCell ref="H692"/>
    <mergeCell ref="J692"/>
    <mergeCell ref="K692"/>
    <mergeCell ref="L692"/>
    <mergeCell ref="M692"/>
    <mergeCell ref="V690"/>
    <mergeCell ref="E691"/>
    <mergeCell ref="W694"/>
    <mergeCell ref="I696"/>
    <mergeCell ref="Q697"/>
    <mergeCell ref="Y697"/>
    <mergeCell ref="U697"/>
    <mergeCell ref="S697"/>
    <mergeCell ref="F698"/>
    <mergeCell ref="K696"/>
    <mergeCell ref="T696"/>
    <mergeCell ref="M696"/>
    <mergeCell ref="Q696"/>
    <mergeCell ref="E697"/>
    <mergeCell ref="F697"/>
    <mergeCell ref="I698"/>
    <mergeCell ref="J695"/>
    <mergeCell ref="I695"/>
    <mergeCell ref="V694"/>
    <mergeCell ref="Y695"/>
    <mergeCell ref="S681"/>
    <mergeCell ref="I687"/>
    <mergeCell ref="K687"/>
    <mergeCell ref="T697"/>
    <mergeCell ref="N698"/>
    <mergeCell ref="O698"/>
    <mergeCell ref="P697"/>
    <mergeCell ref="W698"/>
    <mergeCell ref="F691"/>
    <mergeCell ref="N691"/>
    <mergeCell ref="J691"/>
    <mergeCell ref="I691"/>
    <mergeCell ref="F692"/>
    <mergeCell ref="G692"/>
    <mergeCell ref="B677"/>
    <mergeCell ref="W689"/>
    <mergeCell ref="S689"/>
    <mergeCell ref="Q689"/>
    <mergeCell ref="X689"/>
    <mergeCell ref="P689"/>
    <mergeCell ref="T689"/>
    <mergeCell ref="R689"/>
    <mergeCell ref="V689"/>
    <mergeCell ref="Y681"/>
    <mergeCell ref="D684"/>
    <mergeCell ref="B687"/>
    <mergeCell ref="C682"/>
    <mergeCell ref="C681"/>
    <mergeCell ref="E680"/>
    <mergeCell ref="K679"/>
    <mergeCell ref="U678"/>
    <mergeCell ref="L679"/>
    <mergeCell ref="S678"/>
    <mergeCell ref="N679"/>
    <mergeCell ref="U679"/>
    <mergeCell ref="R679"/>
    <mergeCell ref="J680"/>
    <mergeCell ref="U684"/>
    <mergeCell ref="V684"/>
    <mergeCell ref="J682"/>
    <mergeCell ref="X682"/>
    <mergeCell ref="V680"/>
    <mergeCell ref="I680"/>
    <mergeCell ref="R676"/>
    <mergeCell ref="C677"/>
    <mergeCell ref="D677"/>
    <mergeCell ref="F675"/>
    <mergeCell ref="J675"/>
    <mergeCell ref="H675"/>
    <mergeCell ref="O675"/>
    <mergeCell ref="P675"/>
    <mergeCell ref="Q675"/>
    <mergeCell ref="X676"/>
    <mergeCell ref="L677"/>
    <mergeCell ref="Z681"/>
    <mergeCell ref="Q679"/>
    <mergeCell ref="Y680"/>
    <mergeCell ref="X679"/>
    <mergeCell ref="S679"/>
    <mergeCell ref="Z679"/>
    <mergeCell ref="W678"/>
    <mergeCell ref="J679"/>
    <mergeCell ref="O679"/>
    <mergeCell ref="Y679"/>
    <mergeCell ref="T679"/>
    <mergeCell ref="D682"/>
    <mergeCell ref="N684"/>
    <mergeCell ref="G684"/>
    <mergeCell ref="L683"/>
    <mergeCell ref="G683"/>
    <mergeCell ref="M684"/>
    <mergeCell ref="L684"/>
    <mergeCell ref="L682"/>
    <mergeCell ref="F678"/>
    <mergeCell ref="Z654"/>
    <mergeCell ref="Z656"/>
    <mergeCell ref="Z657"/>
    <mergeCell ref="A673"/>
    <mergeCell ref="B673"/>
    <mergeCell ref="C673"/>
    <mergeCell ref="P682"/>
    <mergeCell ref="V679"/>
    <mergeCell ref="D680"/>
    <mergeCell ref="D681"/>
    <mergeCell ref="M679"/>
    <mergeCell ref="W679"/>
    <mergeCell ref="Z689"/>
    <mergeCell ref="U680"/>
    <mergeCell ref="X680"/>
    <mergeCell ref="F681"/>
    <mergeCell ref="K681"/>
    <mergeCell ref="I679"/>
    <mergeCell ref="K680"/>
    <mergeCell ref="N677"/>
    <mergeCell ref="D678"/>
    <mergeCell ref="E678"/>
    <mergeCell ref="Y676"/>
    <mergeCell ref="M676"/>
    <mergeCell ref="W676"/>
    <mergeCell ref="S676"/>
    <mergeCell ref="U676"/>
    <mergeCell ref="V677"/>
    <mergeCell ref="B678"/>
    <mergeCell ref="T675"/>
    <mergeCell ref="U675"/>
    <mergeCell ref="V675"/>
    <mergeCell ref="X675"/>
    <mergeCell ref="U674"/>
    <mergeCell ref="Z669"/>
    <mergeCell ref="N670"/>
    <mergeCell ref="M669"/>
    <mergeCell ref="C676"/>
    <mergeCell ref="A680"/>
    <mergeCell ref="B680"/>
    <mergeCell ref="C680"/>
    <mergeCell ref="A681"/>
    <mergeCell ref="Y669"/>
    <mergeCell ref="P670"/>
    <mergeCell ref="X670"/>
    <mergeCell ref="Y670"/>
    <mergeCell ref="Z670"/>
    <mergeCell ref="E671"/>
    <mergeCell ref="P669"/>
    <mergeCell ref="G671"/>
    <mergeCell ref="G670"/>
    <mergeCell ref="J669"/>
    <mergeCell ref="H671"/>
    <mergeCell ref="K672"/>
    <mergeCell ref="U672"/>
    <mergeCell ref="O672"/>
    <mergeCell ref="P676"/>
    <mergeCell ref="G677"/>
    <mergeCell ref="H677"/>
    <mergeCell ref="I677"/>
    <mergeCell ref="Z683"/>
    <mergeCell ref="Z684"/>
    <mergeCell ref="J685"/>
    <mergeCell ref="F683"/>
    <mergeCell ref="A677"/>
    <mergeCell ref="W670"/>
    <mergeCell ref="Z671"/>
    <mergeCell ref="O671"/>
    <mergeCell ref="X671"/>
    <mergeCell ref="W671"/>
    <mergeCell ref="R671"/>
    <mergeCell ref="T671"/>
    <mergeCell ref="V671"/>
    <mergeCell ref="L671"/>
    <mergeCell ref="M671"/>
    <mergeCell ref="A672"/>
    <mergeCell ref="B672"/>
    <mergeCell ref="C672"/>
    <mergeCell ref="H670"/>
    <mergeCell ref="N671"/>
    <mergeCell ref="F671"/>
    <mergeCell ref="D672"/>
    <mergeCell ref="O670"/>
    <mergeCell ref="U669"/>
    <mergeCell ref="V670"/>
    <mergeCell ref="U670"/>
    <mergeCell ref="T670"/>
    <mergeCell ref="S670"/>
    <mergeCell ref="T672"/>
    <mergeCell ref="B674"/>
    <mergeCell ref="S673"/>
    <mergeCell ref="R673"/>
    <mergeCell ref="P673"/>
    <mergeCell ref="L673"/>
    <mergeCell ref="C674"/>
    <mergeCell ref="E677"/>
    <mergeCell ref="F677"/>
    <mergeCell ref="X674"/>
    <mergeCell ref="W674"/>
    <mergeCell ref="T674"/>
    <mergeCell ref="R674"/>
    <mergeCell ref="V674"/>
    <mergeCell ref="A675"/>
    <mergeCell ref="B675"/>
    <mergeCell ref="Y674"/>
    <mergeCell ref="K671"/>
    <mergeCell ref="Y671"/>
    <mergeCell ref="B676"/>
    <mergeCell ref="I676"/>
    <mergeCell ref="H676"/>
    <mergeCell ref="G676"/>
    <mergeCell ref="F676"/>
    <mergeCell ref="E676"/>
    <mergeCell ref="D676"/>
    <mergeCell ref="E675"/>
    <mergeCell ref="M673"/>
    <mergeCell ref="G674"/>
    <mergeCell ref="P674"/>
    <mergeCell ref="L674"/>
    <mergeCell ref="Q669"/>
    <mergeCell ref="D670"/>
    <mergeCell ref="E670"/>
    <mergeCell ref="D671"/>
    <mergeCell ref="M670"/>
    <mergeCell ref="W669"/>
    <mergeCell ref="Q670"/>
    <mergeCell ref="S669"/>
    <mergeCell ref="I671"/>
    <mergeCell ref="C621"/>
    <mergeCell ref="L621"/>
    <mergeCell ref="E621"/>
    <mergeCell ref="G621"/>
    <mergeCell ref="U621"/>
    <mergeCell ref="K621"/>
    <mergeCell ref="Q621"/>
    <mergeCell ref="O621"/>
    <mergeCell ref="N621"/>
    <mergeCell ref="M621"/>
    <mergeCell ref="S621"/>
    <mergeCell ref="D620"/>
    <mergeCell ref="Q620"/>
    <mergeCell ref="O620"/>
    <mergeCell ref="G620"/>
    <mergeCell ref="F621"/>
    <mergeCell ref="R621"/>
    <mergeCell ref="O617"/>
    <mergeCell ref="H616"/>
    <mergeCell ref="N620"/>
    <mergeCell ref="Y620"/>
    <mergeCell ref="K620"/>
    <mergeCell ref="Q614"/>
    <mergeCell ref="P620"/>
    <mergeCell ref="V620"/>
    <mergeCell ref="T620"/>
    <mergeCell ref="S620"/>
    <mergeCell ref="R620"/>
    <mergeCell ref="X620"/>
    <mergeCell ref="H621"/>
    <mergeCell ref="D619"/>
    <mergeCell ref="Q619"/>
    <mergeCell ref="O619"/>
    <mergeCell ref="J619"/>
    <mergeCell ref="M617"/>
    <mergeCell ref="D621"/>
    <mergeCell ref="X619"/>
    <mergeCell ref="Y619"/>
    <mergeCell ref="M620"/>
    <mergeCell ref="H620"/>
    <mergeCell ref="J620"/>
    <mergeCell ref="G619"/>
    <mergeCell ref="I620"/>
    <mergeCell ref="X614"/>
    <mergeCell ref="S614"/>
    <mergeCell ref="V614"/>
    <mergeCell ref="W614"/>
    <mergeCell ref="U614"/>
    <mergeCell ref="P614"/>
    <mergeCell ref="F615"/>
    <mergeCell ref="X601"/>
    <mergeCell ref="H602"/>
    <mergeCell ref="R602"/>
    <mergeCell ref="W602"/>
    <mergeCell ref="X602"/>
    <mergeCell ref="N614"/>
    <mergeCell ref="Q617"/>
    <mergeCell ref="A577"/>
    <mergeCell ref="Q586"/>
    <mergeCell ref="U586"/>
    <mergeCell ref="N617"/>
    <mergeCell ref="V618"/>
    <mergeCell ref="G616"/>
    <mergeCell ref="U617"/>
    <mergeCell ref="N618"/>
    <mergeCell ref="L617"/>
    <mergeCell ref="M607"/>
    <mergeCell ref="C607"/>
    <mergeCell ref="U606"/>
    <mergeCell ref="C603"/>
    <mergeCell ref="L602"/>
    <mergeCell ref="V603"/>
    <mergeCell ref="N603"/>
    <mergeCell ref="T603"/>
    <mergeCell ref="Y614"/>
    <mergeCell ref="K614"/>
    <mergeCell ref="V613"/>
    <mergeCell ref="O614"/>
    <mergeCell ref="S613"/>
    <mergeCell ref="T614"/>
    <mergeCell ref="R613"/>
    <mergeCell ref="R614"/>
    <mergeCell ref="L620"/>
    <mergeCell ref="W620"/>
    <mergeCell ref="P613"/>
    <mergeCell ref="X613"/>
    <mergeCell ref="C613"/>
    <mergeCell ref="D613"/>
    <mergeCell ref="O612"/>
    <mergeCell ref="P612"/>
    <mergeCell ref="G605"/>
    <mergeCell ref="A605"/>
    <mergeCell ref="A607"/>
    <mergeCell ref="O607"/>
    <mergeCell ref="N607"/>
    <mergeCell ref="F608"/>
    <mergeCell ref="G608"/>
    <mergeCell ref="H608"/>
    <mergeCell ref="C605"/>
    <mergeCell ref="B607"/>
    <mergeCell ref="O606"/>
    <mergeCell ref="O608"/>
    <mergeCell ref="W609"/>
    <mergeCell ref="U609"/>
    <mergeCell ref="F607"/>
    <mergeCell ref="C609"/>
    <mergeCell ref="B608"/>
    <mergeCell ref="E608"/>
    <mergeCell ref="N609"/>
    <mergeCell ref="D609"/>
    <mergeCell ref="P609"/>
    <mergeCell ref="Q609"/>
    <mergeCell ref="R609"/>
    <mergeCell ref="S609"/>
    <mergeCell ref="Y565"/>
    <mergeCell ref="U575"/>
    <mergeCell ref="I569"/>
    <mergeCell ref="Y564"/>
    <mergeCell ref="O569"/>
    <mergeCell ref="T569"/>
    <mergeCell ref="Y567"/>
    <mergeCell ref="P569"/>
    <mergeCell ref="S569"/>
    <mergeCell ref="L569"/>
    <mergeCell ref="C574"/>
    <mergeCell ref="F576"/>
    <mergeCell ref="W563"/>
    <mergeCell ref="U563"/>
    <mergeCell ref="V563"/>
    <mergeCell ref="S563"/>
    <mergeCell ref="J564"/>
    <mergeCell ref="K564"/>
    <mergeCell ref="W564"/>
    <mergeCell ref="G565"/>
    <mergeCell ref="H565"/>
    <mergeCell ref="T564"/>
    <mergeCell ref="S564"/>
    <mergeCell ref="M575"/>
    <mergeCell ref="D574"/>
    <mergeCell ref="Y566"/>
    <mergeCell ref="F567"/>
    <mergeCell ref="B575"/>
    <mergeCell ref="C575"/>
    <mergeCell ref="A614"/>
    <mergeCell ref="B614"/>
    <mergeCell ref="C614"/>
    <mergeCell ref="G613"/>
    <mergeCell ref="V583"/>
    <mergeCell ref="M572"/>
    <mergeCell ref="X572"/>
    <mergeCell ref="X573"/>
    <mergeCell ref="H572"/>
    <mergeCell ref="R572"/>
    <mergeCell ref="A573"/>
    <mergeCell ref="O572"/>
    <mergeCell ref="B582"/>
    <mergeCell ref="F577"/>
    <mergeCell ref="E590"/>
    <mergeCell ref="N590"/>
    <mergeCell ref="M603"/>
    <mergeCell ref="U604"/>
    <mergeCell ref="M605"/>
    <mergeCell ref="B581"/>
    <mergeCell ref="B599"/>
    <mergeCell ref="B606"/>
    <mergeCell ref="B604"/>
    <mergeCell ref="A601"/>
    <mergeCell ref="A600"/>
    <mergeCell ref="E601"/>
    <mergeCell ref="D601"/>
    <mergeCell ref="C601"/>
    <mergeCell ref="H601"/>
    <mergeCell ref="A603"/>
    <mergeCell ref="K600"/>
    <mergeCell ref="S601"/>
    <mergeCell ref="R601"/>
    <mergeCell ref="V600"/>
    <mergeCell ref="O601"/>
    <mergeCell ref="Z566"/>
    <mergeCell ref="Z570"/>
    <mergeCell ref="Z574"/>
    <mergeCell ref="G576"/>
    <mergeCell ref="E581"/>
    <mergeCell ref="L582"/>
    <mergeCell ref="Z569"/>
    <mergeCell ref="Z562"/>
    <mergeCell ref="D563"/>
    <mergeCell ref="M569"/>
    <mergeCell ref="K569"/>
    <mergeCell ref="D570"/>
    <mergeCell ref="E570"/>
    <mergeCell ref="Z565"/>
    <mergeCell ref="W568"/>
    <mergeCell ref="S568"/>
    <mergeCell ref="W580"/>
    <mergeCell ref="H581"/>
    <mergeCell ref="I581"/>
    <mergeCell ref="Y580"/>
    <mergeCell ref="K581"/>
    <mergeCell ref="L579"/>
    <mergeCell ref="K574"/>
    <mergeCell ref="Z564"/>
    <mergeCell ref="F565"/>
    <mergeCell ref="Z567"/>
    <mergeCell ref="D568"/>
    <mergeCell ref="Z572"/>
    <mergeCell ref="M562"/>
    <mergeCell ref="B577"/>
    <mergeCell ref="S576"/>
    <mergeCell ref="N575"/>
    <mergeCell ref="R576"/>
    <mergeCell ref="Q576"/>
    <mergeCell ref="B576"/>
    <mergeCell ref="C576"/>
    <mergeCell ref="G570"/>
    <mergeCell ref="N571"/>
    <mergeCell ref="C569"/>
    <mergeCell ref="C570"/>
    <mergeCell ref="C564"/>
    <mergeCell ref="C563"/>
    <mergeCell ref="E574"/>
    <mergeCell ref="H574"/>
    <mergeCell ref="G574"/>
    <mergeCell ref="F574"/>
    <mergeCell ref="Y573"/>
    <mergeCell ref="T572"/>
    <mergeCell ref="P572"/>
    <mergeCell ref="N572"/>
    <mergeCell ref="W573"/>
    <mergeCell ref="D567"/>
    <mergeCell ref="F566"/>
    <mergeCell ref="E569"/>
    <mergeCell ref="E568"/>
    <mergeCell ref="K570"/>
    <mergeCell ref="E566"/>
    <mergeCell ref="E567"/>
    <mergeCell ref="K565"/>
    <mergeCell ref="G566"/>
    <mergeCell ref="J566"/>
    <mergeCell ref="I566"/>
    <mergeCell ref="Y563"/>
    <mergeCell ref="S565"/>
    <mergeCell ref="M559"/>
    <mergeCell ref="I559"/>
    <mergeCell ref="G559"/>
    <mergeCell ref="V567"/>
    <mergeCell ref="O562"/>
    <mergeCell ref="H564"/>
    <mergeCell ref="I565"/>
    <mergeCell ref="N560"/>
    <mergeCell ref="Q564"/>
    <mergeCell ref="W567"/>
    <mergeCell ref="V564"/>
    <mergeCell ref="N563"/>
    <mergeCell ref="O563"/>
    <mergeCell ref="P563"/>
    <mergeCell ref="K563"/>
    <mergeCell ref="U562"/>
    <mergeCell ref="R561"/>
    <mergeCell ref="M563"/>
    <mergeCell ref="H562"/>
    <mergeCell ref="I562"/>
    <mergeCell ref="N566"/>
    <mergeCell ref="L566"/>
    <mergeCell ref="W566"/>
    <mergeCell ref="G567"/>
    <mergeCell ref="H567"/>
    <mergeCell ref="M567"/>
    <mergeCell ref="Q566"/>
    <mergeCell ref="U567"/>
    <mergeCell ref="I567"/>
    <mergeCell ref="T584"/>
    <mergeCell ref="Z575"/>
    <mergeCell ref="J576"/>
    <mergeCell ref="D577"/>
    <mergeCell ref="E577"/>
    <mergeCell ref="E579"/>
    <mergeCell ref="N579"/>
    <mergeCell ref="G579"/>
    <mergeCell ref="K579"/>
    <mergeCell ref="T580"/>
    <mergeCell ref="X580"/>
    <mergeCell ref="P578"/>
    <mergeCell ref="G571"/>
    <mergeCell ref="F570"/>
    <mergeCell ref="L570"/>
    <mergeCell ref="S570"/>
    <mergeCell ref="Q570"/>
    <mergeCell ref="Q578"/>
    <mergeCell ref="U578"/>
    <mergeCell ref="J578"/>
    <mergeCell ref="V578"/>
    <mergeCell ref="I578"/>
    <mergeCell ref="R578"/>
    <mergeCell ref="Z560"/>
    <mergeCell ref="O560"/>
    <mergeCell ref="K575"/>
    <mergeCell ref="X575"/>
    <mergeCell ref="D576"/>
    <mergeCell ref="I576"/>
    <mergeCell ref="E561"/>
    <mergeCell ref="D562"/>
    <mergeCell ref="P562"/>
    <mergeCell ref="Z563"/>
    <mergeCell ref="N576"/>
    <mergeCell ref="T576"/>
    <mergeCell ref="Y562"/>
    <mergeCell ref="T562"/>
    <mergeCell ref="V562"/>
    <mergeCell ref="H563"/>
    <mergeCell ref="I563"/>
    <mergeCell ref="S561"/>
    <mergeCell ref="K562"/>
    <mergeCell ref="J561"/>
    <mergeCell ref="L562"/>
    <mergeCell ref="P561"/>
    <mergeCell ref="R562"/>
    <mergeCell ref="G563"/>
    <mergeCell ref="W562"/>
    <mergeCell ref="Z579"/>
    <mergeCell ref="X583"/>
    <mergeCell ref="S583"/>
    <mergeCell ref="U583"/>
    <mergeCell ref="F584"/>
    <mergeCell ref="G584"/>
    <mergeCell ref="H584"/>
    <mergeCell ref="C583"/>
    <mergeCell ref="Q583"/>
    <mergeCell ref="F582"/>
    <mergeCell ref="K572"/>
    <mergeCell ref="O575"/>
    <mergeCell ref="J575"/>
    <mergeCell ref="K561"/>
    <mergeCell ref="L561"/>
    <mergeCell ref="G561"/>
    <mergeCell ref="H561"/>
    <mergeCell ref="X576"/>
    <mergeCell ref="E580"/>
    <mergeCell ref="J579"/>
    <mergeCell ref="F580"/>
    <mergeCell ref="H580"/>
    <mergeCell ref="H579"/>
    <mergeCell ref="T579"/>
    <mergeCell ref="M579"/>
    <mergeCell ref="Q579"/>
    <mergeCell ref="C582"/>
    <mergeCell ref="N577"/>
    <mergeCell ref="P577"/>
    <mergeCell ref="K577"/>
    <mergeCell ref="I577"/>
    <mergeCell ref="M577"/>
    <mergeCell ref="Y577"/>
    <mergeCell ref="G577"/>
    <mergeCell ref="Q577"/>
    <mergeCell ref="Z583"/>
    <mergeCell ref="O578"/>
    <mergeCell ref="P576"/>
    <mergeCell ref="O576"/>
    <mergeCell ref="Q569"/>
    <mergeCell ref="H570"/>
    <mergeCell ref="V568"/>
    <mergeCell ref="P568"/>
    <mergeCell ref="Y579"/>
    <mergeCell ref="P580"/>
    <mergeCell ref="Z580"/>
    <mergeCell ref="R564"/>
    <mergeCell ref="E565"/>
    <mergeCell ref="M565"/>
    <mergeCell ref="U564"/>
    <mergeCell ref="D566"/>
    <mergeCell ref="Y561"/>
    <mergeCell ref="W561"/>
    <mergeCell ref="T561"/>
    <mergeCell ref="V561"/>
    <mergeCell ref="E563"/>
    <mergeCell ref="U568"/>
    <mergeCell ref="R568"/>
    <mergeCell ref="L572"/>
    <mergeCell ref="L563"/>
    <mergeCell ref="B585"/>
    <mergeCell ref="L585"/>
    <mergeCell ref="F586"/>
    <mergeCell ref="P585"/>
    <mergeCell ref="B584"/>
    <mergeCell ref="J586"/>
    <mergeCell ref="N574"/>
    <mergeCell ref="O579"/>
    <mergeCell ref="U579"/>
    <mergeCell ref="P579"/>
    <mergeCell ref="S579"/>
    <mergeCell ref="V579"/>
    <mergeCell ref="N583"/>
    <mergeCell ref="R569"/>
    <mergeCell ref="B555"/>
    <mergeCell ref="D548"/>
    <mergeCell ref="I547"/>
    <mergeCell ref="E545"/>
    <mergeCell ref="A547"/>
    <mergeCell ref="A548"/>
    <mergeCell ref="H546"/>
    <mergeCell ref="T546"/>
    <mergeCell ref="R546"/>
    <mergeCell ref="K546"/>
    <mergeCell ref="A555"/>
    <mergeCell ref="A558"/>
    <mergeCell ref="B558"/>
    <mergeCell ref="S556"/>
    <mergeCell ref="E557"/>
    <mergeCell ref="A561"/>
    <mergeCell ref="E560"/>
    <mergeCell ref="B559"/>
    <mergeCell ref="D560"/>
    <mergeCell ref="C560"/>
    <mergeCell ref="B560"/>
    <mergeCell ref="B561"/>
    <mergeCell ref="U557"/>
    <mergeCell ref="R558"/>
    <mergeCell ref="V558"/>
    <mergeCell ref="V559"/>
    <mergeCell ref="A578"/>
    <mergeCell ref="B578"/>
    <mergeCell ref="C578"/>
    <mergeCell ref="F560"/>
    <mergeCell ref="G560"/>
    <mergeCell ref="C561"/>
    <mergeCell ref="D561"/>
    <mergeCell ref="A564"/>
    <mergeCell ref="H560"/>
    <mergeCell ref="I561"/>
    <mergeCell ref="B563"/>
    <mergeCell ref="C562"/>
    <mergeCell ref="B562"/>
    <mergeCell ref="A562"/>
    <mergeCell ref="V556"/>
    <mergeCell ref="A553"/>
    <mergeCell ref="B553"/>
    <mergeCell ref="A552"/>
    <mergeCell ref="B552"/>
    <mergeCell ref="L552"/>
    <mergeCell ref="U552"/>
    <mergeCell ref="P552"/>
    <mergeCell ref="R552"/>
    <mergeCell ref="C553"/>
    <mergeCell ref="A550"/>
    <mergeCell ref="I551"/>
    <mergeCell ref="U551"/>
    <mergeCell ref="R550"/>
    <mergeCell ref="J551"/>
    <mergeCell ref="P550"/>
    <mergeCell ref="R551"/>
    <mergeCell ref="D552"/>
    <mergeCell ref="K553"/>
    <mergeCell ref="N553"/>
    <mergeCell ref="N552"/>
    <mergeCell ref="L553"/>
    <mergeCell ref="M551"/>
    <mergeCell ref="T556"/>
    <mergeCell ref="T563"/>
    <mergeCell ref="K573"/>
    <mergeCell ref="F573"/>
    <mergeCell ref="R573"/>
    <mergeCell ref="P573"/>
    <mergeCell ref="H573"/>
    <mergeCell ref="S573"/>
    <mergeCell ref="G573"/>
    <mergeCell ref="Q573"/>
    <mergeCell ref="M573"/>
    <mergeCell ref="O573"/>
    <mergeCell ref="T573"/>
    <mergeCell ref="U573"/>
    <mergeCell ref="A566"/>
    <mergeCell ref="S558"/>
    <mergeCell ref="C566"/>
    <mergeCell ref="A570"/>
    <mergeCell ref="B570"/>
    <mergeCell ref="A571"/>
    <mergeCell ref="C572"/>
    <mergeCell ref="B573"/>
    <mergeCell ref="B571"/>
    <mergeCell ref="B568"/>
    <mergeCell ref="A569"/>
    <mergeCell ref="C573"/>
    <mergeCell ref="J570"/>
    <mergeCell ref="T568"/>
    <mergeCell ref="T567"/>
    <mergeCell ref="L565"/>
    <mergeCell ref="Q565"/>
    <mergeCell ref="P565"/>
    <mergeCell ref="O565"/>
    <mergeCell ref="H566"/>
    <mergeCell ref="E559"/>
    <mergeCell ref="N562"/>
    <mergeCell ref="Q563"/>
    <mergeCell ref="R560"/>
    <mergeCell ref="S560"/>
    <mergeCell ref="T560"/>
    <mergeCell ref="G564"/>
    <mergeCell ref="L564"/>
    <mergeCell ref="A574"/>
    <mergeCell ref="B574"/>
    <mergeCell ref="J569"/>
    <mergeCell ref="O566"/>
    <mergeCell ref="A557"/>
    <mergeCell ref="O556"/>
    <mergeCell ref="P556"/>
    <mergeCell ref="Q556"/>
    <mergeCell ref="R556"/>
    <mergeCell ref="N556"/>
    <mergeCell ref="G556"/>
    <mergeCell ref="A556"/>
    <mergeCell ref="B556"/>
    <mergeCell ref="S562"/>
    <mergeCell ref="I564"/>
    <mergeCell ref="L574"/>
    <mergeCell ref="T574"/>
    <mergeCell ref="P574"/>
    <mergeCell ref="T575"/>
    <mergeCell ref="A559"/>
    <mergeCell ref="A399"/>
    <mergeCell ref="B399"/>
    <mergeCell ref="C399"/>
    <mergeCell ref="Y398"/>
    <mergeCell ref="K399"/>
    <mergeCell ref="T402"/>
    <mergeCell ref="O399"/>
    <mergeCell ref="U399"/>
    <mergeCell ref="A391"/>
    <mergeCell ref="A392"/>
    <mergeCell ref="S396"/>
    <mergeCell ref="Q396"/>
    <mergeCell ref="D397"/>
    <mergeCell ref="E397"/>
    <mergeCell ref="F397"/>
    <mergeCell ref="G397"/>
    <mergeCell ref="A554"/>
    <mergeCell ref="B554"/>
    <mergeCell ref="C554"/>
    <mergeCell ref="D554"/>
    <mergeCell ref="H555"/>
    <mergeCell ref="Y554"/>
    <mergeCell ref="I555"/>
    <mergeCell ref="W554"/>
    <mergeCell ref="N551"/>
    <mergeCell ref="K552"/>
    <mergeCell ref="Q552"/>
    <mergeCell ref="F553"/>
    <mergeCell ref="G553"/>
    <mergeCell ref="H553"/>
    <mergeCell ref="M554"/>
    <mergeCell ref="V554"/>
    <mergeCell ref="O406"/>
    <mergeCell ref="G407"/>
    <mergeCell ref="N407"/>
    <mergeCell ref="O407"/>
    <mergeCell ref="P407"/>
    <mergeCell ref="Q407"/>
    <mergeCell ref="R407"/>
    <mergeCell ref="X406"/>
    <mergeCell ref="M406"/>
    <mergeCell ref="Y510"/>
    <mergeCell ref="X510"/>
    <mergeCell ref="T510"/>
    <mergeCell ref="Y534"/>
    <mergeCell ref="V536"/>
    <mergeCell ref="N537"/>
    <mergeCell ref="X537"/>
    <mergeCell ref="U510"/>
    <mergeCell ref="V510"/>
    <mergeCell ref="J423"/>
    <mergeCell ref="J422"/>
    <mergeCell ref="U422"/>
    <mergeCell ref="N411"/>
    <mergeCell ref="W411"/>
    <mergeCell ref="P411"/>
    <mergeCell ref="R411"/>
    <mergeCell ref="D412"/>
    <mergeCell ref="Q391"/>
    <mergeCell ref="A423"/>
    <mergeCell ref="A418"/>
    <mergeCell ref="U418"/>
    <mergeCell ref="T418"/>
    <mergeCell ref="S418"/>
    <mergeCell ref="R418"/>
    <mergeCell ref="J418"/>
    <mergeCell ref="Y420"/>
    <mergeCell ref="G454"/>
    <mergeCell ref="Y390"/>
    <mergeCell ref="P387"/>
    <mergeCell ref="G388"/>
    <mergeCell ref="F389"/>
    <mergeCell ref="G389"/>
    <mergeCell ref="H389"/>
    <mergeCell ref="I389"/>
    <mergeCell ref="Z399"/>
    <mergeCell ref="L399"/>
    <mergeCell ref="Q399"/>
    <mergeCell ref="E399"/>
    <mergeCell ref="O411"/>
    <mergeCell ref="Q411"/>
    <mergeCell ref="L412"/>
    <mergeCell ref="S412"/>
    <mergeCell ref="M412"/>
    <mergeCell ref="W412"/>
    <mergeCell ref="R412"/>
    <mergeCell ref="T412"/>
    <mergeCell ref="L410"/>
    <mergeCell ref="S411"/>
    <mergeCell ref="G412"/>
    <mergeCell ref="G413"/>
    <mergeCell ref="Z390"/>
    <mergeCell ref="C391"/>
    <mergeCell ref="K389"/>
    <mergeCell ref="U389"/>
    <mergeCell ref="A390"/>
    <mergeCell ref="B390"/>
    <mergeCell ref="D388"/>
    <mergeCell ref="P388"/>
    <mergeCell ref="H390"/>
    <mergeCell ref="X389"/>
    <mergeCell ref="J505"/>
    <mergeCell ref="E504"/>
    <mergeCell ref="C394"/>
    <mergeCell ref="B504"/>
    <mergeCell ref="D392"/>
    <mergeCell ref="E392"/>
    <mergeCell ref="V389"/>
    <mergeCell ref="Y574"/>
    <mergeCell ref="M560"/>
    <mergeCell ref="W559"/>
    <mergeCell ref="J563"/>
    <mergeCell ref="D572"/>
    <mergeCell ref="E572"/>
    <mergeCell ref="Z551"/>
    <mergeCell ref="P551"/>
    <mergeCell ref="S551"/>
    <mergeCell ref="Q551"/>
    <mergeCell ref="X551"/>
    <mergeCell ref="Y550"/>
    <mergeCell ref="L551"/>
    <mergeCell ref="D396"/>
    <mergeCell ref="L392"/>
    <mergeCell ref="K391"/>
    <mergeCell ref="J392"/>
    <mergeCell ref="I543"/>
    <mergeCell ref="T543"/>
    <mergeCell ref="P396"/>
    <mergeCell ref="J454"/>
    <mergeCell ref="R454"/>
    <mergeCell ref="F451"/>
    <mergeCell ref="S451"/>
    <mergeCell ref="Q451"/>
    <mergeCell ref="I451"/>
    <mergeCell ref="I452"/>
    <mergeCell ref="J452"/>
    <mergeCell ref="K452"/>
    <mergeCell ref="Y453"/>
    <mergeCell ref="E454"/>
    <mergeCell ref="P452"/>
    <mergeCell ref="F453"/>
    <mergeCell ref="D453"/>
    <mergeCell ref="H453"/>
    <mergeCell ref="I453"/>
    <mergeCell ref="W454"/>
    <mergeCell ref="Y451"/>
    <mergeCell ref="M452"/>
    <mergeCell ref="V452"/>
    <mergeCell ref="X452"/>
    <mergeCell ref="O453"/>
    <mergeCell ref="P453"/>
    <mergeCell ref="O452"/>
    <mergeCell ref="T452"/>
    <mergeCell ref="Q452"/>
    <mergeCell ref="U452"/>
    <mergeCell ref="Z411"/>
    <mergeCell ref="J412"/>
    <mergeCell ref="J413"/>
    <mergeCell ref="K413"/>
    <mergeCell ref="L413"/>
    <mergeCell ref="N413"/>
    <mergeCell ref="M413"/>
    <mergeCell ref="V413"/>
    <mergeCell ref="F414"/>
    <mergeCell ref="G414"/>
    <mergeCell ref="K412"/>
    <mergeCell ref="U412"/>
    <mergeCell ref="X413"/>
    <mergeCell ref="Q413"/>
    <mergeCell ref="J391"/>
    <mergeCell ref="M392"/>
    <mergeCell ref="T392"/>
    <mergeCell ref="J544"/>
    <mergeCell ref="V544"/>
    <mergeCell ref="H545"/>
    <mergeCell ref="I545"/>
    <mergeCell ref="J545"/>
    <mergeCell ref="K545"/>
    <mergeCell ref="L546"/>
    <mergeCell ref="G545"/>
    <mergeCell ref="X499"/>
    <mergeCell ref="X500"/>
    <mergeCell ref="O545"/>
    <mergeCell ref="F552"/>
    <mergeCell ref="G552"/>
    <mergeCell ref="I553"/>
    <mergeCell ref="T552"/>
    <mergeCell ref="S548"/>
    <mergeCell ref="F575"/>
    <mergeCell ref="X549"/>
    <mergeCell ref="D555"/>
    <mergeCell ref="E555"/>
    <mergeCell ref="U556"/>
    <mergeCell ref="J552"/>
    <mergeCell ref="I552"/>
    <mergeCell ref="V552"/>
    <mergeCell ref="K554"/>
    <mergeCell ref="O553"/>
    <mergeCell ref="L554"/>
    <mergeCell ref="R554"/>
    <mergeCell ref="F555"/>
    <mergeCell ref="X552"/>
    <mergeCell ref="W551"/>
    <mergeCell ref="W544"/>
    <mergeCell ref="P545"/>
    <mergeCell ref="T544"/>
    <mergeCell ref="S544"/>
    <mergeCell ref="N545"/>
    <mergeCell ref="X554"/>
    <mergeCell ref="M556"/>
    <mergeCell ref="F548"/>
    <mergeCell ref="H547"/>
    <mergeCell ref="K548"/>
    <mergeCell ref="F547"/>
    <mergeCell ref="T547"/>
    <mergeCell ref="X560"/>
    <mergeCell ref="V560"/>
    <mergeCell ref="X562"/>
    <mergeCell ref="Q562"/>
    <mergeCell ref="J565"/>
    <mergeCell ref="R559"/>
    <mergeCell ref="U561"/>
    <mergeCell ref="W560"/>
    <mergeCell ref="N559"/>
    <mergeCell ref="H559"/>
    <mergeCell ref="S559"/>
    <mergeCell ref="T559"/>
    <mergeCell ref="J567"/>
    <mergeCell ref="N565"/>
    <mergeCell ref="P564"/>
    <mergeCell ref="O567"/>
    <mergeCell ref="S567"/>
    <mergeCell ref="M561"/>
    <mergeCell ref="G562"/>
    <mergeCell ref="P567"/>
    <mergeCell ref="X563"/>
    <mergeCell ref="A357"/>
    <mergeCell ref="V355"/>
    <mergeCell ref="R357"/>
    <mergeCell ref="E357"/>
    <mergeCell ref="C357"/>
    <mergeCell ref="A350"/>
    <mergeCell ref="Q348"/>
    <mergeCell ref="I349"/>
    <mergeCell ref="I350"/>
    <mergeCell ref="J350"/>
    <mergeCell ref="K405"/>
    <mergeCell ref="L405"/>
    <mergeCell ref="P404"/>
    <mergeCell ref="T405"/>
    <mergeCell ref="V396"/>
    <mergeCell ref="M398"/>
    <mergeCell ref="N398"/>
    <mergeCell ref="W398"/>
    <mergeCell ref="P398"/>
    <mergeCell ref="R398"/>
    <mergeCell ref="D399"/>
    <mergeCell ref="Y350"/>
    <mergeCell ref="Z350"/>
    <mergeCell ref="B352"/>
    <mergeCell ref="G349"/>
    <mergeCell ref="M349"/>
    <mergeCell ref="H347"/>
    <mergeCell ref="G350"/>
    <mergeCell ref="H350"/>
    <mergeCell ref="D351"/>
    <mergeCell ref="E351"/>
    <mergeCell ref="Q349"/>
    <mergeCell ref="A351"/>
    <mergeCell ref="H348"/>
    <mergeCell ref="S348"/>
    <mergeCell ref="U348"/>
    <mergeCell ref="V348"/>
    <mergeCell ref="W348"/>
    <mergeCell ref="X348"/>
    <mergeCell ref="Y348"/>
    <mergeCell ref="Z348"/>
    <mergeCell ref="G347"/>
    <mergeCell ref="M348"/>
    <mergeCell ref="I347"/>
    <mergeCell ref="I348"/>
    <mergeCell ref="A349"/>
    <mergeCell ref="C349"/>
    <mergeCell ref="F348"/>
    <mergeCell ref="A386"/>
    <mergeCell ref="M385"/>
    <mergeCell ref="E386"/>
    <mergeCell ref="D386"/>
    <mergeCell ref="C386"/>
    <mergeCell ref="F403"/>
    <mergeCell ref="Y385"/>
    <mergeCell ref="O385"/>
    <mergeCell ref="S385"/>
    <mergeCell ref="Q385"/>
    <mergeCell ref="T385"/>
    <mergeCell ref="U385"/>
    <mergeCell ref="A396"/>
    <mergeCell ref="A394"/>
    <mergeCell ref="O392"/>
    <mergeCell ref="T359"/>
    <mergeCell ref="Z366"/>
    <mergeCell ref="I360"/>
    <mergeCell ref="F360"/>
    <mergeCell ref="A367"/>
    <mergeCell ref="A368"/>
    <mergeCell ref="A369"/>
    <mergeCell ref="C381"/>
    <mergeCell ref="A366"/>
    <mergeCell ref="Y365"/>
    <mergeCell ref="X365"/>
    <mergeCell ref="Q365"/>
    <mergeCell ref="M365"/>
    <mergeCell ref="Z377"/>
    <mergeCell ref="J378"/>
    <mergeCell ref="N370"/>
    <mergeCell ref="Y368"/>
    <mergeCell ref="Z368"/>
    <mergeCell ref="C369"/>
    <mergeCell ref="D369"/>
    <mergeCell ref="J368"/>
    <mergeCell ref="K368"/>
    <mergeCell ref="P367"/>
    <mergeCell ref="Z367"/>
    <mergeCell ref="Y367"/>
    <mergeCell ref="X367"/>
    <mergeCell ref="W367"/>
    <mergeCell ref="U366"/>
    <mergeCell ref="M366"/>
    <mergeCell ref="H367"/>
    <mergeCell ref="I367"/>
    <mergeCell ref="J367"/>
    <mergeCell ref="F370"/>
    <mergeCell ref="J369"/>
    <mergeCell ref="F368"/>
    <mergeCell ref="K369"/>
    <mergeCell ref="T360"/>
    <mergeCell ref="V360"/>
    <mergeCell ref="D360"/>
    <mergeCell ref="E369"/>
    <mergeCell ref="D370"/>
    <mergeCell ref="E370"/>
    <mergeCell ref="J366"/>
    <mergeCell ref="W366"/>
    <mergeCell ref="A379"/>
    <mergeCell ref="H376"/>
    <mergeCell ref="R368"/>
    <mergeCell ref="M364"/>
    <mergeCell ref="R360"/>
    <mergeCell ref="M361"/>
    <mergeCell ref="T361"/>
    <mergeCell ref="H362"/>
    <mergeCell ref="I362"/>
    <mergeCell ref="J362"/>
    <mergeCell ref="A371"/>
    <mergeCell ref="A372"/>
    <mergeCell ref="B370"/>
    <mergeCell ref="C370"/>
    <mergeCell ref="Z828"/>
    <mergeCell ref="B829"/>
    <mergeCell ref="L826"/>
    <mergeCell ref="I827"/>
    <mergeCell ref="O827"/>
    <mergeCell ref="G828"/>
    <mergeCell ref="H828"/>
    <mergeCell ref="I828"/>
    <mergeCell ref="J828"/>
    <mergeCell ref="V826"/>
    <mergeCell ref="U826"/>
    <mergeCell ref="T826"/>
    <mergeCell ref="O826"/>
    <mergeCell ref="Q826"/>
    <mergeCell ref="B356"/>
    <mergeCell ref="C356"/>
    <mergeCell ref="D356"/>
    <mergeCell ref="C352"/>
    <mergeCell ref="D793"/>
    <mergeCell ref="I794"/>
    <mergeCell ref="E794"/>
    <mergeCell ref="F794"/>
    <mergeCell ref="B794"/>
    <mergeCell ref="T792"/>
    <mergeCell ref="L791"/>
    <mergeCell ref="U791"/>
    <mergeCell ref="E792"/>
    <mergeCell ref="C794"/>
    <mergeCell ref="V797"/>
    <mergeCell ref="P798"/>
    <mergeCell ref="T798"/>
    <mergeCell ref="R798"/>
    <mergeCell ref="Z798"/>
    <mergeCell ref="K800"/>
    <mergeCell ref="S800"/>
    <mergeCell ref="C801"/>
    <mergeCell ref="D801"/>
    <mergeCell ref="G819"/>
    <mergeCell ref="D822"/>
    <mergeCell ref="B408"/>
    <mergeCell ref="T410"/>
    <mergeCell ref="H410"/>
    <mergeCell ref="X409"/>
    <mergeCell ref="K408"/>
    <mergeCell ref="V408"/>
    <mergeCell ref="D404"/>
    <mergeCell ref="Y408"/>
    <mergeCell ref="Q408"/>
    <mergeCell ref="U408"/>
    <mergeCell ref="R408"/>
    <mergeCell ref="W408"/>
    <mergeCell ref="I409"/>
    <mergeCell ref="J409"/>
    <mergeCell ref="Z407"/>
    <mergeCell ref="G360"/>
    <mergeCell ref="R385"/>
    <mergeCell ref="B359"/>
    <mergeCell ref="C365"/>
    <mergeCell ref="K363"/>
    <mergeCell ref="T363"/>
    <mergeCell ref="I366"/>
    <mergeCell ref="S366"/>
    <mergeCell ref="N366"/>
    <mergeCell ref="P366"/>
    <mergeCell ref="X773"/>
    <mergeCell ref="D773"/>
    <mergeCell ref="J773"/>
    <mergeCell ref="L774"/>
    <mergeCell ref="D777"/>
    <mergeCell ref="O777"/>
    <mergeCell ref="Y778"/>
    <mergeCell ref="M780"/>
    <mergeCell ref="B778"/>
    <mergeCell ref="E777"/>
    <mergeCell ref="H778"/>
    <mergeCell ref="R775"/>
    <mergeCell ref="B777"/>
    <mergeCell ref="H777"/>
    <mergeCell ref="S777"/>
    <mergeCell ref="U777"/>
    <mergeCell ref="V777"/>
    <mergeCell ref="W777"/>
    <mergeCell ref="X777"/>
    <mergeCell ref="Y777"/>
    <mergeCell ref="Y804"/>
    <mergeCell ref="Y803"/>
    <mergeCell ref="P803"/>
    <mergeCell ref="Q803"/>
    <mergeCell ref="R803"/>
    <mergeCell ref="W803"/>
    <mergeCell ref="P802"/>
    <mergeCell ref="B803"/>
    <mergeCell ref="C802"/>
    <mergeCell ref="W787"/>
    <mergeCell ref="H787"/>
    <mergeCell ref="K786"/>
    <mergeCell ref="I777"/>
    <mergeCell ref="I774"/>
    <mergeCell ref="S774"/>
    <mergeCell ref="M774"/>
    <mergeCell ref="P774"/>
    <mergeCell ref="F774"/>
    <mergeCell ref="L803"/>
    <mergeCell ref="K802"/>
    <mergeCell ref="T804"/>
    <mergeCell ref="Q792"/>
    <mergeCell ref="R792"/>
    <mergeCell ref="Y781"/>
    <mergeCell ref="V789"/>
    <mergeCell ref="Y774"/>
    <mergeCell ref="P787"/>
    <mergeCell ref="D779"/>
    <mergeCell ref="J779"/>
    <mergeCell ref="K779"/>
    <mergeCell ref="F779"/>
    <mergeCell ref="G779"/>
    <mergeCell ref="H779"/>
    <mergeCell ref="B713"/>
    <mergeCell ref="C713"/>
    <mergeCell ref="A710"/>
    <mergeCell ref="B710"/>
    <mergeCell ref="S717"/>
    <mergeCell ref="C716"/>
    <mergeCell ref="X716"/>
    <mergeCell ref="X711"/>
    <mergeCell ref="A711"/>
    <mergeCell ref="D710"/>
    <mergeCell ref="T710"/>
    <mergeCell ref="L710"/>
    <mergeCell ref="W710"/>
    <mergeCell ref="O711"/>
    <mergeCell ref="S711"/>
    <mergeCell ref="P711"/>
    <mergeCell ref="R711"/>
    <mergeCell ref="L711"/>
    <mergeCell ref="S710"/>
    <mergeCell ref="T711"/>
    <mergeCell ref="Q711"/>
    <mergeCell ref="I710"/>
    <mergeCell ref="V710"/>
    <mergeCell ref="G711"/>
    <mergeCell ref="H711"/>
    <mergeCell ref="K710"/>
    <mergeCell ref="A716"/>
    <mergeCell ref="B716"/>
    <mergeCell ref="D712"/>
    <mergeCell ref="G712"/>
    <mergeCell ref="E711"/>
    <mergeCell ref="E712"/>
    <mergeCell ref="H712"/>
    <mergeCell ref="A713"/>
    <mergeCell ref="A714"/>
    <mergeCell ref="I714"/>
    <mergeCell ref="X713"/>
    <mergeCell ref="U713"/>
    <mergeCell ref="P713"/>
    <mergeCell ref="W713"/>
    <mergeCell ref="C717"/>
    <mergeCell ref="V716"/>
    <mergeCell ref="Q716"/>
    <mergeCell ref="T716"/>
    <mergeCell ref="A717"/>
    <mergeCell ref="R713"/>
    <mergeCell ref="G714"/>
    <mergeCell ref="H714"/>
    <mergeCell ref="S713"/>
    <mergeCell ref="B717"/>
    <mergeCell ref="P712"/>
    <mergeCell ref="V714"/>
    <mergeCell ref="P714"/>
    <mergeCell ref="O714"/>
    <mergeCell ref="A715"/>
    <mergeCell ref="B715"/>
    <mergeCell ref="N711"/>
    <mergeCell ref="U711"/>
    <mergeCell ref="V711"/>
    <mergeCell ref="W711"/>
    <mergeCell ref="G710"/>
    <mergeCell ref="I711"/>
    <mergeCell ref="J711"/>
    <mergeCell ref="F710"/>
    <mergeCell ref="A670"/>
    <mergeCell ref="B670"/>
    <mergeCell ref="C670"/>
    <mergeCell ref="A671"/>
    <mergeCell ref="B671"/>
    <mergeCell ref="G640"/>
    <mergeCell ref="U671"/>
    <mergeCell ref="F672"/>
    <mergeCell ref="K673"/>
    <mergeCell ref="A634"/>
    <mergeCell ref="U633"/>
    <mergeCell ref="S633"/>
    <mergeCell ref="A639"/>
    <mergeCell ref="U663"/>
    <mergeCell ref="A638"/>
    <mergeCell ref="B638"/>
    <mergeCell ref="C638"/>
    <mergeCell ref="T635"/>
    <mergeCell ref="R633"/>
    <mergeCell ref="H635"/>
    <mergeCell ref="M645"/>
    <mergeCell ref="G645"/>
    <mergeCell ref="T644"/>
    <mergeCell ref="E646"/>
    <mergeCell ref="D641"/>
    <mergeCell ref="J641"/>
    <mergeCell ref="H641"/>
    <mergeCell ref="G643"/>
    <mergeCell ref="O643"/>
    <mergeCell ref="G644"/>
    <mergeCell ref="H644"/>
    <mergeCell ref="I645"/>
    <mergeCell ref="K635"/>
    <mergeCell ref="R634"/>
    <mergeCell ref="J634"/>
    <mergeCell ref="E638"/>
    <mergeCell ref="F638"/>
    <mergeCell ref="G638"/>
    <mergeCell ref="H638"/>
    <mergeCell ref="R635"/>
    <mergeCell ref="M635"/>
    <mergeCell ref="O635"/>
    <mergeCell ref="C636"/>
    <mergeCell ref="B635"/>
    <mergeCell ref="A635"/>
    <mergeCell ref="A637"/>
    <mergeCell ref="K644"/>
    <mergeCell ref="B645"/>
    <mergeCell ref="C645"/>
    <mergeCell ref="D645"/>
    <mergeCell ref="U641"/>
    <mergeCell ref="C643"/>
    <mergeCell ref="C644"/>
    <mergeCell ref="D644"/>
    <mergeCell ref="B641"/>
    <mergeCell ref="E643"/>
    <mergeCell ref="Q643"/>
    <mergeCell ref="U640"/>
    <mergeCell ref="S640"/>
    <mergeCell ref="L640"/>
    <mergeCell ref="Q638"/>
    <mergeCell ref="E639"/>
    <mergeCell ref="I639"/>
    <mergeCell ref="Q639"/>
    <mergeCell ref="A628"/>
    <mergeCell ref="J626"/>
    <mergeCell ref="S626"/>
    <mergeCell ref="N626"/>
    <mergeCell ref="P626"/>
    <mergeCell ref="D627"/>
    <mergeCell ref="E627"/>
    <mergeCell ref="R630"/>
    <mergeCell ref="S630"/>
    <mergeCell ref="E631"/>
    <mergeCell ref="F631"/>
    <mergeCell ref="A626"/>
    <mergeCell ref="A630"/>
    <mergeCell ref="N600"/>
    <mergeCell ref="I600"/>
    <mergeCell ref="K601"/>
    <mergeCell ref="K639"/>
    <mergeCell ref="F639"/>
    <mergeCell ref="L627"/>
    <mergeCell ref="M582"/>
    <mergeCell ref="H582"/>
    <mergeCell ref="Y596"/>
    <mergeCell ref="O596"/>
    <mergeCell ref="W596"/>
    <mergeCell ref="V596"/>
    <mergeCell ref="S596"/>
    <mergeCell ref="P596"/>
    <mergeCell ref="U596"/>
    <mergeCell ref="J594"/>
    <mergeCell ref="W594"/>
    <mergeCell ref="F593"/>
    <mergeCell ref="S593"/>
    <mergeCell ref="I596"/>
    <mergeCell ref="P593"/>
    <mergeCell ref="R593"/>
    <mergeCell ref="V593"/>
    <mergeCell ref="P611"/>
    <mergeCell ref="V611"/>
    <mergeCell ref="T611"/>
    <mergeCell ref="O626"/>
    <mergeCell ref="H629"/>
    <mergeCell ref="G628"/>
    <mergeCell ref="F613"/>
    <mergeCell ref="L613"/>
    <mergeCell ref="W619"/>
    <mergeCell ref="P618"/>
    <mergeCell ref="S618"/>
    <mergeCell ref="R618"/>
    <mergeCell ref="Q618"/>
    <mergeCell ref="U618"/>
    <mergeCell ref="F625"/>
    <mergeCell ref="S625"/>
    <mergeCell ref="J625"/>
    <mergeCell ref="U625"/>
    <mergeCell ref="N625"/>
    <mergeCell ref="H624"/>
    <mergeCell ref="G624"/>
    <mergeCell ref="P638"/>
    <mergeCell ref="W637"/>
    <mergeCell ref="L637"/>
    <mergeCell ref="I637"/>
    <mergeCell ref="J638"/>
    <mergeCell ref="V638"/>
    <mergeCell ref="K638"/>
    <mergeCell ref="C568"/>
    <mergeCell ref="F624"/>
    <mergeCell ref="H625"/>
    <mergeCell ref="G625"/>
    <mergeCell ref="E625"/>
    <mergeCell ref="O580"/>
    <mergeCell ref="F587"/>
    <mergeCell ref="R587"/>
    <mergeCell ref="P587"/>
    <mergeCell ref="I587"/>
    <mergeCell ref="U581"/>
    <mergeCell ref="R580"/>
    <mergeCell ref="V580"/>
    <mergeCell ref="V581"/>
    <mergeCell ref="Y610"/>
    <mergeCell ref="E598"/>
    <mergeCell ref="D599"/>
    <mergeCell ref="D598"/>
    <mergeCell ref="A613"/>
    <mergeCell ref="B613"/>
    <mergeCell ref="A625"/>
    <mergeCell ref="C625"/>
    <mergeCell ref="E623"/>
    <mergeCell ref="D625"/>
    <mergeCell ref="D575"/>
    <mergeCell ref="K584"/>
    <mergeCell ref="T570"/>
    <mergeCell ref="H568"/>
    <mergeCell ref="L568"/>
    <mergeCell ref="G569"/>
    <mergeCell ref="F569"/>
    <mergeCell ref="J568"/>
    <mergeCell ref="K568"/>
    <mergeCell ref="G568"/>
    <mergeCell ref="V573"/>
    <mergeCell ref="V572"/>
    <mergeCell ref="W572"/>
    <mergeCell ref="M574"/>
    <mergeCell ref="X574"/>
    <mergeCell ref="Y570"/>
    <mergeCell ref="N568"/>
    <mergeCell ref="S574"/>
    <mergeCell ref="R574"/>
    <mergeCell ref="J574"/>
    <mergeCell ref="Y571"/>
    <mergeCell ref="N573"/>
    <mergeCell ref="I573"/>
    <mergeCell ref="Y569"/>
    <mergeCell ref="O568"/>
    <mergeCell ref="F568"/>
    <mergeCell ref="Y568"/>
    <mergeCell ref="Q568"/>
    <mergeCell ref="U569"/>
    <mergeCell ref="I570"/>
    <mergeCell ref="N585"/>
    <mergeCell ref="M586"/>
    <mergeCell ref="N586"/>
    <mergeCell ref="O585"/>
    <mergeCell ref="W585"/>
    <mergeCell ref="U585"/>
    <mergeCell ref="T585"/>
    <mergeCell ref="Q585"/>
    <mergeCell ref="S585"/>
    <mergeCell ref="N613"/>
    <mergeCell ref="D556"/>
    <mergeCell ref="E556"/>
    <mergeCell ref="F556"/>
    <mergeCell ref="R557"/>
    <mergeCell ref="K558"/>
    <mergeCell ref="P558"/>
    <mergeCell ref="O558"/>
    <mergeCell ref="N558"/>
    <mergeCell ref="M558"/>
    <mergeCell ref="T557"/>
    <mergeCell ref="Q559"/>
    <mergeCell ref="D565"/>
    <mergeCell ref="D571"/>
    <mergeCell ref="E571"/>
    <mergeCell ref="T571"/>
    <mergeCell ref="H571"/>
    <mergeCell ref="F559"/>
    <mergeCell ref="E562"/>
    <mergeCell ref="U560"/>
    <mergeCell ref="K559"/>
    <mergeCell ref="I560"/>
    <mergeCell ref="K560"/>
    <mergeCell ref="R563"/>
    <mergeCell ref="A563"/>
    <mergeCell ref="I571"/>
    <mergeCell ref="J571"/>
    <mergeCell ref="A572"/>
    <mergeCell ref="F562"/>
    <mergeCell ref="X188"/>
    <mergeCell ref="U187"/>
    <mergeCell ref="M405"/>
    <mergeCell ref="W405"/>
    <mergeCell ref="Q400"/>
    <mergeCell ref="L400"/>
    <mergeCell ref="I400"/>
    <mergeCell ref="F401"/>
    <mergeCell ref="W404"/>
    <mergeCell ref="F405"/>
    <mergeCell ref="G405"/>
    <mergeCell ref="R404"/>
    <mergeCell ref="T404"/>
    <mergeCell ref="H402"/>
    <mergeCell ref="V402"/>
    <mergeCell ref="L401"/>
    <mergeCell ref="F402"/>
    <mergeCell ref="G402"/>
    <mergeCell ref="I401"/>
    <mergeCell ref="H400"/>
    <mergeCell ref="E359"/>
    <mergeCell ref="M359"/>
    <mergeCell ref="T358"/>
    <mergeCell ref="W359"/>
    <mergeCell ref="M360"/>
    <mergeCell ref="X360"/>
    <mergeCell ref="X534"/>
    <mergeCell ref="V534"/>
    <mergeCell ref="L534"/>
    <mergeCell ref="X538"/>
    <mergeCell ref="E539"/>
    <mergeCell ref="F539"/>
    <mergeCell ref="S538"/>
    <mergeCell ref="U538"/>
    <mergeCell ref="P535"/>
    <mergeCell ref="K536"/>
    <mergeCell ref="S536"/>
    <mergeCell ref="R473"/>
    <mergeCell ref="Y473"/>
    <mergeCell ref="F474"/>
    <mergeCell ref="P476"/>
    <mergeCell ref="X476"/>
    <mergeCell ref="T476"/>
    <mergeCell ref="R476"/>
    <mergeCell ref="G476"/>
    <mergeCell ref="H476"/>
    <mergeCell ref="Y406"/>
    <mergeCell ref="M407"/>
    <mergeCell ref="I171"/>
    <mergeCell ref="J406"/>
    <mergeCell ref="I455"/>
    <mergeCell ref="Y454"/>
    <mergeCell ref="K455"/>
    <mergeCell ref="S454"/>
    <mergeCell ref="A146"/>
    <mergeCell ref="A139"/>
    <mergeCell ref="A141"/>
    <mergeCell ref="A145"/>
    <mergeCell ref="A163"/>
    <mergeCell ref="A184"/>
    <mergeCell ref="A195"/>
    <mergeCell ref="A188"/>
    <mergeCell ref="A190"/>
    <mergeCell ref="A196"/>
    <mergeCell ref="A185"/>
    <mergeCell ref="A192"/>
    <mergeCell ref="A186"/>
    <mergeCell ref="A194"/>
    <mergeCell ref="A158"/>
    <mergeCell ref="A167"/>
    <mergeCell ref="A162"/>
    <mergeCell ref="A160"/>
    <mergeCell ref="A178"/>
    <mergeCell ref="A189"/>
    <mergeCell ref="A166"/>
    <mergeCell ref="A177"/>
    <mergeCell ref="A161"/>
    <mergeCell ref="A173"/>
    <mergeCell ref="A169"/>
    <mergeCell ref="A183"/>
    <mergeCell ref="A181"/>
    <mergeCell ref="A176"/>
    <mergeCell ref="A182"/>
    <mergeCell ref="A193"/>
    <mergeCell ref="T169"/>
    <mergeCell ref="W171"/>
    <mergeCell ref="U171"/>
    <mergeCell ref="J159"/>
    <mergeCell ref="K159"/>
    <mergeCell ref="G159"/>
    <mergeCell ref="I158"/>
    <mergeCell ref="S159"/>
    <mergeCell ref="I159"/>
    <mergeCell ref="D367"/>
    <mergeCell ref="G369"/>
    <mergeCell ref="W385"/>
    <mergeCell ref="I359"/>
    <mergeCell ref="J359"/>
    <mergeCell ref="C359"/>
    <mergeCell ref="K385"/>
    <mergeCell ref="A137"/>
    <mergeCell ref="A152"/>
    <mergeCell ref="N107"/>
    <mergeCell ref="A144"/>
    <mergeCell ref="A168"/>
    <mergeCell ref="A179"/>
    <mergeCell ref="A172"/>
    <mergeCell ref="A174"/>
    <mergeCell ref="Q107"/>
    <mergeCell ref="A140"/>
    <mergeCell ref="A159"/>
    <mergeCell ref="A171"/>
    <mergeCell ref="A157"/>
    <mergeCell ref="A147"/>
    <mergeCell ref="A153"/>
    <mergeCell ref="A148"/>
    <mergeCell ref="A149"/>
    <mergeCell ref="A151"/>
    <mergeCell ref="A155"/>
    <mergeCell ref="A138"/>
    <mergeCell ref="A136"/>
    <mergeCell ref="R107"/>
    <mergeCell ref="P106"/>
    <mergeCell ref="A156"/>
    <mergeCell ref="A165"/>
    <mergeCell ref="A143"/>
    <mergeCell ref="A180"/>
    <mergeCell ref="Z161"/>
    <mergeCell ref="Z158"/>
    <mergeCell ref="Z159"/>
    <mergeCell ref="Z156"/>
    <mergeCell ref="Z157"/>
    <mergeCell ref="W159"/>
    <mergeCell ref="S161"/>
    <mergeCell ref="S158"/>
    <mergeCell ref="S160"/>
    <mergeCell ref="U167"/>
    <mergeCell ref="W167"/>
    <mergeCell ref="Z136"/>
    <mergeCell ref="V173"/>
    <mergeCell ref="Y173"/>
    <mergeCell ref="T173"/>
    <mergeCell ref="S173"/>
    <mergeCell ref="A142"/>
    <mergeCell ref="A164"/>
    <mergeCell ref="A175"/>
    <mergeCell ref="A135"/>
    <mergeCell ref="A150"/>
    <mergeCell ref="A170"/>
    <mergeCell ref="A154"/>
    <mergeCell ref="C169"/>
    <mergeCell ref="L169"/>
    <mergeCell ref="H168"/>
    <mergeCell ref="A134"/>
    <mergeCell ref="I182"/>
    <mergeCell ref="K182"/>
    <mergeCell ref="C171"/>
    <mergeCell ref="J170"/>
    <mergeCell ref="K171"/>
    <mergeCell ref="H169"/>
    <mergeCell ref="J171"/>
    <mergeCell ref="Q171"/>
    <mergeCell ref="G168"/>
    <mergeCell ref="Q168"/>
    <mergeCell ref="J168"/>
    <mergeCell ref="I169"/>
    <mergeCell ref="E170"/>
    <mergeCell ref="H170"/>
    <mergeCell ref="R188"/>
    <mergeCell ref="B136"/>
    <mergeCell ref="B150"/>
    <mergeCell ref="B141"/>
    <mergeCell ref="B152"/>
    <mergeCell ref="B153"/>
    <mergeCell ref="B143"/>
    <mergeCell ref="M171"/>
    <mergeCell ref="O171"/>
    <mergeCell ref="F172"/>
    <mergeCell ref="N159"/>
    <mergeCell ref="M159"/>
    <mergeCell ref="R159"/>
    <mergeCell ref="J160"/>
    <mergeCell ref="N160"/>
    <mergeCell ref="H160"/>
    <mergeCell ref="Q160"/>
    <mergeCell ref="K157"/>
    <mergeCell ref="R156"/>
    <mergeCell ref="Q167"/>
    <mergeCell ref="F169"/>
    <mergeCell ref="R169"/>
    <mergeCell ref="J169"/>
    <mergeCell ref="H172"/>
    <mergeCell ref="G171"/>
    <mergeCell ref="E173"/>
    <mergeCell ref="P173"/>
    <mergeCell ref="G169"/>
    <mergeCell ref="D169"/>
    <mergeCell ref="P174"/>
    <mergeCell ref="I175"/>
    <mergeCell ref="P175"/>
    <mergeCell ref="G176"/>
    <mergeCell ref="G174"/>
    <mergeCell ref="B145"/>
    <mergeCell ref="B148"/>
    <mergeCell ref="B149"/>
    <mergeCell ref="B151"/>
    <mergeCell ref="K156"/>
    <mergeCell ref="K90"/>
    <mergeCell ref="L102"/>
    <mergeCell ref="V101"/>
    <mergeCell ref="K103"/>
    <mergeCell ref="L103"/>
    <mergeCell ref="K104"/>
    <mergeCell ref="H105"/>
    <mergeCell ref="P99"/>
    <mergeCell ref="S102"/>
    <mergeCell ref="O102"/>
    <mergeCell ref="T101"/>
    <mergeCell ref="O103"/>
    <mergeCell ref="P103"/>
    <mergeCell ref="Q103"/>
    <mergeCell ref="P101"/>
    <mergeCell ref="Y102"/>
    <mergeCell ref="Z100"/>
    <mergeCell ref="M101"/>
    <mergeCell ref="R101"/>
    <mergeCell ref="U103"/>
    <mergeCell ref="V102"/>
    <mergeCell ref="W103"/>
    <mergeCell ref="S101"/>
    <mergeCell ref="Y103"/>
    <mergeCell ref="X102"/>
    <mergeCell ref="I104"/>
    <mergeCell ref="V103"/>
    <mergeCell ref="T103"/>
    <mergeCell ref="Z103"/>
    <mergeCell ref="Z102"/>
    <mergeCell ref="R103"/>
    <mergeCell ref="W101"/>
    <mergeCell ref="Z85"/>
    <mergeCell ref="P85"/>
    <mergeCell ref="X87"/>
    <mergeCell ref="O88"/>
    <mergeCell ref="P88"/>
    <mergeCell ref="T87"/>
    <mergeCell ref="U87"/>
    <mergeCell ref="N89"/>
    <mergeCell ref="O89"/>
    <mergeCell ref="Z86"/>
    <mergeCell ref="V91"/>
    <mergeCell ref="N91"/>
    <mergeCell ref="K86"/>
    <mergeCell ref="T85"/>
    <mergeCell ref="M86"/>
    <mergeCell ref="S85"/>
    <mergeCell ref="R95"/>
    <mergeCell ref="Z95"/>
    <mergeCell ref="K96"/>
    <mergeCell ref="Q96"/>
    <mergeCell ref="P96"/>
    <mergeCell ref="O96"/>
    <mergeCell ref="N96"/>
    <mergeCell ref="Y140"/>
    <mergeCell ref="L141"/>
    <mergeCell ref="X91"/>
    <mergeCell ref="Y91"/>
    <mergeCell ref="N92"/>
    <mergeCell ref="R85"/>
    <mergeCell ref="Q85"/>
    <mergeCell ref="Q81"/>
    <mergeCell ref="Y81"/>
    <mergeCell ref="R80"/>
    <mergeCell ref="K82"/>
    <mergeCell ref="U94"/>
    <mergeCell ref="D170"/>
    <mergeCell ref="R173"/>
    <mergeCell ref="X173"/>
    <mergeCell ref="F174"/>
    <mergeCell ref="N172"/>
    <mergeCell ref="U173"/>
    <mergeCell ref="I174"/>
    <mergeCell ref="J174"/>
    <mergeCell ref="K169"/>
    <mergeCell ref="V169"/>
    <mergeCell ref="N171"/>
    <mergeCell ref="E171"/>
    <mergeCell ref="P171"/>
    <mergeCell ref="L170"/>
    <mergeCell ref="Z131"/>
    <mergeCell ref="Z127"/>
    <mergeCell ref="Z128"/>
    <mergeCell ref="Z162"/>
    <mergeCell ref="P162"/>
    <mergeCell ref="X162"/>
    <mergeCell ref="W162"/>
    <mergeCell ref="S162"/>
    <mergeCell ref="T162"/>
    <mergeCell ref="V162"/>
    <mergeCell ref="Z160"/>
    <mergeCell ref="L161"/>
    <mergeCell ref="M161"/>
    <mergeCell ref="W161"/>
    <mergeCell ref="Y156"/>
    <mergeCell ref="Y159"/>
    <mergeCell ref="O161"/>
    <mergeCell ref="Y161"/>
    <mergeCell ref="T161"/>
    <mergeCell ref="V161"/>
    <mergeCell ref="G162"/>
    <mergeCell ref="H162"/>
    <mergeCell ref="S106"/>
    <mergeCell ref="S168"/>
    <mergeCell ref="R82"/>
    <mergeCell ref="V82"/>
    <mergeCell ref="M85"/>
    <mergeCell ref="N85"/>
    <mergeCell ref="V85"/>
    <mergeCell ref="Q82"/>
    <mergeCell ref="O85"/>
    <mergeCell ref="W85"/>
    <mergeCell ref="X85"/>
    <mergeCell ref="Y85"/>
    <mergeCell ref="Y167"/>
    <mergeCell ref="P167"/>
    <mergeCell ref="T167"/>
    <mergeCell ref="R167"/>
    <mergeCell ref="C141"/>
    <mergeCell ref="C139"/>
    <mergeCell ref="C137"/>
    <mergeCell ref="C136"/>
    <mergeCell ref="C135"/>
    <mergeCell ref="C134"/>
    <mergeCell ref="U181"/>
    <mergeCell ref="E181"/>
    <mergeCell ref="D141"/>
    <mergeCell ref="U130"/>
    <mergeCell ref="L132"/>
    <mergeCell ref="U133"/>
    <mergeCell ref="T133"/>
    <mergeCell ref="S133"/>
    <mergeCell ref="X133"/>
    <mergeCell ref="I128"/>
    <mergeCell ref="J128"/>
    <mergeCell ref="X124"/>
    <mergeCell ref="L126"/>
    <mergeCell ref="K125"/>
    <mergeCell ref="P128"/>
    <mergeCell ref="S127"/>
    <mergeCell ref="Q127"/>
    <mergeCell ref="X128"/>
    <mergeCell ref="F136"/>
    <mergeCell ref="G136"/>
    <mergeCell ref="P134"/>
    <mergeCell ref="G135"/>
    <mergeCell ref="T135"/>
    <mergeCell ref="L129"/>
    <mergeCell ref="S138"/>
    <mergeCell ref="F137"/>
    <mergeCell ref="S126"/>
    <mergeCell ref="Q126"/>
    <mergeCell ref="K126"/>
    <mergeCell ref="T124"/>
    <mergeCell ref="G142"/>
    <mergeCell ref="W136"/>
    <mergeCell ref="O136"/>
    <mergeCell ref="S136"/>
    <mergeCell ref="Q136"/>
    <mergeCell ref="U136"/>
    <mergeCell ref="X136"/>
    <mergeCell ref="O132"/>
    <mergeCell ref="L131"/>
    <mergeCell ref="O127"/>
    <mergeCell ref="O126"/>
    <mergeCell ref="K127"/>
    <mergeCell ref="L127"/>
    <mergeCell ref="U159"/>
    <mergeCell ref="M156"/>
    <mergeCell ref="C160"/>
    <mergeCell ref="K158"/>
    <mergeCell ref="R157"/>
    <mergeCell ref="N157"/>
    <mergeCell ref="P157"/>
    <mergeCell ref="S157"/>
    <mergeCell ref="H159"/>
    <mergeCell ref="G158"/>
    <mergeCell ref="J161"/>
    <mergeCell ref="R180"/>
    <mergeCell ref="T180"/>
    <mergeCell ref="L181"/>
    <mergeCell ref="X180"/>
    <mergeCell ref="Y14"/>
    <mergeCell ref="R13"/>
    <mergeCell ref="N14"/>
    <mergeCell ref="O17"/>
    <mergeCell ref="S16"/>
    <mergeCell ref="T17"/>
    <mergeCell ref="M16"/>
    <mergeCell ref="R15"/>
    <mergeCell ref="U16"/>
    <mergeCell ref="L17"/>
    <mergeCell ref="L26"/>
    <mergeCell ref="U26"/>
    <mergeCell ref="K27"/>
    <mergeCell ref="L27"/>
    <mergeCell ref="M27"/>
    <mergeCell ref="K28"/>
    <mergeCell ref="K29"/>
    <mergeCell ref="R23"/>
    <mergeCell ref="M26"/>
    <mergeCell ref="X26"/>
    <mergeCell ref="O26"/>
    <mergeCell ref="T26"/>
    <mergeCell ref="Q26"/>
    <mergeCell ref="V26"/>
    <mergeCell ref="Y26"/>
    <mergeCell ref="W168"/>
    <mergeCell ref="Y168"/>
    <mergeCell ref="M134"/>
    <mergeCell ref="V134"/>
    <mergeCell ref="E135"/>
    <mergeCell ref="W134"/>
    <mergeCell ref="O134"/>
    <mergeCell ref="U134"/>
    <mergeCell ref="S93"/>
    <mergeCell ref="L96"/>
    <mergeCell ref="L97"/>
    <mergeCell ref="V97"/>
    <mergeCell ref="W97"/>
    <mergeCell ref="X103"/>
    <mergeCell ref="S103"/>
    <mergeCell ref="I105"/>
    <mergeCell ref="U102"/>
    <mergeCell ref="R106"/>
    <mergeCell ref="O140"/>
    <mergeCell ref="Y160"/>
    <mergeCell ref="M168"/>
    <mergeCell ref="X168"/>
    <mergeCell ref="N168"/>
    <mergeCell ref="V168"/>
    <mergeCell ref="U168"/>
    <mergeCell ref="U30"/>
    <mergeCell ref="W29"/>
    <mergeCell ref="N30"/>
    <mergeCell ref="I167"/>
    <mergeCell ref="V167"/>
    <mergeCell ref="I134"/>
    <mergeCell ref="T110"/>
    <mergeCell ref="L111"/>
    <mergeCell ref="R114"/>
    <mergeCell ref="M114"/>
    <mergeCell ref="U113"/>
    <mergeCell ref="M115"/>
    <mergeCell ref="N114"/>
    <mergeCell ref="X112"/>
    <mergeCell ref="F159"/>
    <mergeCell ref="S171"/>
    <mergeCell ref="V171"/>
    <mergeCell ref="T171"/>
    <mergeCell ref="L171"/>
    <mergeCell ref="X171"/>
    <mergeCell ref="Y170"/>
    <mergeCell ref="P169"/>
    <mergeCell ref="Z169"/>
    <mergeCell ref="Z170"/>
    <mergeCell ref="J172"/>
    <mergeCell ref="S172"/>
    <mergeCell ref="M172"/>
    <mergeCell ref="P172"/>
    <mergeCell ref="D173"/>
    <mergeCell ref="U172"/>
    <mergeCell ref="R187"/>
    <mergeCell ref="W188"/>
    <mergeCell ref="V188"/>
    <mergeCell ref="S188"/>
    <mergeCell ref="Q188"/>
    <mergeCell ref="Y188"/>
    <mergeCell ref="Z188"/>
    <mergeCell ref="O187"/>
    <mergeCell ref="E182"/>
    <mergeCell ref="D181"/>
    <mergeCell ref="O183"/>
    <mergeCell ref="V182"/>
    <mergeCell ref="R183"/>
    <mergeCell ref="T182"/>
    <mergeCell ref="R182"/>
    <mergeCell ref="U182"/>
    <mergeCell ref="G182"/>
    <mergeCell ref="S182"/>
    <mergeCell ref="Q182"/>
    <mergeCell ref="N182"/>
    <mergeCell ref="S178"/>
    <mergeCell ref="E180"/>
    <mergeCell ref="D179"/>
    <mergeCell ref="F180"/>
    <mergeCell ref="D185"/>
    <mergeCell ref="Q185"/>
    <mergeCell ref="V187"/>
    <mergeCell ref="N185"/>
    <mergeCell ref="R185"/>
    <mergeCell ref="V174"/>
    <mergeCell ref="Q174"/>
    <mergeCell ref="R174"/>
    <mergeCell ref="E175"/>
    <mergeCell ref="F175"/>
    <mergeCell ref="W174"/>
    <mergeCell ref="N174"/>
    <mergeCell ref="U174"/>
    <mergeCell ref="O174"/>
    <mergeCell ref="T174"/>
    <mergeCell ref="X174"/>
    <mergeCell ref="Y174"/>
    <mergeCell ref="G175"/>
    <mergeCell ref="F168"/>
    <mergeCell ref="O168"/>
    <mergeCell ref="I168"/>
    <mergeCell ref="L168"/>
    <mergeCell ref="M187"/>
    <mergeCell ref="N187"/>
    <mergeCell ref="X169"/>
    <mergeCell ref="P170"/>
    <mergeCell ref="T170"/>
    <mergeCell ref="R170"/>
    <mergeCell ref="E169"/>
    <mergeCell ref="F170"/>
    <mergeCell ref="G170"/>
    <mergeCell ref="O169"/>
    <mergeCell ref="Y169"/>
    <mergeCell ref="W169"/>
    <mergeCell ref="P168"/>
    <mergeCell ref="R168"/>
    <mergeCell ref="T168"/>
    <mergeCell ref="U169"/>
    <mergeCell ref="N169"/>
    <mergeCell ref="B201"/>
    <mergeCell ref="B213"/>
    <mergeCell ref="U193"/>
    <mergeCell ref="B197"/>
    <mergeCell ref="J194"/>
    <mergeCell ref="K193"/>
    <mergeCell ref="K194"/>
    <mergeCell ref="L194"/>
    <mergeCell ref="I194"/>
    <mergeCell ref="S193"/>
    <mergeCell ref="B204"/>
    <mergeCell ref="Y186"/>
    <mergeCell ref="L201"/>
    <mergeCell ref="P189"/>
    <mergeCell ref="X189"/>
    <mergeCell ref="U198"/>
    <mergeCell ref="R198"/>
    <mergeCell ref="W198"/>
    <mergeCell ref="F194"/>
    <mergeCell ref="H193"/>
    <mergeCell ref="U194"/>
    <mergeCell ref="P195"/>
    <mergeCell ref="O194"/>
    <mergeCell ref="U195"/>
    <mergeCell ref="V195"/>
    <mergeCell ref="S196"/>
    <mergeCell ref="G190"/>
    <mergeCell ref="F191"/>
    <mergeCell ref="G191"/>
    <mergeCell ref="L198"/>
    <mergeCell ref="W191"/>
    <mergeCell ref="O191"/>
    <mergeCell ref="W193"/>
    <mergeCell ref="P198"/>
    <mergeCell ref="I170"/>
    <mergeCell ref="K170"/>
    <mergeCell ref="N170"/>
    <mergeCell ref="C170"/>
    <mergeCell ref="K174"/>
    <mergeCell ref="Q173"/>
    <mergeCell ref="T183"/>
    <mergeCell ref="V185"/>
    <mergeCell ref="I180"/>
    <mergeCell ref="I197"/>
    <mergeCell ref="J197"/>
    <mergeCell ref="E198"/>
    <mergeCell ref="G204"/>
    <mergeCell ref="I208"/>
    <mergeCell ref="F209"/>
    <mergeCell ref="Z29"/>
    <mergeCell ref="M30"/>
    <mergeCell ref="L25"/>
    <mergeCell ref="S26"/>
    <mergeCell ref="L28"/>
    <mergeCell ref="M28"/>
    <mergeCell ref="K30"/>
    <mergeCell ref="Y29"/>
    <mergeCell ref="X29"/>
    <mergeCell ref="V29"/>
    <mergeCell ref="L29"/>
    <mergeCell ref="W27"/>
    <mergeCell ref="O28"/>
    <mergeCell ref="W28"/>
    <mergeCell ref="X28"/>
    <mergeCell ref="Y28"/>
    <mergeCell ref="Z28"/>
    <mergeCell ref="L21"/>
    <mergeCell ref="U19"/>
    <mergeCell ref="Y20"/>
    <mergeCell ref="O21"/>
    <mergeCell ref="N20"/>
    <mergeCell ref="T23"/>
    <mergeCell ref="M24"/>
    <mergeCell ref="S24"/>
    <mergeCell ref="R24"/>
    <mergeCell ref="Q24"/>
    <mergeCell ref="K24"/>
    <mergeCell ref="Y23"/>
    <mergeCell ref="P18"/>
    <mergeCell ref="X18"/>
    <mergeCell ref="Z23"/>
    <mergeCell ref="A245"/>
    <mergeCell ref="B210"/>
    <mergeCell ref="B227"/>
    <mergeCell ref="B225"/>
    <mergeCell ref="B239"/>
    <mergeCell ref="B237"/>
    <mergeCell ref="B232"/>
    <mergeCell ref="B245"/>
    <mergeCell ref="B224"/>
    <mergeCell ref="B235"/>
    <mergeCell ref="B228"/>
    <mergeCell ref="B230"/>
    <mergeCell ref="B222"/>
    <mergeCell ref="B233"/>
    <mergeCell ref="B220"/>
    <mergeCell ref="B231"/>
    <mergeCell ref="B218"/>
    <mergeCell ref="B229"/>
    <mergeCell ref="B236"/>
    <mergeCell ref="B240"/>
    <mergeCell ref="B238"/>
    <mergeCell ref="B241"/>
    <mergeCell ref="B242"/>
    <mergeCell ref="B244"/>
    <mergeCell ref="T189"/>
    <mergeCell ref="M190"/>
    <mergeCell ref="K191"/>
    <mergeCell ref="L191"/>
    <mergeCell ref="C192"/>
    <mergeCell ref="C180"/>
    <mergeCell ref="N178"/>
    <mergeCell ref="K180"/>
    <mergeCell ref="D194"/>
    <mergeCell ref="C240"/>
    <mergeCell ref="F239"/>
    <mergeCell ref="D189"/>
    <mergeCell ref="E187"/>
    <mergeCell ref="H189"/>
    <mergeCell ref="G189"/>
    <mergeCell ref="F189"/>
    <mergeCell ref="F188"/>
    <mergeCell ref="L187"/>
    <mergeCell ref="F187"/>
    <mergeCell ref="A187"/>
    <mergeCell ref="T242"/>
    <mergeCell ref="B226"/>
    <mergeCell ref="B243"/>
    <mergeCell ref="A242"/>
    <mergeCell ref="X186"/>
    <mergeCell ref="A240"/>
    <mergeCell ref="A235"/>
    <mergeCell ref="A237"/>
    <mergeCell ref="A239"/>
    <mergeCell ref="C189"/>
    <mergeCell ref="C187"/>
    <mergeCell ref="A205"/>
    <mergeCell ref="A216"/>
    <mergeCell ref="X194"/>
    <mergeCell ref="O195"/>
    <mergeCell ref="X195"/>
    <mergeCell ref="X216"/>
    <mergeCell ref="N216"/>
    <mergeCell ref="E217"/>
    <mergeCell ref="D216"/>
    <mergeCell ref="F217"/>
    <mergeCell ref="L216"/>
    <mergeCell ref="J217"/>
    <mergeCell ref="W217"/>
    <mergeCell ref="U217"/>
    <mergeCell ref="M217"/>
    <mergeCell ref="I217"/>
    <mergeCell ref="S217"/>
    <mergeCell ref="N217"/>
    <mergeCell ref="P217"/>
    <mergeCell ref="P216"/>
    <mergeCell ref="W215"/>
    <mergeCell ref="M216"/>
    <mergeCell ref="O196"/>
    <mergeCell ref="G197"/>
    <mergeCell ref="H197"/>
    <mergeCell ref="X241"/>
    <mergeCell ref="T243"/>
    <mergeCell ref="X243"/>
    <mergeCell ref="W243"/>
    <mergeCell ref="B234"/>
    <mergeCell ref="V243"/>
    <mergeCell ref="S187"/>
    <mergeCell ref="D187"/>
    <mergeCell ref="A191"/>
    <mergeCell ref="I241"/>
    <mergeCell ref="T241"/>
    <mergeCell ref="N241"/>
    <mergeCell ref="P241"/>
    <mergeCell ref="K240"/>
    <mergeCell ref="U240"/>
    <mergeCell ref="W240"/>
    <mergeCell ref="X240"/>
    <mergeCell ref="K187"/>
    <mergeCell ref="E189"/>
    <mergeCell ref="I189"/>
    <mergeCell ref="J189"/>
    <mergeCell ref="K189"/>
    <mergeCell ref="L189"/>
    <mergeCell ref="D190"/>
    <mergeCell ref="N186"/>
    <mergeCell ref="P185"/>
    <mergeCell ref="D186"/>
    <mergeCell ref="C185"/>
    <mergeCell ref="E184"/>
    <mergeCell ref="C183"/>
    <mergeCell ref="D183"/>
    <mergeCell ref="C184"/>
    <mergeCell ref="K183"/>
    <mergeCell ref="F183"/>
    <mergeCell ref="G183"/>
    <mergeCell ref="H183"/>
    <mergeCell ref="I183"/>
    <mergeCell ref="F185"/>
    <mergeCell ref="I185"/>
    <mergeCell ref="G185"/>
    <mergeCell ref="M185"/>
    <mergeCell ref="L185"/>
    <mergeCell ref="J185"/>
    <mergeCell ref="K185"/>
    <mergeCell ref="H185"/>
    <mergeCell ref="O186"/>
    <mergeCell ref="H186"/>
    <mergeCell ref="G186"/>
    <mergeCell ref="V184"/>
    <mergeCell ref="T184"/>
    <mergeCell ref="L184"/>
    <mergeCell ref="O184"/>
    <mergeCell ref="H184"/>
    <mergeCell ref="M184"/>
    <mergeCell ref="L183"/>
    <mergeCell ref="G184"/>
    <mergeCell ref="N184"/>
    <mergeCell ref="R184"/>
    <mergeCell ref="L186"/>
    <mergeCell ref="F186"/>
    <mergeCell ref="U186"/>
    <mergeCell ref="X183"/>
    <mergeCell ref="Q183"/>
    <mergeCell ref="I187"/>
    <mergeCell ref="C188"/>
    <mergeCell ref="D188"/>
    <mergeCell ref="I186"/>
    <mergeCell ref="T186"/>
    <mergeCell ref="Q187"/>
    <mergeCell ref="L209"/>
    <mergeCell ref="M209"/>
    <mergeCell ref="O188"/>
    <mergeCell ref="P188"/>
    <mergeCell ref="J175"/>
    <mergeCell ref="N175"/>
    <mergeCell ref="D182"/>
    <mergeCell ref="Z180"/>
    <mergeCell ref="N181"/>
    <mergeCell ref="Z181"/>
    <mergeCell ref="W175"/>
    <mergeCell ref="O177"/>
    <mergeCell ref="Z176"/>
    <mergeCell ref="U175"/>
    <mergeCell ref="H177"/>
    <mergeCell ref="I177"/>
    <mergeCell ref="T176"/>
    <mergeCell ref="R176"/>
    <mergeCell ref="O176"/>
    <mergeCell ref="J177"/>
    <mergeCell ref="T175"/>
    <mergeCell ref="L175"/>
    <mergeCell ref="L177"/>
    <mergeCell ref="S176"/>
    <mergeCell ref="M178"/>
    <mergeCell ref="L176"/>
    <mergeCell ref="W183"/>
    <mergeCell ref="V183"/>
    <mergeCell ref="X181"/>
    <mergeCell ref="M181"/>
    <mergeCell ref="V180"/>
    <mergeCell ref="Q181"/>
    <mergeCell ref="Q180"/>
    <mergeCell ref="L180"/>
    <mergeCell ref="W180"/>
    <mergeCell ref="J181"/>
    <mergeCell ref="K181"/>
    <mergeCell ref="J180"/>
    <mergeCell ref="U180"/>
    <mergeCell ref="G181"/>
    <mergeCell ref="H181"/>
    <mergeCell ref="I181"/>
    <mergeCell ref="O181"/>
    <mergeCell ref="V181"/>
    <mergeCell ref="P180"/>
    <mergeCell ref="W181"/>
    <mergeCell ref="Y180"/>
    <mergeCell ref="Y181"/>
    <mergeCell ref="D175"/>
    <mergeCell ref="P181"/>
    <mergeCell ref="Z174"/>
    <mergeCell ref="G172"/>
    <mergeCell ref="Q172"/>
    <mergeCell ref="X172"/>
    <mergeCell ref="Y172"/>
    <mergeCell ref="Z172"/>
    <mergeCell ref="Z177"/>
    <mergeCell ref="Y177"/>
    <mergeCell ref="D178"/>
    <mergeCell ref="T177"/>
    <mergeCell ref="V177"/>
    <mergeCell ref="F178"/>
    <mergeCell ref="G178"/>
    <mergeCell ref="C178"/>
    <mergeCell ref="X177"/>
    <mergeCell ref="E178"/>
    <mergeCell ref="U177"/>
    <mergeCell ref="R177"/>
    <mergeCell ref="J173"/>
    <mergeCell ref="V172"/>
    <mergeCell ref="S174"/>
    <mergeCell ref="C176"/>
    <mergeCell ref="F176"/>
    <mergeCell ref="E176"/>
    <mergeCell ref="D176"/>
    <mergeCell ref="H175"/>
    <mergeCell ref="L174"/>
    <mergeCell ref="M173"/>
    <mergeCell ref="W173"/>
    <mergeCell ref="C174"/>
    <mergeCell ref="D174"/>
    <mergeCell ref="E174"/>
    <mergeCell ref="C177"/>
    <mergeCell ref="N173"/>
    <mergeCell ref="D177"/>
    <mergeCell ref="E177"/>
    <mergeCell ref="F177"/>
    <mergeCell ref="M175"/>
    <mergeCell ref="X175"/>
    <mergeCell ref="J176"/>
    <mergeCell ref="K176"/>
    <mergeCell ref="T178"/>
    <mergeCell ref="Y178"/>
    <mergeCell ref="P178"/>
    <mergeCell ref="O178"/>
    <mergeCell ref="I172"/>
    <mergeCell ref="O172"/>
    <mergeCell ref="F173"/>
    <mergeCell ref="G173"/>
    <mergeCell ref="H173"/>
    <mergeCell ref="I173"/>
    <mergeCell ref="E172"/>
    <mergeCell ref="W172"/>
    <mergeCell ref="L173"/>
    <mergeCell ref="K172"/>
    <mergeCell ref="K175"/>
    <mergeCell ref="V175"/>
    <mergeCell ref="Y175"/>
    <mergeCell ref="R178"/>
    <mergeCell ref="C173"/>
    <mergeCell ref="M177"/>
    <mergeCell ref="P177"/>
    <mergeCell ref="Z175"/>
    <mergeCell ref="C175"/>
    <mergeCell ref="Z187"/>
    <mergeCell ref="J187"/>
    <mergeCell ref="G188"/>
    <mergeCell ref="J188"/>
    <mergeCell ref="I188"/>
    <mergeCell ref="H188"/>
    <mergeCell ref="G187"/>
    <mergeCell ref="H178"/>
    <mergeCell ref="I178"/>
    <mergeCell ref="J178"/>
    <mergeCell ref="M176"/>
    <mergeCell ref="R179"/>
    <mergeCell ref="H176"/>
    <mergeCell ref="I176"/>
    <mergeCell ref="N176"/>
    <mergeCell ref="W190"/>
    <mergeCell ref="N180"/>
    <mergeCell ref="C181"/>
    <mergeCell ref="Z178"/>
    <mergeCell ref="G179"/>
    <mergeCell ref="W178"/>
    <mergeCell ref="U178"/>
    <mergeCell ref="Y179"/>
    <mergeCell ref="Z179"/>
    <mergeCell ref="J183"/>
    <mergeCell ref="G180"/>
    <mergeCell ref="E183"/>
    <mergeCell ref="D184"/>
    <mergeCell ref="M182"/>
    <mergeCell ref="Y182"/>
    <mergeCell ref="M183"/>
    <mergeCell ref="N183"/>
    <mergeCell ref="L178"/>
    <mergeCell ref="K177"/>
    <mergeCell ref="X179"/>
    <mergeCell ref="O179"/>
    <mergeCell ref="V179"/>
    <mergeCell ref="S179"/>
    <mergeCell ref="Q179"/>
    <mergeCell ref="P179"/>
    <mergeCell ref="T179"/>
    <mergeCell ref="Q178"/>
    <mergeCell ref="K178"/>
    <mergeCell ref="K179"/>
    <mergeCell ref="L179"/>
    <mergeCell ref="Z186"/>
    <mergeCell ref="E185"/>
    <mergeCell ref="U184"/>
    <mergeCell ref="Q184"/>
    <mergeCell ref="S184"/>
    <mergeCell ref="X184"/>
    <mergeCell ref="Y184"/>
    <mergeCell ref="Z184"/>
    <mergeCell ref="O185"/>
    <mergeCell ref="E186"/>
    <mergeCell ref="X182"/>
    <mergeCell ref="U183"/>
    <mergeCell ref="S183"/>
    <mergeCell ref="Y183"/>
    <mergeCell ref="Z183"/>
    <mergeCell ref="F182"/>
    <mergeCell ref="O182"/>
    <mergeCell ref="H180"/>
    <mergeCell ref="H182"/>
    <mergeCell ref="A228"/>
    <mergeCell ref="A197"/>
    <mergeCell ref="A206"/>
    <mergeCell ref="A201"/>
    <mergeCell ref="A199"/>
    <mergeCell ref="A221"/>
    <mergeCell ref="A232"/>
    <mergeCell ref="A200"/>
    <mergeCell ref="A212"/>
    <mergeCell ref="A207"/>
    <mergeCell ref="A218"/>
    <mergeCell ref="A211"/>
    <mergeCell ref="A213"/>
    <mergeCell ref="A223"/>
    <mergeCell ref="A234"/>
    <mergeCell ref="A227"/>
    <mergeCell ref="A229"/>
    <mergeCell ref="A198"/>
    <mergeCell ref="A210"/>
    <mergeCell ref="A209"/>
    <mergeCell ref="A226"/>
    <mergeCell ref="A203"/>
    <mergeCell ref="A214"/>
    <mergeCell ref="A219"/>
    <mergeCell ref="A230"/>
    <mergeCell ref="A224"/>
    <mergeCell ref="A238"/>
    <mergeCell ref="A236"/>
    <mergeCell ref="A231"/>
    <mergeCell ref="A225"/>
    <mergeCell ref="A233"/>
    <mergeCell ref="K192"/>
    <mergeCell ref="O192"/>
    <mergeCell ref="J193"/>
    <mergeCell ref="M193"/>
    <mergeCell ref="F193"/>
    <mergeCell ref="N192"/>
    <mergeCell ref="C227"/>
    <mergeCell ref="D227"/>
    <mergeCell ref="E227"/>
    <mergeCell ref="C233"/>
    <mergeCell ref="D233"/>
    <mergeCell ref="C226"/>
    <mergeCell ref="G228"/>
    <mergeCell ref="M228"/>
    <mergeCell ref="J231"/>
    <mergeCell ref="M230"/>
    <mergeCell ref="O230"/>
    <mergeCell ref="B209"/>
    <mergeCell ref="B223"/>
    <mergeCell ref="B221"/>
    <mergeCell ref="B216"/>
    <mergeCell ref="B208"/>
    <mergeCell ref="B219"/>
    <mergeCell ref="B212"/>
    <mergeCell ref="B214"/>
    <mergeCell ref="B206"/>
    <mergeCell ref="B217"/>
    <mergeCell ref="B198"/>
    <mergeCell ref="B211"/>
    <mergeCell ref="E194"/>
    <mergeCell ref="C216"/>
    <mergeCell ref="I216"/>
    <mergeCell ref="C215"/>
    <mergeCell ref="A202"/>
    <mergeCell ref="A208"/>
    <mergeCell ref="A222"/>
    <mergeCell ref="A220"/>
    <mergeCell ref="A215"/>
    <mergeCell ref="D196"/>
    <mergeCell ref="A204"/>
    <mergeCell ref="A217"/>
    <mergeCell ref="C190"/>
    <mergeCell ref="Y189"/>
    <mergeCell ref="I192"/>
    <mergeCell ref="W192"/>
    <mergeCell ref="N190"/>
    <mergeCell ref="V190"/>
    <mergeCell ref="R190"/>
    <mergeCell ref="P190"/>
    <mergeCell ref="H191"/>
    <mergeCell ref="I191"/>
    <mergeCell ref="J191"/>
    <mergeCell ref="Z191"/>
    <mergeCell ref="D192"/>
    <mergeCell ref="Z190"/>
    <mergeCell ref="X192"/>
    <mergeCell ref="Z193"/>
    <mergeCell ref="C194"/>
    <mergeCell ref="N191"/>
    <mergeCell ref="V191"/>
    <mergeCell ref="Q190"/>
    <mergeCell ref="Z192"/>
    <mergeCell ref="G193"/>
    <mergeCell ref="G192"/>
    <mergeCell ref="Q191"/>
    <mergeCell ref="M192"/>
    <mergeCell ref="D191"/>
    <mergeCell ref="S189"/>
    <mergeCell ref="Q189"/>
    <mergeCell ref="M189"/>
    <mergeCell ref="N189"/>
    <mergeCell ref="U189"/>
    <mergeCell ref="I190"/>
    <mergeCell ref="L190"/>
    <mergeCell ref="K190"/>
    <mergeCell ref="O189"/>
    <mergeCell ref="R189"/>
    <mergeCell ref="J190"/>
    <mergeCell ref="C218"/>
    <mergeCell ref="C219"/>
    <mergeCell ref="R216"/>
    <mergeCell ref="U215"/>
    <mergeCell ref="P192"/>
    <mergeCell ref="Z189"/>
    <mergeCell ref="F190"/>
    <mergeCell ref="Y215"/>
    <mergeCell ref="D218"/>
    <mergeCell ref="R218"/>
    <mergeCell ref="V193"/>
    <mergeCell ref="B203"/>
    <mergeCell ref="B215"/>
    <mergeCell ref="B207"/>
    <mergeCell ref="B199"/>
    <mergeCell ref="B200"/>
    <mergeCell ref="B202"/>
    <mergeCell ref="B205"/>
    <mergeCell ref="I193"/>
    <mergeCell ref="Z202"/>
    <mergeCell ref="P202"/>
    <mergeCell ref="H192"/>
    <mergeCell ref="L192"/>
    <mergeCell ref="R191"/>
    <mergeCell ref="N231"/>
    <mergeCell ref="I230"/>
    <mergeCell ref="Y202"/>
    <mergeCell ref="Y199"/>
    <mergeCell ref="X200"/>
    <mergeCell ref="Y200"/>
    <mergeCell ref="N202"/>
    <mergeCell ref="K206"/>
    <mergeCell ref="J219"/>
    <mergeCell ref="P219"/>
    <mergeCell ref="Q219"/>
    <mergeCell ref="J208"/>
    <mergeCell ref="U199"/>
    <mergeCell ref="V199"/>
    <mergeCell ref="F197"/>
    <mergeCell ref="F198"/>
    <mergeCell ref="J199"/>
    <mergeCell ref="Z195"/>
    <mergeCell ref="Z196"/>
    <mergeCell ref="S194"/>
    <mergeCell ref="E196"/>
    <mergeCell ref="Y194"/>
    <mergeCell ref="G194"/>
    <mergeCell ref="T194"/>
    <mergeCell ref="Z198"/>
    <mergeCell ref="F199"/>
    <mergeCell ref="O197"/>
    <mergeCell ref="Y197"/>
    <mergeCell ref="I210"/>
    <mergeCell ref="J210"/>
    <mergeCell ref="S209"/>
    <mergeCell ref="Q209"/>
    <mergeCell ref="U211"/>
    <mergeCell ref="N210"/>
    <mergeCell ref="X210"/>
    <mergeCell ref="Q206"/>
    <mergeCell ref="S208"/>
    <mergeCell ref="R207"/>
    <mergeCell ref="W206"/>
    <mergeCell ref="U207"/>
    <mergeCell ref="T207"/>
    <mergeCell ref="L195"/>
    <mergeCell ref="W194"/>
    <mergeCell ref="T192"/>
    <mergeCell ref="S192"/>
    <mergeCell ref="X193"/>
    <mergeCell ref="R193"/>
    <mergeCell ref="L210"/>
    <mergeCell ref="Y196"/>
    <mergeCell ref="L193"/>
    <mergeCell ref="N193"/>
    <mergeCell ref="E201"/>
    <mergeCell ref="W199"/>
    <mergeCell ref="X199"/>
    <mergeCell ref="U208"/>
    <mergeCell ref="T208"/>
    <mergeCell ref="F201"/>
    <mergeCell ref="Q201"/>
    <mergeCell ref="M202"/>
    <mergeCell ref="Y229"/>
    <mergeCell ref="V229"/>
    <mergeCell ref="Q229"/>
    <mergeCell ref="X229"/>
    <mergeCell ref="M231"/>
    <mergeCell ref="U230"/>
    <mergeCell ref="P231"/>
    <mergeCell ref="O231"/>
    <mergeCell ref="R230"/>
    <mergeCell ref="T230"/>
    <mergeCell ref="N230"/>
    <mergeCell ref="K231"/>
    <mergeCell ref="W230"/>
    <mergeCell ref="O229"/>
    <mergeCell ref="T191"/>
    <mergeCell ref="X190"/>
    <mergeCell ref="P191"/>
    <mergeCell ref="O190"/>
    <mergeCell ref="U190"/>
    <mergeCell ref="S190"/>
    <mergeCell ref="R195"/>
    <mergeCell ref="S191"/>
    <mergeCell ref="J192"/>
    <mergeCell ref="U192"/>
    <mergeCell ref="H223"/>
    <mergeCell ref="M195"/>
    <mergeCell ref="O205"/>
    <mergeCell ref="N200"/>
    <mergeCell ref="W200"/>
    <mergeCell ref="J200"/>
    <mergeCell ref="U200"/>
    <mergeCell ref="Q200"/>
    <mergeCell ref="S200"/>
    <mergeCell ref="Q197"/>
    <mergeCell ref="S197"/>
    <mergeCell ref="R197"/>
    <mergeCell ref="Q194"/>
    <mergeCell ref="K195"/>
    <mergeCell ref="L197"/>
    <mergeCell ref="T197"/>
    <mergeCell ref="O193"/>
    <mergeCell ref="Y191"/>
    <mergeCell ref="V189"/>
    <mergeCell ref="J230"/>
    <mergeCell ref="N229"/>
    <mergeCell ref="Q230"/>
    <mergeCell ref="L231"/>
    <mergeCell ref="X231"/>
    <mergeCell ref="H216"/>
    <mergeCell ref="N226"/>
    <mergeCell ref="W226"/>
    <mergeCell ref="I227"/>
    <mergeCell ref="V228"/>
    <mergeCell ref="V230"/>
    <mergeCell ref="Z218"/>
    <mergeCell ref="I218"/>
    <mergeCell ref="X218"/>
    <mergeCell ref="O216"/>
    <mergeCell ref="P218"/>
    <mergeCell ref="Q217"/>
    <mergeCell ref="Z213"/>
    <mergeCell ref="R186"/>
    <mergeCell ref="M191"/>
    <mergeCell ref="Y190"/>
    <mergeCell ref="T190"/>
    <mergeCell ref="H199"/>
    <mergeCell ref="T199"/>
    <mergeCell ref="S199"/>
    <mergeCell ref="R199"/>
    <mergeCell ref="Q199"/>
    <mergeCell ref="P199"/>
    <mergeCell ref="H202"/>
    <mergeCell ref="I196"/>
    <mergeCell ref="H208"/>
    <mergeCell ref="H209"/>
    <mergeCell ref="Z199"/>
    <mergeCell ref="X206"/>
    <mergeCell ref="O209"/>
    <mergeCell ref="O199"/>
    <mergeCell ref="N199"/>
    <mergeCell ref="L199"/>
    <mergeCell ref="S203"/>
    <mergeCell ref="L202"/>
    <mergeCell ref="H226"/>
    <mergeCell ref="U225"/>
    <mergeCell ref="P225"/>
    <mergeCell ref="S225"/>
    <mergeCell ref="L226"/>
    <mergeCell ref="M226"/>
    <mergeCell ref="U197"/>
    <mergeCell ref="I229"/>
    <mergeCell ref="X230"/>
    <mergeCell ref="H225"/>
    <mergeCell ref="V224"/>
    <mergeCell ref="L225"/>
    <mergeCell ref="Z226"/>
    <mergeCell ref="H217"/>
    <mergeCell ref="O217"/>
    <mergeCell ref="X217"/>
    <mergeCell ref="K217"/>
    <mergeCell ref="V217"/>
    <mergeCell ref="R217"/>
    <mergeCell ref="B187"/>
    <mergeCell ref="B189"/>
    <mergeCell ref="B182"/>
    <mergeCell ref="B191"/>
    <mergeCell ref="B186"/>
    <mergeCell ref="B184"/>
    <mergeCell ref="B183"/>
    <mergeCell ref="B195"/>
    <mergeCell ref="B196"/>
    <mergeCell ref="B185"/>
    <mergeCell ref="B194"/>
    <mergeCell ref="B193"/>
    <mergeCell ref="B190"/>
    <mergeCell ref="B188"/>
    <mergeCell ref="B192"/>
    <mergeCell ref="S195"/>
    <mergeCell ref="G196"/>
    <mergeCell ref="C193"/>
    <mergeCell ref="C191"/>
    <mergeCell ref="D193"/>
    <mergeCell ref="E193"/>
    <mergeCell ref="E191"/>
    <mergeCell ref="H194"/>
    <mergeCell ref="Y195"/>
    <mergeCell ref="V178"/>
    <mergeCell ref="J179"/>
    <mergeCell ref="X176"/>
    <mergeCell ref="Q177"/>
    <mergeCell ref="Q192"/>
    <mergeCell ref="Q193"/>
    <mergeCell ref="P193"/>
    <mergeCell ref="V192"/>
    <mergeCell ref="X178"/>
    <mergeCell ref="D180"/>
    <mergeCell ref="C179"/>
    <mergeCell ref="P184"/>
    <mergeCell ref="P182"/>
    <mergeCell ref="C182"/>
    <mergeCell ref="T181"/>
    <mergeCell ref="S181"/>
    <mergeCell ref="R181"/>
    <mergeCell ref="J182"/>
    <mergeCell ref="F184"/>
    <mergeCell ref="K184"/>
    <mergeCell ref="I184"/>
    <mergeCell ref="N177"/>
    <mergeCell ref="M180"/>
    <mergeCell ref="T188"/>
    <mergeCell ref="E190"/>
    <mergeCell ref="X191"/>
    <mergeCell ref="W177"/>
    <mergeCell ref="C195"/>
    <mergeCell ref="Y192"/>
    <mergeCell ref="T187"/>
    <mergeCell ref="X187"/>
    <mergeCell ref="Y187"/>
    <mergeCell ref="W182"/>
    <mergeCell ref="F181"/>
    <mergeCell ref="L182"/>
    <mergeCell ref="U188"/>
    <mergeCell ref="J186"/>
    <mergeCell ref="K186"/>
    <mergeCell ref="C186"/>
    <mergeCell ref="C196"/>
    <mergeCell ref="B164"/>
    <mergeCell ref="B176"/>
    <mergeCell ref="B181"/>
    <mergeCell ref="B171"/>
    <mergeCell ref="B177"/>
    <mergeCell ref="B175"/>
    <mergeCell ref="B174"/>
    <mergeCell ref="B173"/>
    <mergeCell ref="B179"/>
    <mergeCell ref="B180"/>
    <mergeCell ref="F192"/>
    <mergeCell ref="F196"/>
    <mergeCell ref="R192"/>
    <mergeCell ref="B157"/>
    <mergeCell ref="B139"/>
    <mergeCell ref="B168"/>
    <mergeCell ref="B137"/>
    <mergeCell ref="B159"/>
    <mergeCell ref="B161"/>
    <mergeCell ref="B170"/>
    <mergeCell ref="B163"/>
    <mergeCell ref="B172"/>
    <mergeCell ref="B167"/>
    <mergeCell ref="B165"/>
    <mergeCell ref="B166"/>
    <mergeCell ref="B178"/>
    <mergeCell ref="M131"/>
    <mergeCell ref="C172"/>
    <mergeCell ref="D172"/>
    <mergeCell ref="W176"/>
    <mergeCell ref="Q175"/>
    <mergeCell ref="V176"/>
    <mergeCell ref="S177"/>
    <mergeCell ref="M179"/>
    <mergeCell ref="W179"/>
    <mergeCell ref="N179"/>
    <mergeCell ref="U179"/>
    <mergeCell ref="F179"/>
    <mergeCell ref="H179"/>
    <mergeCell ref="I179"/>
    <mergeCell ref="C168"/>
    <mergeCell ref="I136"/>
    <mergeCell ref="T136"/>
    <mergeCell ref="D137"/>
    <mergeCell ref="N136"/>
    <mergeCell ref="V136"/>
    <mergeCell ref="R136"/>
    <mergeCell ref="P136"/>
    <mergeCell ref="Q131"/>
    <mergeCell ref="W133"/>
    <mergeCell ref="P133"/>
    <mergeCell ref="B169"/>
    <mergeCell ref="K131"/>
    <mergeCell ref="B162"/>
    <mergeCell ref="B158"/>
    <mergeCell ref="B156"/>
    <mergeCell ref="B155"/>
    <mergeCell ref="B154"/>
    <mergeCell ref="B160"/>
    <mergeCell ref="P137"/>
    <mergeCell ref="T138"/>
    <mergeCell ref="G167"/>
    <mergeCell ref="D171"/>
    <mergeCell ref="F171"/>
    <mergeCell ref="B135"/>
    <mergeCell ref="B146"/>
    <mergeCell ref="B144"/>
    <mergeCell ref="B138"/>
    <mergeCell ref="O133"/>
    <mergeCell ref="C146"/>
    <mergeCell ref="D146"/>
    <mergeCell ref="G152"/>
    <mergeCell ref="H152"/>
    <mergeCell ref="E159"/>
    <mergeCell ref="B147"/>
    <mergeCell ref="B142"/>
    <mergeCell ref="W131"/>
    <mergeCell ref="Q132"/>
    <mergeCell ref="K133"/>
    <mergeCell ref="L133"/>
    <mergeCell ref="Y133"/>
    <mergeCell ref="B140"/>
    <mergeCell ref="W130"/>
    <mergeCell ref="Q133"/>
    <mergeCell ref="E143"/>
    <mergeCell ref="I141"/>
    <mergeCell ref="J143"/>
    <mergeCell ref="R140"/>
    <mergeCell ref="X141"/>
    <mergeCell ref="W141"/>
    <mergeCell ref="T141"/>
    <mergeCell ref="S141"/>
    <mergeCell ref="U141"/>
    <mergeCell ref="Z141"/>
    <mergeCell ref="Z142"/>
    <mergeCell ref="M135"/>
    <mergeCell ref="H138"/>
    <mergeCell ref="L138"/>
    <mergeCell ref="J138"/>
    <mergeCell ref="I132"/>
    <mergeCell ref="K132"/>
    <mergeCell ref="Q134"/>
    <mergeCell ref="T134"/>
    <mergeCell ref="I138"/>
    <mergeCell ref="M139"/>
    <mergeCell ref="D140"/>
    <mergeCell ref="I139"/>
    <mergeCell ref="R139"/>
    <mergeCell ref="L139"/>
    <mergeCell ref="K139"/>
    <mergeCell ref="C140"/>
    <mergeCell ref="K138"/>
    <mergeCell ref="O139"/>
    <mergeCell ref="H139"/>
    <mergeCell ref="H136"/>
    <mergeCell ref="O137"/>
    <mergeCell ref="N137"/>
    <mergeCell ref="J137"/>
    <mergeCell ref="G138"/>
    <mergeCell ref="S139"/>
    <mergeCell ref="I137"/>
    <mergeCell ref="D135"/>
    <mergeCell ref="C142"/>
    <mergeCell ref="J134"/>
    <mergeCell ref="K134"/>
    <mergeCell ref="Q135"/>
    <mergeCell ref="U135"/>
    <mergeCell ref="Z135"/>
    <mergeCell ref="B134"/>
    <mergeCell ref="P132"/>
    <mergeCell ref="T131"/>
    <mergeCell ref="Y130"/>
    <mergeCell ref="N131"/>
    <mergeCell ref="P131"/>
    <mergeCell ref="T130"/>
    <mergeCell ref="Z132"/>
    <mergeCell ref="S132"/>
    <mergeCell ref="R131"/>
    <mergeCell ref="L114"/>
    <mergeCell ref="K115"/>
    <mergeCell ref="V109"/>
    <mergeCell ref="R112"/>
    <mergeCell ref="Y112"/>
    <mergeCell ref="Y113"/>
    <mergeCell ref="N113"/>
    <mergeCell ref="V115"/>
    <mergeCell ref="T113"/>
    <mergeCell ref="O115"/>
    <mergeCell ref="Z115"/>
    <mergeCell ref="T115"/>
    <mergeCell ref="U114"/>
    <mergeCell ref="Z121"/>
    <mergeCell ref="Q121"/>
    <mergeCell ref="X121"/>
    <mergeCell ref="W121"/>
    <mergeCell ref="I108"/>
    <mergeCell ref="J108"/>
    <mergeCell ref="K108"/>
    <mergeCell ref="P114"/>
    <mergeCell ref="V114"/>
    <mergeCell ref="Y114"/>
    <mergeCell ref="X114"/>
    <mergeCell ref="W114"/>
    <mergeCell ref="T114"/>
    <mergeCell ref="L115"/>
    <mergeCell ref="N118"/>
    <mergeCell ref="W119"/>
    <mergeCell ref="T116"/>
    <mergeCell ref="K118"/>
    <mergeCell ref="M118"/>
    <mergeCell ref="L118"/>
    <mergeCell ref="S117"/>
    <mergeCell ref="N117"/>
    <mergeCell ref="X119"/>
    <mergeCell ref="M109"/>
    <mergeCell ref="V108"/>
    <mergeCell ref="T108"/>
    <mergeCell ref="S108"/>
    <mergeCell ref="U108"/>
    <mergeCell ref="N109"/>
    <mergeCell ref="Z116"/>
    <mergeCell ref="M117"/>
    <mergeCell ref="L117"/>
    <mergeCell ref="V116"/>
    <mergeCell ref="I113"/>
    <mergeCell ref="U110"/>
    <mergeCell ref="R111"/>
    <mergeCell ref="P109"/>
    <mergeCell ref="Z110"/>
    <mergeCell ref="M111"/>
    <mergeCell ref="Q110"/>
    <mergeCell ref="O108"/>
    <mergeCell ref="P121"/>
    <mergeCell ref="R120"/>
    <mergeCell ref="K120"/>
    <mergeCell ref="U120"/>
    <mergeCell ref="O121"/>
    <mergeCell ref="O120"/>
    <mergeCell ref="Q120"/>
    <mergeCell ref="X126"/>
    <mergeCell ref="V126"/>
    <mergeCell ref="W117"/>
    <mergeCell ref="X117"/>
    <mergeCell ref="Y117"/>
    <mergeCell ref="Z117"/>
    <mergeCell ref="K117"/>
    <mergeCell ref="Y116"/>
    <mergeCell ref="N123"/>
    <mergeCell ref="V123"/>
    <mergeCell ref="U123"/>
    <mergeCell ref="V110"/>
    <mergeCell ref="W110"/>
    <mergeCell ref="S111"/>
    <mergeCell ref="Y111"/>
    <mergeCell ref="W108"/>
    <mergeCell ref="P110"/>
    <mergeCell ref="O109"/>
    <mergeCell ref="R109"/>
    <mergeCell ref="O110"/>
    <mergeCell ref="Y107"/>
    <mergeCell ref="O107"/>
    <mergeCell ref="X110"/>
    <mergeCell ref="Q109"/>
    <mergeCell ref="Z125"/>
    <mergeCell ref="O124"/>
    <mergeCell ref="V124"/>
    <mergeCell ref="P123"/>
    <mergeCell ref="N125"/>
    <mergeCell ref="O125"/>
    <mergeCell ref="P125"/>
    <mergeCell ref="W123"/>
    <mergeCell ref="R125"/>
    <mergeCell ref="Z114"/>
    <mergeCell ref="U112"/>
    <mergeCell ref="T112"/>
    <mergeCell ref="Q112"/>
    <mergeCell ref="O112"/>
    <mergeCell ref="Z126"/>
    <mergeCell ref="Y126"/>
    <mergeCell ref="L123"/>
    <mergeCell ref="X122"/>
    <mergeCell ref="Q119"/>
    <mergeCell ref="M122"/>
    <mergeCell ref="L121"/>
    <mergeCell ref="M95"/>
    <mergeCell ref="Q99"/>
    <mergeCell ref="Y99"/>
    <mergeCell ref="U99"/>
    <mergeCell ref="T99"/>
    <mergeCell ref="Q98"/>
    <mergeCell ref="T102"/>
    <mergeCell ref="O101"/>
    <mergeCell ref="R102"/>
    <mergeCell ref="Q102"/>
    <mergeCell ref="P102"/>
    <mergeCell ref="M82"/>
    <mergeCell ref="N82"/>
    <mergeCell ref="O82"/>
    <mergeCell ref="L80"/>
    <mergeCell ref="P80"/>
    <mergeCell ref="O81"/>
    <mergeCell ref="N87"/>
    <mergeCell ref="Y86"/>
    <mergeCell ref="R81"/>
    <mergeCell ref="X82"/>
    <mergeCell ref="W82"/>
    <mergeCell ref="S82"/>
    <mergeCell ref="T82"/>
    <mergeCell ref="U82"/>
    <mergeCell ref="K85"/>
    <mergeCell ref="P86"/>
    <mergeCell ref="U86"/>
    <mergeCell ref="T86"/>
    <mergeCell ref="Q86"/>
    <mergeCell ref="R86"/>
    <mergeCell ref="W86"/>
    <mergeCell ref="R90"/>
    <mergeCell ref="S98"/>
    <mergeCell ref="L95"/>
    <mergeCell ref="U96"/>
    <mergeCell ref="T96"/>
    <mergeCell ref="Q95"/>
    <mergeCell ref="K99"/>
    <mergeCell ref="X98"/>
    <mergeCell ref="M99"/>
    <mergeCell ref="T98"/>
    <mergeCell ref="R98"/>
    <mergeCell ref="N97"/>
    <mergeCell ref="X97"/>
    <mergeCell ref="S97"/>
    <mergeCell ref="U97"/>
    <mergeCell ref="K98"/>
    <mergeCell ref="O98"/>
    <mergeCell ref="W98"/>
    <mergeCell ref="R97"/>
    <mergeCell ref="W95"/>
    <mergeCell ref="Q94"/>
    <mergeCell ref="U98"/>
    <mergeCell ref="P93"/>
    <mergeCell ref="X94"/>
    <mergeCell ref="N94"/>
    <mergeCell ref="Q93"/>
    <mergeCell ref="S94"/>
    <mergeCell ref="O94"/>
    <mergeCell ref="W94"/>
    <mergeCell ref="Y94"/>
    <mergeCell ref="S95"/>
    <mergeCell ref="M96"/>
    <mergeCell ref="R96"/>
    <mergeCell ref="M97"/>
    <mergeCell ref="T97"/>
    <mergeCell ref="N100"/>
    <mergeCell ref="O99"/>
    <mergeCell ref="W99"/>
    <mergeCell ref="K100"/>
    <mergeCell ref="L100"/>
    <mergeCell ref="M100"/>
    <mergeCell ref="Y98"/>
    <mergeCell ref="N99"/>
    <mergeCell ref="U105"/>
    <mergeCell ref="M106"/>
    <mergeCell ref="X105"/>
    <mergeCell ref="O105"/>
    <mergeCell ref="T105"/>
    <mergeCell ref="Q105"/>
    <mergeCell ref="V105"/>
    <mergeCell ref="L99"/>
    <mergeCell ref="Q111"/>
    <mergeCell ref="S110"/>
    <mergeCell ref="R110"/>
    <mergeCell ref="P111"/>
    <mergeCell ref="K111"/>
    <mergeCell ref="Y110"/>
    <mergeCell ref="Y100"/>
    <mergeCell ref="Y106"/>
    <mergeCell ref="K97"/>
    <mergeCell ref="Q97"/>
    <mergeCell ref="Z106"/>
    <mergeCell ref="L106"/>
    <mergeCell ref="U106"/>
    <mergeCell ref="P107"/>
    <mergeCell ref="S107"/>
    <mergeCell ref="Z96"/>
    <mergeCell ref="Z97"/>
    <mergeCell ref="V99"/>
    <mergeCell ref="S99"/>
    <mergeCell ref="X99"/>
    <mergeCell ref="Y108"/>
    <mergeCell ref="L105"/>
    <mergeCell ref="T106"/>
    <mergeCell ref="Q106"/>
    <mergeCell ref="V106"/>
    <mergeCell ref="L98"/>
    <mergeCell ref="M98"/>
    <mergeCell ref="O100"/>
    <mergeCell ref="X100"/>
    <mergeCell ref="Z99"/>
    <mergeCell ref="R99"/>
    <mergeCell ref="W109"/>
    <mergeCell ref="U107"/>
    <mergeCell ref="N110"/>
    <mergeCell ref="O111"/>
    <mergeCell ref="W111"/>
    <mergeCell ref="X111"/>
    <mergeCell ref="V111"/>
    <mergeCell ref="U111"/>
    <mergeCell ref="T111"/>
    <mergeCell ref="Z111"/>
    <mergeCell ref="V104"/>
    <mergeCell ref="Z109"/>
    <mergeCell ref="W106"/>
    <mergeCell ref="P108"/>
    <mergeCell ref="T53"/>
    <mergeCell ref="O53"/>
    <mergeCell ref="K54"/>
    <mergeCell ref="L54"/>
    <mergeCell ref="M54"/>
    <mergeCell ref="Q56"/>
    <mergeCell ref="Y56"/>
    <mergeCell ref="U56"/>
    <mergeCell ref="T56"/>
    <mergeCell ref="N61"/>
    <mergeCell ref="W60"/>
    <mergeCell ref="L62"/>
    <mergeCell ref="P64"/>
    <mergeCell ref="Y64"/>
    <mergeCell ref="S64"/>
    <mergeCell ref="V64"/>
    <mergeCell ref="T62"/>
    <mergeCell ref="N63"/>
    <mergeCell ref="V63"/>
    <mergeCell ref="S63"/>
    <mergeCell ref="W63"/>
    <mergeCell ref="X63"/>
    <mergeCell ref="Y63"/>
    <mergeCell ref="X57"/>
    <mergeCell ref="P56"/>
    <mergeCell ref="K66"/>
    <mergeCell ref="L66"/>
    <mergeCell ref="V55"/>
    <mergeCell ref="P57"/>
    <mergeCell ref="N58"/>
    <mergeCell ref="V58"/>
    <mergeCell ref="O59"/>
    <mergeCell ref="V57"/>
    <mergeCell ref="M64"/>
    <mergeCell ref="O63"/>
    <mergeCell ref="M63"/>
    <mergeCell ref="T63"/>
    <mergeCell ref="O62"/>
    <mergeCell ref="U63"/>
    <mergeCell ref="P63"/>
    <mergeCell ref="P60"/>
    <mergeCell ref="V60"/>
    <mergeCell ref="P59"/>
    <mergeCell ref="R60"/>
    <mergeCell ref="T60"/>
    <mergeCell ref="O56"/>
    <mergeCell ref="O66"/>
    <mergeCell ref="P66"/>
    <mergeCell ref="N56"/>
    <mergeCell ref="O60"/>
    <mergeCell ref="T58"/>
    <mergeCell ref="T65"/>
    <mergeCell ref="Y60"/>
    <mergeCell ref="U60"/>
    <mergeCell ref="N62"/>
    <mergeCell ref="W61"/>
    <mergeCell ref="Q54"/>
    <mergeCell ref="X54"/>
    <mergeCell ref="Y54"/>
    <mergeCell ref="K62"/>
    <mergeCell ref="K63"/>
    <mergeCell ref="J78"/>
    <mergeCell ref="M80"/>
    <mergeCell ref="Z75"/>
    <mergeCell ref="Q76"/>
    <mergeCell ref="Q72"/>
    <mergeCell ref="T71"/>
    <mergeCell ref="W72"/>
    <mergeCell ref="O73"/>
    <mergeCell ref="P73"/>
    <mergeCell ref="Q73"/>
    <mergeCell ref="O74"/>
    <mergeCell ref="O75"/>
    <mergeCell ref="X75"/>
    <mergeCell ref="K76"/>
    <mergeCell ref="L76"/>
    <mergeCell ref="M76"/>
    <mergeCell ref="K59"/>
    <mergeCell ref="X58"/>
    <mergeCell ref="L56"/>
    <mergeCell ref="U55"/>
    <mergeCell ref="Z57"/>
    <mergeCell ref="Q58"/>
    <mergeCell ref="Y58"/>
    <mergeCell ref="Z58"/>
    <mergeCell ref="T64"/>
    <mergeCell ref="N67"/>
    <mergeCell ref="M66"/>
    <mergeCell ref="U65"/>
    <mergeCell ref="N69"/>
    <mergeCell ref="V67"/>
    <mergeCell ref="Z68"/>
    <mergeCell ref="K68"/>
    <mergeCell ref="Y67"/>
    <mergeCell ref="K56"/>
    <mergeCell ref="X55"/>
    <mergeCell ref="M56"/>
    <mergeCell ref="W55"/>
    <mergeCell ref="O55"/>
    <mergeCell ref="S61"/>
    <mergeCell ref="L63"/>
    <mergeCell ref="O67"/>
    <mergeCell ref="R65"/>
    <mergeCell ref="U67"/>
    <mergeCell ref="X64"/>
    <mergeCell ref="Q65"/>
    <mergeCell ref="Y66"/>
    <mergeCell ref="L64"/>
    <mergeCell ref="W64"/>
    <mergeCell ref="K65"/>
    <mergeCell ref="L65"/>
    <mergeCell ref="M65"/>
    <mergeCell ref="Z62"/>
    <mergeCell ref="K64"/>
    <mergeCell ref="K61"/>
    <mergeCell ref="W74"/>
    <mergeCell ref="P75"/>
    <mergeCell ref="W56"/>
    <mergeCell ref="Z64"/>
    <mergeCell ref="P65"/>
    <mergeCell ref="Q63"/>
    <mergeCell ref="U64"/>
    <mergeCell ref="O64"/>
    <mergeCell ref="N65"/>
    <mergeCell ref="N66"/>
    <mergeCell ref="Z54"/>
    <mergeCell ref="W57"/>
    <mergeCell ref="Q57"/>
    <mergeCell ref="R57"/>
    <mergeCell ref="S57"/>
    <mergeCell ref="T57"/>
    <mergeCell ref="U57"/>
    <mergeCell ref="O57"/>
    <mergeCell ref="Z59"/>
    <mergeCell ref="Z60"/>
    <mergeCell ref="Q64"/>
    <mergeCell ref="S65"/>
    <mergeCell ref="N68"/>
    <mergeCell ref="L59"/>
    <mergeCell ref="U58"/>
    <mergeCell ref="O58"/>
    <mergeCell ref="R84"/>
    <mergeCell ref="W83"/>
    <mergeCell ref="O84"/>
    <mergeCell ref="N83"/>
    <mergeCell ref="S81"/>
    <mergeCell ref="U83"/>
    <mergeCell ref="U84"/>
    <mergeCell ref="R83"/>
    <mergeCell ref="P84"/>
    <mergeCell ref="P78"/>
    <mergeCell ref="X78"/>
    <mergeCell ref="P58"/>
    <mergeCell ref="V59"/>
    <mergeCell ref="U59"/>
    <mergeCell ref="R59"/>
    <mergeCell ref="Q59"/>
    <mergeCell ref="S59"/>
    <mergeCell ref="X59"/>
    <mergeCell ref="Y59"/>
    <mergeCell ref="M62"/>
    <mergeCell ref="T61"/>
    <mergeCell ref="Q60"/>
    <mergeCell ref="P61"/>
    <mergeCell ref="S60"/>
    <mergeCell ref="V61"/>
    <mergeCell ref="X60"/>
    <mergeCell ref="Q61"/>
    <mergeCell ref="U73"/>
    <mergeCell ref="V73"/>
    <mergeCell ref="M74"/>
    <mergeCell ref="W76"/>
    <mergeCell ref="S78"/>
    <mergeCell ref="R61"/>
    <mergeCell ref="X62"/>
    <mergeCell ref="W62"/>
    <mergeCell ref="V62"/>
    <mergeCell ref="U62"/>
    <mergeCell ref="S62"/>
    <mergeCell ref="Q83"/>
    <mergeCell ref="X83"/>
    <mergeCell ref="L84"/>
    <mergeCell ref="V83"/>
    <mergeCell ref="P83"/>
    <mergeCell ref="W84"/>
    <mergeCell ref="V84"/>
    <mergeCell ref="Y79"/>
    <mergeCell ref="Z73"/>
    <mergeCell ref="S72"/>
    <mergeCell ref="Z94"/>
    <mergeCell ref="S92"/>
    <mergeCell ref="M94"/>
    <mergeCell ref="U93"/>
    <mergeCell ref="L94"/>
    <mergeCell ref="R93"/>
    <mergeCell ref="Z93"/>
    <mergeCell ref="R92"/>
    <mergeCell ref="Y92"/>
    <mergeCell ref="V92"/>
    <mergeCell ref="T92"/>
    <mergeCell ref="X92"/>
    <mergeCell ref="V88"/>
    <mergeCell ref="T79"/>
    <mergeCell ref="X79"/>
    <mergeCell ref="W79"/>
    <mergeCell ref="Z82"/>
    <mergeCell ref="Z90"/>
    <mergeCell ref="Z91"/>
    <mergeCell ref="Z88"/>
    <mergeCell ref="Z89"/>
    <mergeCell ref="Y88"/>
    <mergeCell ref="R66"/>
    <mergeCell ref="Z65"/>
    <mergeCell ref="X66"/>
    <mergeCell ref="W66"/>
    <mergeCell ref="V66"/>
    <mergeCell ref="U66"/>
    <mergeCell ref="Z66"/>
    <mergeCell ref="K67"/>
    <mergeCell ref="Y73"/>
    <mergeCell ref="X73"/>
    <mergeCell ref="M67"/>
    <mergeCell ref="T68"/>
    <mergeCell ref="L67"/>
    <mergeCell ref="W65"/>
    <mergeCell ref="T94"/>
    <mergeCell ref="R94"/>
    <mergeCell ref="K94"/>
    <mergeCell ref="K92"/>
    <mergeCell ref="Y84"/>
    <mergeCell ref="Z84"/>
    <mergeCell ref="N80"/>
    <mergeCell ref="S79"/>
    <mergeCell ref="V80"/>
    <mergeCell ref="K81"/>
    <mergeCell ref="L81"/>
    <mergeCell ref="M81"/>
    <mergeCell ref="N81"/>
    <mergeCell ref="K84"/>
    <mergeCell ref="Y83"/>
    <mergeCell ref="Z81"/>
    <mergeCell ref="M83"/>
    <mergeCell ref="L82"/>
    <mergeCell ref="N84"/>
    <mergeCell ref="S83"/>
    <mergeCell ref="W81"/>
    <mergeCell ref="O83"/>
    <mergeCell ref="L83"/>
    <mergeCell ref="V81"/>
    <mergeCell ref="Z83"/>
    <mergeCell ref="M84"/>
    <mergeCell ref="V93"/>
    <mergeCell ref="O92"/>
    <mergeCell ref="P92"/>
    <mergeCell ref="Y93"/>
    <mergeCell ref="Z92"/>
    <mergeCell ref="P90"/>
    <mergeCell ref="U90"/>
    <mergeCell ref="X90"/>
    <mergeCell ref="W90"/>
    <mergeCell ref="S90"/>
    <mergeCell ref="T90"/>
    <mergeCell ref="Y57"/>
    <mergeCell ref="R58"/>
    <mergeCell ref="L74"/>
    <mergeCell ref="M59"/>
    <mergeCell ref="W58"/>
    <mergeCell ref="Z56"/>
    <mergeCell ref="R56"/>
    <mergeCell ref="V56"/>
    <mergeCell ref="S56"/>
    <mergeCell ref="X56"/>
    <mergeCell ref="N57"/>
    <mergeCell ref="Q66"/>
    <mergeCell ref="X65"/>
    <mergeCell ref="Y65"/>
    <mergeCell ref="T66"/>
    <mergeCell ref="S66"/>
    <mergeCell ref="Y62"/>
    <mergeCell ref="U61"/>
    <mergeCell ref="P62"/>
    <mergeCell ref="O65"/>
    <mergeCell ref="R64"/>
    <mergeCell ref="V65"/>
    <mergeCell ref="Z63"/>
    <mergeCell ref="R62"/>
    <mergeCell ref="N64"/>
    <mergeCell ref="Q62"/>
    <mergeCell ref="R63"/>
    <mergeCell ref="Y75"/>
    <mergeCell ref="O69"/>
    <mergeCell ref="S67"/>
    <mergeCell ref="T69"/>
    <mergeCell ref="Q79"/>
    <mergeCell ref="R79"/>
    <mergeCell ref="P76"/>
    <mergeCell ref="V76"/>
    <mergeCell ref="X81"/>
    <mergeCell ref="Z71"/>
    <mergeCell ref="N74"/>
    <mergeCell ref="U85"/>
    <mergeCell ref="P87"/>
    <mergeCell ref="O86"/>
    <mergeCell ref="R89"/>
    <mergeCell ref="X88"/>
    <mergeCell ref="X89"/>
    <mergeCell ref="W89"/>
    <mergeCell ref="V89"/>
    <mergeCell ref="U89"/>
    <mergeCell ref="Y89"/>
    <mergeCell ref="Y80"/>
    <mergeCell ref="Z80"/>
    <mergeCell ref="K70"/>
    <mergeCell ref="L70"/>
    <mergeCell ref="Z72"/>
    <mergeCell ref="T73"/>
    <mergeCell ref="X70"/>
    <mergeCell ref="S71"/>
    <mergeCell ref="R70"/>
    <mergeCell ref="Z67"/>
    <mergeCell ref="P69"/>
    <mergeCell ref="Y69"/>
    <mergeCell ref="S70"/>
    <mergeCell ref="R69"/>
    <mergeCell ref="K71"/>
    <mergeCell ref="P71"/>
    <mergeCell ref="W70"/>
    <mergeCell ref="W69"/>
    <mergeCell ref="Q71"/>
    <mergeCell ref="Y70"/>
    <mergeCell ref="W75"/>
    <mergeCell ref="Z69"/>
    <mergeCell ref="L61"/>
    <mergeCell ref="M61"/>
    <mergeCell ref="N59"/>
    <mergeCell ref="S58"/>
    <mergeCell ref="T59"/>
    <mergeCell ref="K60"/>
    <mergeCell ref="L60"/>
    <mergeCell ref="M60"/>
    <mergeCell ref="N60"/>
    <mergeCell ref="V68"/>
    <mergeCell ref="W68"/>
    <mergeCell ref="X68"/>
    <mergeCell ref="Y68"/>
    <mergeCell ref="Y72"/>
    <mergeCell ref="X72"/>
    <mergeCell ref="U72"/>
    <mergeCell ref="T72"/>
    <mergeCell ref="K73"/>
    <mergeCell ref="Q67"/>
    <mergeCell ref="X67"/>
    <mergeCell ref="P67"/>
    <mergeCell ref="V69"/>
    <mergeCell ref="U69"/>
    <mergeCell ref="S69"/>
    <mergeCell ref="M70"/>
    <mergeCell ref="N70"/>
    <mergeCell ref="O70"/>
    <mergeCell ref="P70"/>
    <mergeCell ref="L68"/>
    <mergeCell ref="W67"/>
    <mergeCell ref="K69"/>
    <mergeCell ref="L69"/>
    <mergeCell ref="M69"/>
    <mergeCell ref="V70"/>
    <mergeCell ref="N72"/>
    <mergeCell ref="U68"/>
    <mergeCell ref="M68"/>
    <mergeCell ref="O68"/>
    <mergeCell ref="P68"/>
    <mergeCell ref="Q68"/>
    <mergeCell ref="R68"/>
    <mergeCell ref="S68"/>
    <mergeCell ref="R73"/>
    <mergeCell ref="T75"/>
    <mergeCell ref="K105"/>
    <mergeCell ref="K106"/>
    <mergeCell ref="V98"/>
    <mergeCell ref="P100"/>
    <mergeCell ref="K102"/>
    <mergeCell ref="Y101"/>
    <mergeCell ref="Z101"/>
    <mergeCell ref="M102"/>
    <mergeCell ref="X113"/>
    <mergeCell ref="S104"/>
    <mergeCell ref="X104"/>
    <mergeCell ref="L101"/>
    <mergeCell ref="W100"/>
    <mergeCell ref="U100"/>
    <mergeCell ref="T100"/>
    <mergeCell ref="S100"/>
    <mergeCell ref="R100"/>
    <mergeCell ref="Q100"/>
    <mergeCell ref="N101"/>
    <mergeCell ref="P104"/>
    <mergeCell ref="Y104"/>
    <mergeCell ref="R104"/>
    <mergeCell ref="T104"/>
    <mergeCell ref="M103"/>
    <mergeCell ref="U104"/>
    <mergeCell ref="U101"/>
    <mergeCell ref="N104"/>
    <mergeCell ref="Z98"/>
    <mergeCell ref="P112"/>
    <mergeCell ref="S109"/>
    <mergeCell ref="V112"/>
    <mergeCell ref="M104"/>
    <mergeCell ref="S105"/>
    <mergeCell ref="X106"/>
    <mergeCell ref="O106"/>
    <mergeCell ref="X107"/>
    <mergeCell ref="Q108"/>
    <mergeCell ref="M108"/>
    <mergeCell ref="N108"/>
    <mergeCell ref="Z107"/>
    <mergeCell ref="K107"/>
    <mergeCell ref="L107"/>
    <mergeCell ref="M107"/>
    <mergeCell ref="K72"/>
    <mergeCell ref="L71"/>
    <mergeCell ref="M71"/>
    <mergeCell ref="N71"/>
    <mergeCell ref="O71"/>
    <mergeCell ref="L72"/>
    <mergeCell ref="M72"/>
    <mergeCell ref="W71"/>
    <mergeCell ref="Z87"/>
    <mergeCell ref="N88"/>
    <mergeCell ref="Y82"/>
    <mergeCell ref="T81"/>
    <mergeCell ref="P82"/>
    <mergeCell ref="L85"/>
    <mergeCell ref="K95"/>
    <mergeCell ref="V95"/>
    <mergeCell ref="P94"/>
    <mergeCell ref="N98"/>
    <mergeCell ref="Y97"/>
    <mergeCell ref="P98"/>
    <mergeCell ref="P97"/>
    <mergeCell ref="O97"/>
    <mergeCell ref="S112"/>
    <mergeCell ref="N105"/>
    <mergeCell ref="W105"/>
    <mergeCell ref="P105"/>
    <mergeCell ref="R105"/>
    <mergeCell ref="Y105"/>
    <mergeCell ref="Z119"/>
    <mergeCell ref="Z76"/>
    <mergeCell ref="T77"/>
    <mergeCell ref="W77"/>
    <mergeCell ref="U77"/>
    <mergeCell ref="Y77"/>
    <mergeCell ref="Z77"/>
    <mergeCell ref="O91"/>
    <mergeCell ref="K83"/>
    <mergeCell ref="K77"/>
    <mergeCell ref="K78"/>
    <mergeCell ref="Y76"/>
    <mergeCell ref="R78"/>
    <mergeCell ref="Q77"/>
    <mergeCell ref="S75"/>
    <mergeCell ref="U79"/>
    <mergeCell ref="V71"/>
    <mergeCell ref="Q74"/>
    <mergeCell ref="K75"/>
    <mergeCell ref="X74"/>
    <mergeCell ref="M75"/>
    <mergeCell ref="T74"/>
    <mergeCell ref="R74"/>
    <mergeCell ref="S73"/>
    <mergeCell ref="Y74"/>
    <mergeCell ref="L75"/>
    <mergeCell ref="V74"/>
    <mergeCell ref="U74"/>
    <mergeCell ref="N75"/>
    <mergeCell ref="L79"/>
    <mergeCell ref="W78"/>
    <mergeCell ref="N79"/>
    <mergeCell ref="V78"/>
    <mergeCell ref="U78"/>
    <mergeCell ref="T78"/>
    <mergeCell ref="Q78"/>
    <mergeCell ref="S33"/>
    <mergeCell ref="N103"/>
    <mergeCell ref="N102"/>
    <mergeCell ref="W104"/>
    <mergeCell ref="M105"/>
    <mergeCell ref="Z108"/>
    <mergeCell ref="L109"/>
    <mergeCell ref="K109"/>
    <mergeCell ref="X108"/>
    <mergeCell ref="O114"/>
    <mergeCell ref="Q122"/>
    <mergeCell ref="P122"/>
    <mergeCell ref="R122"/>
    <mergeCell ref="S122"/>
    <mergeCell ref="L120"/>
    <mergeCell ref="Y121"/>
    <mergeCell ref="R119"/>
    <mergeCell ref="L122"/>
    <mergeCell ref="S116"/>
    <mergeCell ref="T117"/>
    <mergeCell ref="R67"/>
    <mergeCell ref="X69"/>
    <mergeCell ref="T70"/>
    <mergeCell ref="Q69"/>
    <mergeCell ref="U70"/>
    <mergeCell ref="Z70"/>
    <mergeCell ref="Z105"/>
    <mergeCell ref="L104"/>
    <mergeCell ref="W102"/>
    <mergeCell ref="O104"/>
    <mergeCell ref="Z79"/>
    <mergeCell ref="K79"/>
    <mergeCell ref="Y78"/>
    <mergeCell ref="S77"/>
    <mergeCell ref="U92"/>
    <mergeCell ref="K93"/>
    <mergeCell ref="L93"/>
    <mergeCell ref="M93"/>
    <mergeCell ref="N93"/>
    <mergeCell ref="Q92"/>
    <mergeCell ref="T93"/>
    <mergeCell ref="W92"/>
    <mergeCell ref="O93"/>
    <mergeCell ref="W93"/>
    <mergeCell ref="X93"/>
    <mergeCell ref="L87"/>
    <mergeCell ref="M87"/>
    <mergeCell ref="Z113"/>
    <mergeCell ref="R116"/>
    <mergeCell ref="X116"/>
    <mergeCell ref="K116"/>
    <mergeCell ref="P116"/>
    <mergeCell ref="O118"/>
    <mergeCell ref="V117"/>
    <mergeCell ref="T118"/>
    <mergeCell ref="S118"/>
    <mergeCell ref="Z104"/>
    <mergeCell ref="Q104"/>
    <mergeCell ref="N115"/>
    <mergeCell ref="S114"/>
    <mergeCell ref="S115"/>
    <mergeCell ref="R115"/>
    <mergeCell ref="Q114"/>
    <mergeCell ref="V113"/>
    <mergeCell ref="L3"/>
    <mergeCell ref="O2"/>
    <mergeCell ref="Q3"/>
    <mergeCell ref="M1"/>
    <mergeCell ref="Z1"/>
    <mergeCell ref="Y1"/>
    <mergeCell ref="X1"/>
    <mergeCell ref="S1"/>
    <mergeCell ref="T33"/>
    <mergeCell ref="Q33"/>
    <mergeCell ref="Z22"/>
    <mergeCell ref="L23"/>
    <mergeCell ref="O22"/>
    <mergeCell ref="P23"/>
    <mergeCell ref="N23"/>
    <mergeCell ref="M22"/>
    <mergeCell ref="K21"/>
    <mergeCell ref="V19"/>
    <mergeCell ref="Z20"/>
    <mergeCell ref="K51"/>
    <mergeCell ref="X50"/>
    <mergeCell ref="M51"/>
    <mergeCell ref="T50"/>
    <mergeCell ref="P50"/>
    <mergeCell ref="T47"/>
    <mergeCell ref="P49"/>
    <mergeCell ref="O48"/>
    <mergeCell ref="T49"/>
    <mergeCell ref="L50"/>
    <mergeCell ref="M50"/>
    <mergeCell ref="N50"/>
    <mergeCell ref="W49"/>
    <mergeCell ref="S50"/>
    <mergeCell ref="Z50"/>
    <mergeCell ref="U48"/>
    <mergeCell ref="R50"/>
    <mergeCell ref="W50"/>
    <mergeCell ref="X47"/>
    <mergeCell ref="O49"/>
    <mergeCell ref="N48"/>
    <mergeCell ref="P51"/>
    <mergeCell ref="W24"/>
    <mergeCell ref="V24"/>
    <mergeCell ref="U24"/>
    <mergeCell ref="Q23"/>
    <mergeCell ref="Y24"/>
    <mergeCell ref="Z24"/>
    <mergeCell ref="U29"/>
    <mergeCell ref="N29"/>
    <mergeCell ref="O29"/>
    <mergeCell ref="P29"/>
    <mergeCell ref="Q29"/>
    <mergeCell ref="R29"/>
    <mergeCell ref="S29"/>
    <mergeCell ref="V28"/>
    <mergeCell ref="M29"/>
    <mergeCell ref="O51"/>
    <mergeCell ref="L48"/>
    <mergeCell ref="N47"/>
    <mergeCell ref="U49"/>
    <mergeCell ref="X48"/>
    <mergeCell ref="Y49"/>
    <mergeCell ref="X49"/>
    <mergeCell ref="W48"/>
    <mergeCell ref="N1"/>
    <mergeCell ref="P2"/>
    <mergeCell ref="Y3"/>
    <mergeCell ref="R1"/>
    <mergeCell ref="L2"/>
    <mergeCell ref="K1"/>
    <mergeCell ref="R2"/>
    <mergeCell ref="S2"/>
    <mergeCell ref="T2"/>
    <mergeCell ref="U2"/>
    <mergeCell ref="M2"/>
    <mergeCell ref="S3"/>
    <mergeCell ref="O3"/>
    <mergeCell ref="N3"/>
    <mergeCell ref="K20"/>
    <mergeCell ref="X19"/>
    <mergeCell ref="M20"/>
    <mergeCell ref="T19"/>
    <mergeCell ref="R19"/>
    <mergeCell ref="W16"/>
    <mergeCell ref="O18"/>
    <mergeCell ref="Z19"/>
    <mergeCell ref="T20"/>
    <mergeCell ref="S19"/>
    <mergeCell ref="W20"/>
    <mergeCell ref="V20"/>
    <mergeCell ref="U20"/>
    <mergeCell ref="S20"/>
    <mergeCell ref="W18"/>
    <mergeCell ref="X20"/>
    <mergeCell ref="O19"/>
    <mergeCell ref="V18"/>
    <mergeCell ref="W19"/>
    <mergeCell ref="O20"/>
    <mergeCell ref="P20"/>
    <mergeCell ref="Q20"/>
    <mergeCell ref="R20"/>
    <mergeCell ref="L14"/>
    <mergeCell ref="Q13"/>
    <mergeCell ref="Q14"/>
    <mergeCell ref="O14"/>
    <mergeCell ref="Y9"/>
    <mergeCell ref="L12"/>
    <mergeCell ref="K11"/>
    <mergeCell ref="P13"/>
    <mergeCell ref="X14"/>
    <mergeCell ref="W14"/>
    <mergeCell ref="V14"/>
    <mergeCell ref="R14"/>
    <mergeCell ref="U14"/>
    <mergeCell ref="Z14"/>
    <mergeCell ref="Z15"/>
    <mergeCell ref="K13"/>
    <mergeCell ref="U1"/>
    <mergeCell ref="W1"/>
    <mergeCell ref="K8"/>
    <mergeCell ref="V6"/>
    <mergeCell ref="X7"/>
    <mergeCell ref="L5"/>
    <mergeCell ref="W5"/>
    <mergeCell ref="K6"/>
    <mergeCell ref="L6"/>
    <mergeCell ref="M6"/>
    <mergeCell ref="Z6"/>
    <mergeCell ref="C255"/>
    <mergeCell ref="G254"/>
    <mergeCell ref="I254"/>
    <mergeCell ref="A264"/>
    <mergeCell ref="A266"/>
    <mergeCell ref="B266"/>
    <mergeCell ref="C266"/>
    <mergeCell ref="A267"/>
    <mergeCell ref="U54"/>
    <mergeCell ref="Z55"/>
    <mergeCell ref="T55"/>
    <mergeCell ref="O52"/>
    <mergeCell ref="X52"/>
    <mergeCell ref="K53"/>
    <mergeCell ref="L53"/>
    <mergeCell ref="N55"/>
    <mergeCell ref="S54"/>
    <mergeCell ref="R55"/>
    <mergeCell ref="Q55"/>
    <mergeCell ref="R54"/>
    <mergeCell ref="P54"/>
    <mergeCell ref="P55"/>
    <mergeCell ref="S55"/>
    <mergeCell ref="N54"/>
    <mergeCell ref="X53"/>
    <mergeCell ref="W54"/>
    <mergeCell ref="M55"/>
    <mergeCell ref="L55"/>
    <mergeCell ref="T54"/>
    <mergeCell ref="N52"/>
    <mergeCell ref="K55"/>
    <mergeCell ref="V54"/>
    <mergeCell ref="Q53"/>
    <mergeCell ref="V52"/>
    <mergeCell ref="O54"/>
    <mergeCell ref="Z53"/>
    <mergeCell ref="Q80"/>
    <mergeCell ref="U80"/>
    <mergeCell ref="X80"/>
    <mergeCell ref="W80"/>
    <mergeCell ref="T80"/>
    <mergeCell ref="S80"/>
    <mergeCell ref="R77"/>
    <mergeCell ref="U76"/>
    <mergeCell ref="X77"/>
    <mergeCell ref="V77"/>
    <mergeCell ref="U75"/>
    <mergeCell ref="N78"/>
    <mergeCell ref="Z78"/>
    <mergeCell ref="M79"/>
    <mergeCell ref="O79"/>
    <mergeCell ref="P79"/>
    <mergeCell ref="Y233"/>
    <mergeCell ref="F234"/>
    <mergeCell ref="G234"/>
    <mergeCell ref="Y220"/>
    <mergeCell ref="F229"/>
    <mergeCell ref="G229"/>
    <mergeCell ref="H229"/>
    <mergeCell ref="K52"/>
    <mergeCell ref="L52"/>
    <mergeCell ref="M52"/>
    <mergeCell ref="P52"/>
    <mergeCell ref="M53"/>
    <mergeCell ref="Z209"/>
    <mergeCell ref="P200"/>
    <mergeCell ref="R196"/>
    <mergeCell ref="T196"/>
    <mergeCell ref="K196"/>
    <mergeCell ref="W196"/>
    <mergeCell ref="K197"/>
    <mergeCell ref="Q196"/>
    <mergeCell ref="X153"/>
    <mergeCell ref="O160"/>
    <mergeCell ref="X150"/>
    <mergeCell ref="V157"/>
    <mergeCell ref="L158"/>
    <mergeCell ref="Y132"/>
    <mergeCell ref="R203"/>
    <mergeCell ref="S205"/>
    <mergeCell ref="R205"/>
    <mergeCell ref="X205"/>
    <mergeCell ref="Z206"/>
    <mergeCell ref="N195"/>
    <mergeCell ref="T195"/>
    <mergeCell ref="L207"/>
    <mergeCell ref="P226"/>
    <mergeCell ref="X232"/>
    <mergeCell ref="Z212"/>
    <mergeCell ref="O208"/>
    <mergeCell ref="M208"/>
    <mergeCell ref="L204"/>
    <mergeCell ref="S207"/>
    <mergeCell ref="R215"/>
    <mergeCell ref="Y143"/>
    <mergeCell ref="T145"/>
    <mergeCell ref="M137"/>
    <mergeCell ref="K136"/>
    <mergeCell ref="S137"/>
    <mergeCell ref="W149"/>
    <mergeCell ref="U191"/>
    <mergeCell ref="M229"/>
    <mergeCell ref="V231"/>
    <mergeCell ref="P228"/>
    <mergeCell ref="L229"/>
    <mergeCell ref="S229"/>
    <mergeCell ref="Y231"/>
    <mergeCell ref="Q231"/>
    <mergeCell ref="Y225"/>
    <mergeCell ref="K225"/>
    <mergeCell ref="R224"/>
    <mergeCell ref="Q225"/>
    <mergeCell ref="O225"/>
    <mergeCell ref="Z224"/>
    <mergeCell ref="Z173"/>
    <mergeCell ref="P176"/>
    <mergeCell ref="O175"/>
    <mergeCell ref="Z185"/>
    <mergeCell ref="T185"/>
    <mergeCell ref="W185"/>
    <mergeCell ref="Z133"/>
    <mergeCell ref="O226"/>
    <mergeCell ref="T215"/>
    <mergeCell ref="V170"/>
    <mergeCell ref="W170"/>
    <mergeCell ref="X170"/>
    <mergeCell ref="M170"/>
    <mergeCell ref="Z217"/>
    <mergeCell ref="Z194"/>
    <mergeCell ref="K168"/>
    <mergeCell ref="L172"/>
    <mergeCell ref="M174"/>
    <mergeCell ref="K188"/>
    <mergeCell ref="L188"/>
    <mergeCell ref="M188"/>
    <mergeCell ref="N188"/>
    <mergeCell ref="Z197"/>
    <mergeCell ref="X197"/>
    <mergeCell ref="V197"/>
    <mergeCell ref="X237"/>
    <mergeCell ref="F237"/>
    <mergeCell ref="P237"/>
    <mergeCell ref="H239"/>
    <mergeCell ref="D232"/>
    <mergeCell ref="G237"/>
    <mergeCell ref="H237"/>
    <mergeCell ref="O236"/>
    <mergeCell ref="S236"/>
    <mergeCell ref="P235"/>
    <mergeCell ref="S235"/>
    <mergeCell ref="F236"/>
    <mergeCell ref="G236"/>
    <mergeCell ref="W235"/>
    <mergeCell ref="P236"/>
    <mergeCell ref="X236"/>
    <mergeCell ref="K233"/>
    <mergeCell ref="Q233"/>
    <mergeCell ref="L232"/>
    <mergeCell ref="P233"/>
    <mergeCell ref="O233"/>
    <mergeCell ref="N233"/>
    <mergeCell ref="M233"/>
    <mergeCell ref="E232"/>
    <mergeCell ref="G233"/>
    <mergeCell ref="G232"/>
    <mergeCell ref="F232"/>
    <mergeCell ref="I232"/>
    <mergeCell ref="P232"/>
    <mergeCell ref="S232"/>
    <mergeCell ref="R232"/>
    <mergeCell ref="E235"/>
    <mergeCell ref="G235"/>
    <mergeCell ref="M234"/>
    <mergeCell ref="I234"/>
    <mergeCell ref="K237"/>
    <mergeCell ref="V237"/>
    <mergeCell ref="M239"/>
    <mergeCell ref="G239"/>
    <mergeCell ref="K238"/>
    <mergeCell ref="E239"/>
    <mergeCell ref="L237"/>
    <mergeCell ref="Z203"/>
    <mergeCell ref="V203"/>
    <mergeCell ref="M198"/>
    <mergeCell ref="E168"/>
    <mergeCell ref="E188"/>
    <mergeCell ref="H187"/>
    <mergeCell ref="S169"/>
    <mergeCell ref="Q169"/>
    <mergeCell ref="Y198"/>
    <mergeCell ref="P196"/>
    <mergeCell ref="Z208"/>
    <mergeCell ref="G198"/>
    <mergeCell ref="D230"/>
    <mergeCell ref="F226"/>
    <mergeCell ref="G220"/>
    <mergeCell ref="F218"/>
    <mergeCell ref="G217"/>
    <mergeCell ref="U196"/>
    <mergeCell ref="P197"/>
    <mergeCell ref="W197"/>
    <mergeCell ref="E226"/>
    <mergeCell ref="W189"/>
    <mergeCell ref="H190"/>
    <mergeCell ref="E192"/>
    <mergeCell ref="W218"/>
    <mergeCell ref="V218"/>
    <mergeCell ref="S218"/>
    <mergeCell ref="O218"/>
    <mergeCell ref="U218"/>
    <mergeCell ref="S230"/>
    <mergeCell ref="L230"/>
    <mergeCell ref="H231"/>
    <mergeCell ref="U216"/>
    <mergeCell ref="V216"/>
    <mergeCell ref="W216"/>
    <mergeCell ref="I212"/>
    <mergeCell ref="G212"/>
    <mergeCell ref="U212"/>
    <mergeCell ref="M212"/>
    <mergeCell ref="K212"/>
    <mergeCell ref="L212"/>
    <mergeCell ref="N212"/>
    <mergeCell ref="W204"/>
    <mergeCell ref="E205"/>
    <mergeCell ref="D214"/>
    <mergeCell ref="I206"/>
    <mergeCell ref="H205"/>
    <mergeCell ref="K203"/>
    <mergeCell ref="M205"/>
    <mergeCell ref="U206"/>
    <mergeCell ref="P206"/>
    <mergeCell ref="G203"/>
    <mergeCell ref="K202"/>
    <mergeCell ref="U203"/>
    <mergeCell ref="W203"/>
    <mergeCell ref="W195"/>
    <mergeCell ref="T193"/>
    <mergeCell ref="M194"/>
    <mergeCell ref="J195"/>
    <mergeCell ref="L196"/>
    <mergeCell ref="R228"/>
    <mergeCell ref="O228"/>
    <mergeCell ref="D195"/>
    <mergeCell ref="E195"/>
    <mergeCell ref="J196"/>
    <mergeCell ref="D205"/>
    <mergeCell ref="E203"/>
    <mergeCell ref="F203"/>
    <mergeCell ref="P201"/>
    <mergeCell ref="N201"/>
    <mergeCell ref="H203"/>
    <mergeCell ref="I203"/>
    <mergeCell ref="D204"/>
    <mergeCell ref="W228"/>
    <mergeCell ref="J216"/>
    <mergeCell ref="C236"/>
    <mergeCell ref="D235"/>
    <mergeCell ref="T228"/>
    <mergeCell ref="L238"/>
    <mergeCell ref="S239"/>
    <mergeCell ref="V238"/>
    <mergeCell ref="U239"/>
    <mergeCell ref="V239"/>
    <mergeCell ref="W239"/>
    <mergeCell ref="D239"/>
    <mergeCell ref="T239"/>
    <mergeCell ref="P238"/>
    <mergeCell ref="R239"/>
    <mergeCell ref="Q239"/>
    <mergeCell ref="P239"/>
    <mergeCell ref="R238"/>
    <mergeCell ref="F238"/>
    <mergeCell ref="L239"/>
    <mergeCell ref="K239"/>
    <mergeCell ref="Q234"/>
    <mergeCell ref="J235"/>
    <mergeCell ref="R235"/>
    <mergeCell ref="R236"/>
    <mergeCell ref="U236"/>
    <mergeCell ref="K236"/>
    <mergeCell ref="H236"/>
    <mergeCell ref="I236"/>
    <mergeCell ref="J236"/>
    <mergeCell ref="M237"/>
    <mergeCell ref="C231"/>
    <mergeCell ref="I228"/>
    <mergeCell ref="J232"/>
    <mergeCell ref="M232"/>
    <mergeCell ref="F228"/>
    <mergeCell ref="K228"/>
    <mergeCell ref="P229"/>
    <mergeCell ref="J228"/>
    <mergeCell ref="D237"/>
    <mergeCell ref="S233"/>
    <mergeCell ref="T233"/>
    <mergeCell ref="U233"/>
    <mergeCell ref="O232"/>
    <mergeCell ref="L233"/>
    <mergeCell ref="H230"/>
    <mergeCell ref="J239"/>
    <mergeCell ref="I239"/>
    <mergeCell ref="N239"/>
    <mergeCell ref="O239"/>
    <mergeCell ref="W238"/>
    <mergeCell ref="M238"/>
    <mergeCell ref="H235"/>
    <mergeCell ref="Q232"/>
    <mergeCell ref="T236"/>
    <mergeCell ref="F231"/>
    <mergeCell ref="G231"/>
    <mergeCell ref="R240"/>
    <mergeCell ref="T240"/>
    <mergeCell ref="S231"/>
    <mergeCell ref="N232"/>
    <mergeCell ref="T232"/>
    <mergeCell ref="J233"/>
    <mergeCell ref="N234"/>
    <mergeCell ref="Z220"/>
    <mergeCell ref="Q220"/>
    <mergeCell ref="X220"/>
    <mergeCell ref="S216"/>
    <mergeCell ref="Z216"/>
    <mergeCell ref="Y216"/>
    <mergeCell ref="J220"/>
    <mergeCell ref="N220"/>
    <mergeCell ref="O220"/>
    <mergeCell ref="M220"/>
    <mergeCell ref="L219"/>
    <mergeCell ref="F219"/>
    <mergeCell ref="F208"/>
    <mergeCell ref="K209"/>
    <mergeCell ref="H211"/>
    <mergeCell ref="G210"/>
    <mergeCell ref="V212"/>
    <mergeCell ref="W211"/>
    <mergeCell ref="W212"/>
    <mergeCell ref="Y214"/>
    <mergeCell ref="H212"/>
    <mergeCell ref="U213"/>
    <mergeCell ref="M213"/>
    <mergeCell ref="S213"/>
    <mergeCell ref="O213"/>
    <mergeCell ref="R213"/>
    <mergeCell ref="V213"/>
    <mergeCell ref="W213"/>
    <mergeCell ref="X213"/>
    <mergeCell ref="P212"/>
    <mergeCell ref="Z231"/>
    <mergeCell ref="H232"/>
    <mergeCell ref="L235"/>
    <mergeCell ref="V235"/>
    <mergeCell ref="Z229"/>
    <mergeCell ref="Z236"/>
    <mergeCell ref="P223"/>
    <mergeCell ref="O223"/>
    <mergeCell ref="N223"/>
    <mergeCell ref="Q223"/>
    <mergeCell ref="R223"/>
    <mergeCell ref="K208"/>
    <mergeCell ref="L208"/>
    <mergeCell ref="V209"/>
    <mergeCell ref="I223"/>
    <mergeCell ref="S222"/>
    <mergeCell ref="V222"/>
    <mergeCell ref="Z227"/>
    <mergeCell ref="Z221"/>
    <mergeCell ref="G222"/>
    <mergeCell ref="H222"/>
    <mergeCell ref="K216"/>
    <mergeCell ref="L217"/>
    <mergeCell ref="Z215"/>
    <mergeCell ref="Q216"/>
    <mergeCell ref="G214"/>
    <mergeCell ref="N218"/>
    <mergeCell ref="C209"/>
    <mergeCell ref="M207"/>
    <mergeCell ref="D209"/>
    <mergeCell ref="E209"/>
    <mergeCell ref="V204"/>
    <mergeCell ref="C211"/>
    <mergeCell ref="D211"/>
    <mergeCell ref="E211"/>
    <mergeCell ref="Z211"/>
    <mergeCell ref="O211"/>
    <mergeCell ref="X211"/>
    <mergeCell ref="T211"/>
    <mergeCell ref="V211"/>
    <mergeCell ref="I204"/>
    <mergeCell ref="F212"/>
    <mergeCell ref="K213"/>
    <mergeCell ref="J213"/>
    <mergeCell ref="G213"/>
    <mergeCell ref="H213"/>
    <mergeCell ref="E213"/>
    <mergeCell ref="C205"/>
    <mergeCell ref="C213"/>
    <mergeCell ref="C208"/>
    <mergeCell ref="G209"/>
    <mergeCell ref="C210"/>
    <mergeCell ref="D210"/>
    <mergeCell ref="U209"/>
    <mergeCell ref="O210"/>
    <mergeCell ref="V210"/>
    <mergeCell ref="X209"/>
    <mergeCell ref="H210"/>
    <mergeCell ref="H219"/>
    <mergeCell ref="G221"/>
    <mergeCell ref="R221"/>
    <mergeCell ref="D221"/>
    <mergeCell ref="K219"/>
    <mergeCell ref="L221"/>
    <mergeCell ref="H221"/>
    <mergeCell ref="Z219"/>
    <mergeCell ref="L220"/>
    <mergeCell ref="H204"/>
    <mergeCell ref="X208"/>
    <mergeCell ref="R208"/>
    <mergeCell ref="W208"/>
    <mergeCell ref="S206"/>
    <mergeCell ref="O207"/>
    <mergeCell ref="P207"/>
    <mergeCell ref="Q207"/>
    <mergeCell ref="D207"/>
    <mergeCell ref="C206"/>
    <mergeCell ref="X204"/>
    <mergeCell ref="Y204"/>
    <mergeCell ref="Z204"/>
    <mergeCell ref="N205"/>
    <mergeCell ref="Y205"/>
    <mergeCell ref="K205"/>
    <mergeCell ref="W205"/>
    <mergeCell ref="I205"/>
    <mergeCell ref="U205"/>
    <mergeCell ref="G205"/>
    <mergeCell ref="Z205"/>
    <mergeCell ref="P205"/>
    <mergeCell ref="V205"/>
    <mergeCell ref="T205"/>
    <mergeCell ref="L236"/>
    <mergeCell ref="Y236"/>
    <mergeCell ref="Z234"/>
    <mergeCell ref="Y235"/>
    <mergeCell ref="Y237"/>
    <mergeCell ref="O237"/>
    <mergeCell ref="Z237"/>
    <mergeCell ref="F224"/>
    <mergeCell ref="H240"/>
    <mergeCell ref="D244"/>
    <mergeCell ref="Y242"/>
    <mergeCell ref="C207"/>
    <mergeCell ref="F205"/>
    <mergeCell ref="E207"/>
    <mergeCell ref="F206"/>
    <mergeCell ref="E206"/>
    <mergeCell ref="D206"/>
    <mergeCell ref="R206"/>
    <mergeCell ref="Z207"/>
    <mergeCell ref="Y207"/>
    <mergeCell ref="X207"/>
    <mergeCell ref="W207"/>
    <mergeCell ref="V207"/>
    <mergeCell ref="Q205"/>
    <mergeCell ref="E208"/>
    <mergeCell ref="D208"/>
    <mergeCell ref="J207"/>
    <mergeCell ref="G207"/>
    <mergeCell ref="J206"/>
    <mergeCell ref="Y209"/>
    <mergeCell ref="N225"/>
    <mergeCell ref="S224"/>
    <mergeCell ref="K224"/>
    <mergeCell ref="O224"/>
    <mergeCell ref="N224"/>
    <mergeCell ref="M224"/>
    <mergeCell ref="L224"/>
    <mergeCell ref="Q224"/>
    <mergeCell ref="R227"/>
    <mergeCell ref="F220"/>
    <mergeCell ref="F223"/>
    <mergeCell ref="J221"/>
    <mergeCell ref="T221"/>
    <mergeCell ref="N221"/>
    <mergeCell ref="Q221"/>
    <mergeCell ref="D222"/>
    <mergeCell ref="E222"/>
    <mergeCell ref="F222"/>
    <mergeCell ref="T222"/>
    <mergeCell ref="W222"/>
    <mergeCell ref="Q208"/>
    <mergeCell ref="P208"/>
    <mergeCell ref="Y212"/>
    <mergeCell ref="S212"/>
    <mergeCell ref="T212"/>
    <mergeCell ref="Y213"/>
    <mergeCell ref="E212"/>
    <mergeCell ref="X219"/>
    <mergeCell ref="X222"/>
    <mergeCell ref="O219"/>
    <mergeCell ref="T224"/>
    <mergeCell ref="W225"/>
    <mergeCell ref="T225"/>
    <mergeCell ref="R225"/>
    <mergeCell ref="S223"/>
    <mergeCell ref="D224"/>
    <mergeCell ref="G219"/>
    <mergeCell ref="R219"/>
    <mergeCell ref="C220"/>
    <mergeCell ref="L215"/>
    <mergeCell ref="E218"/>
    <mergeCell ref="D217"/>
    <mergeCell ref="G218"/>
    <mergeCell ref="J218"/>
    <mergeCell ref="K218"/>
    <mergeCell ref="L218"/>
    <mergeCell ref="Y219"/>
    <mergeCell ref="M219"/>
    <mergeCell ref="W219"/>
    <mergeCell ref="S219"/>
    <mergeCell ref="U219"/>
    <mergeCell ref="L222"/>
    <mergeCell ref="Y222"/>
    <mergeCell ref="C223"/>
    <mergeCell ref="D223"/>
    <mergeCell ref="U224"/>
    <mergeCell ref="X224"/>
    <mergeCell ref="W224"/>
    <mergeCell ref="I224"/>
    <mergeCell ref="Y224"/>
    <mergeCell ref="T218"/>
    <mergeCell ref="Z235"/>
    <mergeCell ref="V232"/>
    <mergeCell ref="D228"/>
    <mergeCell ref="E228"/>
    <mergeCell ref="D226"/>
    <mergeCell ref="S227"/>
    <mergeCell ref="L228"/>
    <mergeCell ref="N227"/>
    <mergeCell ref="J226"/>
    <mergeCell ref="K226"/>
    <mergeCell ref="Q226"/>
    <mergeCell ref="Y226"/>
    <mergeCell ref="U226"/>
    <mergeCell ref="S226"/>
    <mergeCell ref="F227"/>
    <mergeCell ref="G227"/>
    <mergeCell ref="Z228"/>
    <mergeCell ref="Y227"/>
    <mergeCell ref="P227"/>
    <mergeCell ref="M225"/>
    <mergeCell ref="D219"/>
    <mergeCell ref="E219"/>
    <mergeCell ref="X225"/>
    <mergeCell ref="W227"/>
    <mergeCell ref="Q227"/>
    <mergeCell ref="V227"/>
    <mergeCell ref="Y221"/>
    <mergeCell ref="R222"/>
    <mergeCell ref="T223"/>
    <mergeCell ref="M223"/>
    <mergeCell ref="X215"/>
    <mergeCell ref="V215"/>
    <mergeCell ref="T216"/>
    <mergeCell ref="Y218"/>
    <mergeCell ref="M218"/>
    <mergeCell ref="T217"/>
    <mergeCell ref="Y217"/>
    <mergeCell ref="C243"/>
    <mergeCell ref="E241"/>
    <mergeCell ref="H243"/>
    <mergeCell ref="G243"/>
    <mergeCell ref="F243"/>
    <mergeCell ref="E242"/>
    <mergeCell ref="I243"/>
    <mergeCell ref="J243"/>
    <mergeCell ref="Q247"/>
    <mergeCell ref="O244"/>
    <mergeCell ref="F244"/>
    <mergeCell ref="M244"/>
    <mergeCell ref="G244"/>
    <mergeCell ref="L244"/>
    <mergeCell ref="S243"/>
    <mergeCell ref="V244"/>
    <mergeCell ref="Q244"/>
    <mergeCell ref="R244"/>
    <mergeCell ref="Y223"/>
    <mergeCell ref="T238"/>
    <mergeCell ref="G247"/>
    <mergeCell ref="Y245"/>
    <mergeCell ref="E243"/>
    <mergeCell ref="D229"/>
    <mergeCell ref="E229"/>
    <mergeCell ref="N228"/>
    <mergeCell ref="S228"/>
    <mergeCell ref="Q228"/>
    <mergeCell ref="U228"/>
    <mergeCell ref="J229"/>
    <mergeCell ref="I225"/>
    <mergeCell ref="J225"/>
    <mergeCell ref="G225"/>
    <mergeCell ref="E225"/>
    <mergeCell ref="F225"/>
    <mergeCell ref="J224"/>
    <mergeCell ref="G226"/>
    <mergeCell ref="E237"/>
    <mergeCell ref="E240"/>
    <mergeCell ref="F235"/>
    <mergeCell ref="K234"/>
    <mergeCell ref="N235"/>
    <mergeCell ref="K235"/>
    <mergeCell ref="M236"/>
    <mergeCell ref="C232"/>
    <mergeCell ref="E230"/>
    <mergeCell ref="F230"/>
    <mergeCell ref="G230"/>
    <mergeCell ref="K230"/>
    <mergeCell ref="C225"/>
    <mergeCell ref="D225"/>
    <mergeCell ref="V225"/>
    <mergeCell ref="L240"/>
    <mergeCell ref="C224"/>
    <mergeCell ref="F240"/>
    <mergeCell ref="I240"/>
    <mergeCell ref="O240"/>
    <mergeCell ref="G240"/>
    <mergeCell ref="S240"/>
    <mergeCell ref="W244"/>
    <mergeCell ref="K223"/>
    <mergeCell ref="X223"/>
    <mergeCell ref="W223"/>
    <mergeCell ref="V223"/>
    <mergeCell ref="C198"/>
    <mergeCell ref="D198"/>
    <mergeCell ref="C200"/>
    <mergeCell ref="K200"/>
    <mergeCell ref="X234"/>
    <mergeCell ref="I231"/>
    <mergeCell ref="P230"/>
    <mergeCell ref="W231"/>
    <mergeCell ref="H245"/>
    <mergeCell ref="W245"/>
    <mergeCell ref="O245"/>
    <mergeCell ref="H244"/>
    <mergeCell ref="W232"/>
    <mergeCell ref="V245"/>
    <mergeCell ref="D236"/>
    <mergeCell ref="E236"/>
    <mergeCell ref="K241"/>
    <mergeCell ref="D231"/>
    <mergeCell ref="E231"/>
    <mergeCell ref="H227"/>
    <mergeCell ref="X226"/>
    <mergeCell ref="K227"/>
    <mergeCell ref="J227"/>
    <mergeCell ref="T226"/>
    <mergeCell ref="V226"/>
    <mergeCell ref="C230"/>
    <mergeCell ref="X239"/>
    <mergeCell ref="D238"/>
    <mergeCell ref="E238"/>
    <mergeCell ref="C237"/>
    <mergeCell ref="C238"/>
    <mergeCell ref="C229"/>
    <mergeCell ref="G242"/>
    <mergeCell ref="L242"/>
    <mergeCell ref="K242"/>
    <mergeCell ref="H242"/>
    <mergeCell ref="I242"/>
    <mergeCell ref="Q241"/>
    <mergeCell ref="G241"/>
    <mergeCell ref="F241"/>
    <mergeCell ref="R245"/>
    <mergeCell ref="N245"/>
    <mergeCell ref="L245"/>
    <mergeCell ref="I245"/>
    <mergeCell ref="J237"/>
    <mergeCell ref="O238"/>
    <mergeCell ref="R237"/>
    <mergeCell ref="G238"/>
    <mergeCell ref="I237"/>
    <mergeCell ref="N237"/>
    <mergeCell ref="S238"/>
    <mergeCell ref="J238"/>
    <mergeCell ref="I238"/>
    <mergeCell ref="U238"/>
    <mergeCell ref="Q238"/>
    <mergeCell ref="C234"/>
    <mergeCell ref="U232"/>
    <mergeCell ref="E233"/>
    <mergeCell ref="F233"/>
    <mergeCell ref="C228"/>
    <mergeCell ref="U227"/>
    <mergeCell ref="M227"/>
    <mergeCell ref="H228"/>
    <mergeCell ref="E224"/>
    <mergeCell ref="D256"/>
    <mergeCell ref="D261"/>
    <mergeCell ref="E255"/>
    <mergeCell ref="E257"/>
    <mergeCell ref="G206"/>
    <mergeCell ref="J209"/>
    <mergeCell ref="V208"/>
    <mergeCell ref="I209"/>
    <mergeCell ref="Y193"/>
    <mergeCell ref="Q195"/>
    <mergeCell ref="H196"/>
    <mergeCell ref="O198"/>
    <mergeCell ref="X198"/>
    <mergeCell ref="Q198"/>
    <mergeCell ref="S198"/>
    <mergeCell ref="C199"/>
    <mergeCell ref="D199"/>
    <mergeCell ref="E199"/>
    <mergeCell ref="C202"/>
    <mergeCell ref="G201"/>
    <mergeCell ref="I202"/>
    <mergeCell ref="Z201"/>
    <mergeCell ref="O201"/>
    <mergeCell ref="X201"/>
    <mergeCell ref="W201"/>
    <mergeCell ref="T201"/>
    <mergeCell ref="R201"/>
    <mergeCell ref="V201"/>
    <mergeCell ref="X196"/>
    <mergeCell ref="N198"/>
    <mergeCell ref="M199"/>
    <mergeCell ref="D200"/>
    <mergeCell ref="F200"/>
    <mergeCell ref="K199"/>
    <mergeCell ref="I199"/>
    <mergeCell ref="I200"/>
    <mergeCell ref="V200"/>
    <mergeCell ref="T200"/>
    <mergeCell ref="L200"/>
    <mergeCell ref="H200"/>
    <mergeCell ref="R200"/>
    <mergeCell ref="M200"/>
    <mergeCell ref="O200"/>
    <mergeCell ref="M197"/>
    <mergeCell ref="G199"/>
    <mergeCell ref="N194"/>
    <mergeCell ref="V194"/>
    <mergeCell ref="R194"/>
    <mergeCell ref="P194"/>
    <mergeCell ref="F195"/>
    <mergeCell ref="G195"/>
    <mergeCell ref="H195"/>
    <mergeCell ref="I195"/>
    <mergeCell ref="V196"/>
    <mergeCell ref="N197"/>
    <mergeCell ref="M196"/>
    <mergeCell ref="C197"/>
    <mergeCell ref="D197"/>
    <mergeCell ref="G202"/>
    <mergeCell ref="E197"/>
    <mergeCell ref="E200"/>
    <mergeCell ref="J201"/>
    <mergeCell ref="C201"/>
    <mergeCell ref="U202"/>
    <mergeCell ref="C221"/>
    <mergeCell ref="U222"/>
    <mergeCell ref="K201"/>
    <mergeCell ref="G223"/>
    <mergeCell ref="E223"/>
    <mergeCell ref="C222"/>
    <mergeCell ref="L223"/>
    <mergeCell ref="Z259"/>
    <mergeCell ref="S264"/>
    <mergeCell ref="H264"/>
    <mergeCell ref="E259"/>
    <mergeCell ref="R258"/>
    <mergeCell ref="J261"/>
    <mergeCell ref="U262"/>
    <mergeCell ref="V261"/>
    <mergeCell ref="W257"/>
    <mergeCell ref="O258"/>
    <mergeCell ref="W258"/>
    <mergeCell ref="X258"/>
    <mergeCell ref="Y258"/>
    <mergeCell ref="Z258"/>
    <mergeCell ref="V255"/>
    <mergeCell ref="K257"/>
    <mergeCell ref="D259"/>
    <mergeCell ref="R257"/>
    <mergeCell ref="T258"/>
    <mergeCell ref="U257"/>
    <mergeCell ref="P258"/>
    <mergeCell ref="O257"/>
    <mergeCell ref="U258"/>
    <mergeCell ref="V258"/>
    <mergeCell ref="M257"/>
    <mergeCell ref="X257"/>
    <mergeCell ref="H258"/>
    <mergeCell ref="I258"/>
    <mergeCell ref="J258"/>
    <mergeCell ref="E264"/>
    <mergeCell ref="R264"/>
    <mergeCell ref="P264"/>
    <mergeCell ref="L264"/>
    <mergeCell ref="O260"/>
    <mergeCell ref="N260"/>
    <mergeCell ref="K260"/>
    <mergeCell ref="K258"/>
    <mergeCell ref="Y257"/>
    <mergeCell ref="M255"/>
    <mergeCell ref="T256"/>
    <mergeCell ref="G257"/>
    <mergeCell ref="L257"/>
    <mergeCell ref="T257"/>
    <mergeCell ref="P257"/>
    <mergeCell ref="N257"/>
    <mergeCell ref="D258"/>
    <mergeCell ref="E258"/>
    <mergeCell ref="F258"/>
    <mergeCell ref="G258"/>
    <mergeCell ref="Y256"/>
    <mergeCell ref="P256"/>
    <mergeCell ref="U256"/>
    <mergeCell ref="R256"/>
    <mergeCell ref="O248"/>
    <mergeCell ref="P249"/>
    <mergeCell ref="W248"/>
    <mergeCell ref="R248"/>
    <mergeCell ref="C203"/>
    <mergeCell ref="D203"/>
    <mergeCell ref="C204"/>
    <mergeCell ref="Y201"/>
    <mergeCell ref="Q202"/>
    <mergeCell ref="E202"/>
    <mergeCell ref="E215"/>
    <mergeCell ref="D215"/>
    <mergeCell ref="V198"/>
    <mergeCell ref="I214"/>
    <mergeCell ref="P224"/>
    <mergeCell ref="V206"/>
    <mergeCell ref="L205"/>
    <mergeCell ref="T206"/>
    <mergeCell ref="N206"/>
    <mergeCell ref="I207"/>
    <mergeCell ref="H206"/>
    <mergeCell ref="K207"/>
    <mergeCell ref="N207"/>
    <mergeCell ref="R214"/>
    <mergeCell ref="N214"/>
    <mergeCell ref="P214"/>
    <mergeCell ref="U214"/>
    <mergeCell ref="L213"/>
    <mergeCell ref="T213"/>
    <mergeCell ref="N213"/>
    <mergeCell ref="P213"/>
    <mergeCell ref="N204"/>
    <mergeCell ref="U204"/>
    <mergeCell ref="P204"/>
    <mergeCell ref="O204"/>
    <mergeCell ref="S204"/>
    <mergeCell ref="R204"/>
    <mergeCell ref="R212"/>
    <mergeCell ref="D213"/>
    <mergeCell ref="Q212"/>
    <mergeCell ref="S214"/>
    <mergeCell ref="Q214"/>
    <mergeCell ref="Y206"/>
    <mergeCell ref="V202"/>
    <mergeCell ref="Y203"/>
    <mergeCell ref="X212"/>
    <mergeCell ref="F211"/>
    <mergeCell ref="Y210"/>
    <mergeCell ref="N209"/>
    <mergeCell ref="W209"/>
    <mergeCell ref="E210"/>
    <mergeCell ref="F210"/>
    <mergeCell ref="N222"/>
    <mergeCell ref="M221"/>
    <mergeCell ref="T219"/>
    <mergeCell ref="E221"/>
    <mergeCell ref="D220"/>
    <mergeCell ref="W221"/>
    <mergeCell ref="O222"/>
    <mergeCell ref="Q222"/>
    <mergeCell ref="P222"/>
    <mergeCell ref="U221"/>
    <mergeCell ref="O221"/>
    <mergeCell ref="S221"/>
    <mergeCell ref="M222"/>
    <mergeCell ref="V221"/>
    <mergeCell ref="K221"/>
    <mergeCell ref="X221"/>
    <mergeCell ref="A255"/>
    <mergeCell ref="D253"/>
    <mergeCell ref="N253"/>
    <mergeCell ref="D254"/>
    <mergeCell ref="I253"/>
    <mergeCell ref="A252"/>
    <mergeCell ref="Q251"/>
    <mergeCell ref="B252"/>
    <mergeCell ref="C252"/>
    <mergeCell ref="G224"/>
    <mergeCell ref="H224"/>
    <mergeCell ref="B250"/>
    <mergeCell ref="C250"/>
    <mergeCell ref="D250"/>
    <mergeCell ref="H250"/>
    <mergeCell ref="V250"/>
    <mergeCell ref="A251"/>
    <mergeCell ref="B251"/>
    <mergeCell ref="C251"/>
    <mergeCell ref="P248"/>
    <mergeCell ref="G250"/>
    <mergeCell ref="G251"/>
    <mergeCell ref="Y250"/>
    <mergeCell ref="P250"/>
    <mergeCell ref="S250"/>
    <mergeCell ref="Q250"/>
    <mergeCell ref="W250"/>
    <mergeCell ref="H251"/>
    <mergeCell ref="A250"/>
    <mergeCell ref="D248"/>
    <mergeCell ref="D251"/>
    <mergeCell ref="E251"/>
    <mergeCell ref="F251"/>
    <mergeCell ref="L252"/>
    <mergeCell ref="K252"/>
    <mergeCell ref="H252"/>
    <mergeCell ref="X252"/>
    <mergeCell ref="R251"/>
    <mergeCell ref="V252"/>
    <mergeCell ref="U252"/>
    <mergeCell ref="T252"/>
    <mergeCell ref="Y252"/>
    <mergeCell ref="J249"/>
    <mergeCell ref="F249"/>
    <mergeCell ref="X249"/>
    <mergeCell ref="J252"/>
    <mergeCell ref="O251"/>
    <mergeCell ref="I252"/>
    <mergeCell ref="N252"/>
    <mergeCell ref="D252"/>
    <mergeCell ref="E252"/>
    <mergeCell ref="S249"/>
    <mergeCell ref="J251"/>
    <mergeCell ref="K251"/>
    <mergeCell ref="T251"/>
    <mergeCell ref="V251"/>
    <mergeCell ref="U251"/>
    <mergeCell ref="S251"/>
    <mergeCell ref="I249"/>
    <mergeCell ref="W242"/>
    <mergeCell ref="O243"/>
    <mergeCell ref="P243"/>
    <mergeCell ref="Q243"/>
    <mergeCell ref="R243"/>
    <mergeCell ref="D255"/>
    <mergeCell ref="W252"/>
    <mergeCell ref="S252"/>
    <mergeCell ref="X251"/>
    <mergeCell ref="W246"/>
    <mergeCell ref="V248"/>
    <mergeCell ref="X248"/>
    <mergeCell ref="W247"/>
    <mergeCell ref="V247"/>
    <mergeCell ref="F252"/>
    <mergeCell ref="N251"/>
    <mergeCell ref="B259"/>
    <mergeCell ref="Q257"/>
    <mergeCell ref="A258"/>
    <mergeCell ref="A257"/>
    <mergeCell ref="B257"/>
    <mergeCell ref="C257"/>
    <mergeCell ref="A259"/>
    <mergeCell ref="J257"/>
    <mergeCell ref="C259"/>
    <mergeCell ref="C258"/>
    <mergeCell ref="B258"/>
    <mergeCell ref="A256"/>
    <mergeCell ref="G256"/>
    <mergeCell ref="B255"/>
    <mergeCell ref="C256"/>
    <mergeCell ref="A253"/>
    <mergeCell ref="A254"/>
    <mergeCell ref="B254"/>
    <mergeCell ref="U253"/>
    <mergeCell ref="K255"/>
    <mergeCell ref="O256"/>
    <mergeCell ref="X256"/>
    <mergeCell ref="Q256"/>
    <mergeCell ref="S256"/>
    <mergeCell ref="C254"/>
    <mergeCell ref="N250"/>
    <mergeCell ref="G252"/>
    <mergeCell ref="P251"/>
    <mergeCell ref="M256"/>
    <mergeCell ref="V256"/>
    <mergeCell ref="X255"/>
    <mergeCell ref="N256"/>
    <mergeCell ref="L255"/>
    <mergeCell ref="B256"/>
    <mergeCell ref="H256"/>
    <mergeCell ref="I256"/>
    <mergeCell ref="J256"/>
    <mergeCell ref="K256"/>
    <mergeCell ref="L256"/>
    <mergeCell ref="G253"/>
    <mergeCell ref="N254"/>
    <mergeCell ref="M254"/>
    <mergeCell ref="L254"/>
    <mergeCell ref="J254"/>
    <mergeCell ref="P254"/>
    <mergeCell ref="Q254"/>
    <mergeCell ref="R254"/>
    <mergeCell ref="H253"/>
    <mergeCell ref="B253"/>
    <mergeCell ref="F253"/>
    <mergeCell ref="L253"/>
    <mergeCell ref="O252"/>
    <mergeCell ref="P252"/>
    <mergeCell ref="P353"/>
    <mergeCell ref="N392"/>
    <mergeCell ref="V392"/>
    <mergeCell ref="L391"/>
    <mergeCell ref="V391"/>
    <mergeCell ref="B264"/>
    <mergeCell ref="X264"/>
    <mergeCell ref="T264"/>
    <mergeCell ref="V264"/>
    <mergeCell ref="A263"/>
    <mergeCell ref="B263"/>
    <mergeCell ref="D263"/>
    <mergeCell ref="L266"/>
    <mergeCell ref="T266"/>
    <mergeCell ref="W262"/>
    <mergeCell ref="V262"/>
    <mergeCell ref="E266"/>
    <mergeCell ref="G268"/>
    <mergeCell ref="E268"/>
    <mergeCell ref="F268"/>
    <mergeCell ref="T267"/>
    <mergeCell ref="N268"/>
    <mergeCell ref="S268"/>
    <mergeCell ref="R268"/>
    <mergeCell ref="Q268"/>
    <mergeCell ref="P268"/>
    <mergeCell ref="V267"/>
    <mergeCell ref="L268"/>
    <mergeCell ref="C262"/>
    <mergeCell ref="D266"/>
    <mergeCell ref="A260"/>
    <mergeCell ref="O259"/>
    <mergeCell ref="S257"/>
    <mergeCell ref="F259"/>
    <mergeCell ref="Q258"/>
    <mergeCell ref="V259"/>
    <mergeCell ref="P259"/>
    <mergeCell ref="C263"/>
    <mergeCell ref="A261"/>
    <mergeCell ref="B261"/>
    <mergeCell ref="A262"/>
    <mergeCell ref="J259"/>
    <mergeCell ref="X260"/>
    <mergeCell ref="S258"/>
    <mergeCell ref="E261"/>
    <mergeCell ref="E262"/>
    <mergeCell ref="F262"/>
    <mergeCell ref="F261"/>
    <mergeCell ref="H260"/>
    <mergeCell ref="G259"/>
    <mergeCell ref="B260"/>
    <mergeCell ref="C260"/>
    <mergeCell ref="D260"/>
    <mergeCell ref="F257"/>
    <mergeCell ref="H257"/>
    <mergeCell ref="I257"/>
    <mergeCell ref="K261"/>
    <mergeCell ref="B268"/>
    <mergeCell ref="X263"/>
    <mergeCell ref="N263"/>
    <mergeCell ref="V263"/>
    <mergeCell ref="U263"/>
    <mergeCell ref="R263"/>
    <mergeCell ref="P263"/>
    <mergeCell ref="U536"/>
    <mergeCell ref="L537"/>
    <mergeCell ref="L542"/>
    <mergeCell ref="M543"/>
    <mergeCell ref="X543"/>
    <mergeCell ref="H263"/>
    <mergeCell ref="I263"/>
    <mergeCell ref="Q263"/>
    <mergeCell ref="K263"/>
    <mergeCell ref="S263"/>
    <mergeCell ref="O263"/>
    <mergeCell ref="M263"/>
    <mergeCell ref="N454"/>
    <mergeCell ref="N455"/>
    <mergeCell ref="K456"/>
    <mergeCell ref="Q456"/>
    <mergeCell ref="F457"/>
    <mergeCell ref="V456"/>
    <mergeCell ref="O457"/>
    <mergeCell ref="X456"/>
    <mergeCell ref="K457"/>
    <mergeCell ref="N457"/>
    <mergeCell ref="N456"/>
    <mergeCell ref="L457"/>
    <mergeCell ref="I457"/>
    <mergeCell ref="T456"/>
    <mergeCell ref="M456"/>
    <mergeCell ref="Y456"/>
    <mergeCell ref="W456"/>
    <mergeCell ref="O456"/>
    <mergeCell ref="G457"/>
    <mergeCell ref="H457"/>
    <mergeCell ref="Y449"/>
    <mergeCell ref="T450"/>
    <mergeCell ref="Q503"/>
    <mergeCell ref="U359"/>
    <mergeCell ref="V359"/>
    <mergeCell ref="N357"/>
    <mergeCell ref="J389"/>
    <mergeCell ref="T391"/>
    <mergeCell ref="I476"/>
    <mergeCell ref="J476"/>
    <mergeCell ref="U476"/>
    <mergeCell ref="H414"/>
    <mergeCell ref="O414"/>
    <mergeCell ref="W475"/>
    <mergeCell ref="Q401"/>
    <mergeCell ref="P401"/>
    <mergeCell ref="O401"/>
    <mergeCell ref="T401"/>
    <mergeCell ref="P403"/>
    <mergeCell ref="X403"/>
    <mergeCell ref="T403"/>
    <mergeCell ref="S403"/>
    <mergeCell ref="H404"/>
    <mergeCell ref="P352"/>
    <mergeCell ref="H352"/>
    <mergeCell ref="X485"/>
    <mergeCell ref="O369"/>
    <mergeCell ref="U406"/>
    <mergeCell ref="S407"/>
    <mergeCell ref="K503"/>
    <mergeCell ref="U473"/>
    <mergeCell ref="N473"/>
    <mergeCell ref="Z528"/>
    <mergeCell ref="Z533"/>
    <mergeCell ref="Y539"/>
    <mergeCell ref="H542"/>
    <mergeCell ref="T542"/>
    <mergeCell ref="V540"/>
    <mergeCell ref="J542"/>
    <mergeCell ref="O542"/>
    <mergeCell ref="M542"/>
    <mergeCell ref="P542"/>
    <mergeCell ref="K549"/>
    <mergeCell ref="V549"/>
    <mergeCell ref="J550"/>
    <mergeCell ref="K550"/>
    <mergeCell ref="Z573"/>
    <mergeCell ref="Q572"/>
    <mergeCell ref="H576"/>
    <mergeCell ref="Y575"/>
    <mergeCell ref="J582"/>
    <mergeCell ref="F581"/>
    <mergeCell ref="L573"/>
    <mergeCell ref="M576"/>
    <mergeCell ref="L577"/>
    <mergeCell ref="U577"/>
    <mergeCell ref="Z537"/>
    <mergeCell ref="I346"/>
    <mergeCell ref="S346"/>
    <mergeCell ref="F399"/>
    <mergeCell ref="I399"/>
    <mergeCell ref="S504"/>
    <mergeCell ref="Y533"/>
    <mergeCell ref="N532"/>
    <mergeCell ref="I574"/>
    <mergeCell ref="K566"/>
    <mergeCell ref="S566"/>
    <mergeCell ref="M566"/>
    <mergeCell ref="Y572"/>
    <mergeCell ref="U572"/>
    <mergeCell ref="S572"/>
    <mergeCell ref="M453"/>
    <mergeCell ref="W452"/>
    <mergeCell ref="N451"/>
    <mergeCell ref="S452"/>
    <mergeCell ref="L452"/>
    <mergeCell ref="J453"/>
    <mergeCell ref="K453"/>
    <mergeCell ref="G474"/>
    <mergeCell ref="M474"/>
    <mergeCell ref="H366"/>
    <mergeCell ref="O366"/>
    <mergeCell ref="G368"/>
    <mergeCell ref="H368"/>
    <mergeCell ref="W574"/>
    <mergeCell ref="O574"/>
    <mergeCell ref="U574"/>
    <mergeCell ref="F505"/>
    <mergeCell ref="F506"/>
    <mergeCell ref="L508"/>
    <mergeCell ref="W508"/>
    <mergeCell ref="O508"/>
    <mergeCell ref="Y508"/>
    <mergeCell ref="X533"/>
    <mergeCell ref="W533"/>
    <mergeCell ref="V539"/>
    <mergeCell ref="D837"/>
    <mergeCell ref="R566"/>
    <mergeCell ref="V574"/>
    <mergeCell ref="N820"/>
    <mergeCell ref="Y820"/>
    <mergeCell ref="M821"/>
    <mergeCell ref="J823"/>
    <mergeCell ref="E822"/>
    <mergeCell ref="W540"/>
    <mergeCell ref="N540"/>
    <mergeCell ref="R540"/>
    <mergeCell ref="O540"/>
    <mergeCell ref="D819"/>
    <mergeCell ref="W818"/>
    <mergeCell ref="J819"/>
    <mergeCell ref="N821"/>
    <mergeCell ref="H669"/>
    <mergeCell ref="R669"/>
    <mergeCell ref="Y653"/>
    <mergeCell ref="E654"/>
    <mergeCell ref="W653"/>
    <mergeCell ref="F561"/>
    <mergeCell ref="P559"/>
    <mergeCell ref="P348"/>
    <mergeCell ref="R348"/>
    <mergeCell ref="O346"/>
    <mergeCell ref="G348"/>
    <mergeCell ref="S347"/>
    <mergeCell ref="T347"/>
    <mergeCell ref="V347"/>
    <mergeCell ref="Q532"/>
    <mergeCell ref="J535"/>
    <mergeCell ref="I531"/>
    <mergeCell ref="D475"/>
    <mergeCell ref="G822"/>
    <mergeCell ref="O784"/>
    <mergeCell ref="Y646"/>
    <mergeCell ref="U646"/>
    <mergeCell ref="R649"/>
    <mergeCell ref="J649"/>
    <mergeCell ref="S649"/>
    <mergeCell ref="M649"/>
    <mergeCell ref="P649"/>
    <mergeCell ref="D505"/>
    <mergeCell ref="E505"/>
    <mergeCell ref="D506"/>
    <mergeCell ref="E506"/>
    <mergeCell ref="W539"/>
    <mergeCell ref="X539"/>
    <mergeCell ref="E537"/>
    <mergeCell ref="Y536"/>
    <mergeCell ref="O538"/>
    <mergeCell ref="F541"/>
    <mergeCell ref="G536"/>
    <mergeCell ref="P536"/>
    <mergeCell ref="K535"/>
    <mergeCell ref="Q536"/>
    <mergeCell ref="W536"/>
    <mergeCell ref="I537"/>
    <mergeCell ref="J537"/>
    <mergeCell ref="T536"/>
    <mergeCell ref="R536"/>
    <mergeCell ref="O536"/>
    <mergeCell ref="S537"/>
    <mergeCell ref="H827"/>
    <mergeCell ref="R839"/>
    <mergeCell ref="E837"/>
    <mergeCell ref="Z568"/>
    <mergeCell ref="R567"/>
    <mergeCell ref="E587"/>
    <mergeCell ref="N587"/>
    <mergeCell ref="H587"/>
    <mergeCell ref="K587"/>
    <mergeCell ref="Z550"/>
    <mergeCell ref="K551"/>
    <mergeCell ref="W550"/>
    <mergeCell ref="U550"/>
    <mergeCell ref="M557"/>
    <mergeCell ref="U554"/>
    <mergeCell ref="M555"/>
    <mergeCell ref="H556"/>
    <mergeCell ref="I556"/>
    <mergeCell ref="J556"/>
    <mergeCell ref="K556"/>
    <mergeCell ref="K582"/>
    <mergeCell ref="G582"/>
    <mergeCell ref="X585"/>
    <mergeCell ref="J585"/>
    <mergeCell ref="J587"/>
    <mergeCell ref="R780"/>
    <mergeCell ref="T819"/>
    <mergeCell ref="U819"/>
    <mergeCell ref="Z834"/>
    <mergeCell ref="N835"/>
    <mergeCell ref="M837"/>
    <mergeCell ref="U837"/>
    <mergeCell ref="Q837"/>
    <mergeCell ref="P837"/>
    <mergeCell ref="R836"/>
    <mergeCell ref="V835"/>
    <mergeCell ref="W836"/>
    <mergeCell ref="V836"/>
    <mergeCell ref="T835"/>
    <mergeCell ref="T836"/>
    <mergeCell ref="U836"/>
    <mergeCell ref="M632"/>
    <mergeCell ref="R631"/>
    <mergeCell ref="R632"/>
    <mergeCell ref="Q632"/>
    <mergeCell ref="P631"/>
    <mergeCell ref="O632"/>
    <mergeCell ref="P632"/>
    <mergeCell ref="G630"/>
    <mergeCell ref="S638"/>
    <mergeCell ref="Z644"/>
    <mergeCell ref="H645"/>
    <mergeCell ref="Z653"/>
    <mergeCell ref="J710"/>
    <mergeCell ref="K649"/>
    <mergeCell ref="N649"/>
    <mergeCell ref="L649"/>
    <mergeCell ref="V814"/>
    <mergeCell ref="P814"/>
    <mergeCell ref="X814"/>
    <mergeCell ref="N814"/>
    <mergeCell ref="Y814"/>
    <mergeCell ref="R814"/>
    <mergeCell ref="M773"/>
    <mergeCell ref="R826"/>
    <mergeCell ref="G827"/>
    <mergeCell ref="Z829"/>
    <mergeCell ref="P838"/>
    <mergeCell ref="Z827"/>
    <mergeCell ref="P819"/>
    <mergeCell ref="L818"/>
    <mergeCell ref="Z820"/>
    <mergeCell ref="K818"/>
    <mergeCell ref="P821"/>
    <mergeCell ref="F827"/>
    <mergeCell ref="I826"/>
    <mergeCell ref="Y825"/>
    <mergeCell ref="F840"/>
    <mergeCell ref="Z838"/>
    <mergeCell ref="Y838"/>
    <mergeCell ref="P828"/>
    <mergeCell ref="X827"/>
    <mergeCell ref="Y827"/>
    <mergeCell ref="W827"/>
    <mergeCell ref="L828"/>
    <mergeCell ref="K827"/>
    <mergeCell ref="M828"/>
    <mergeCell ref="U828"/>
    <mergeCell ref="X828"/>
    <mergeCell ref="W828"/>
    <mergeCell ref="V828"/>
    <mergeCell ref="Y821"/>
    <mergeCell ref="Z821"/>
    <mergeCell ref="H820"/>
    <mergeCell ref="Q820"/>
    <mergeCell ref="J820"/>
    <mergeCell ref="L820"/>
    <mergeCell ref="X835"/>
    <mergeCell ref="X837"/>
    <mergeCell ref="T837"/>
    <mergeCell ref="V837"/>
    <mergeCell ref="T832"/>
    <mergeCell ref="Z830"/>
    <mergeCell ref="K831"/>
    <mergeCell ref="L839"/>
    <mergeCell ref="F838"/>
    <mergeCell ref="Y822"/>
    <mergeCell ref="O822"/>
    <mergeCell ref="W822"/>
    <mergeCell ref="V822"/>
    <mergeCell ref="Q822"/>
    <mergeCell ref="S822"/>
    <mergeCell ref="U822"/>
    <mergeCell ref="Z822"/>
    <mergeCell ref="K820"/>
    <mergeCell ref="W820"/>
    <mergeCell ref="R820"/>
    <mergeCell ref="W821"/>
    <mergeCell ref="V821"/>
    <mergeCell ref="S821"/>
    <mergeCell ref="T821"/>
    <mergeCell ref="Y819"/>
    <mergeCell ref="V818"/>
    <mergeCell ref="K828"/>
    <mergeCell ref="M829"/>
    <mergeCell ref="L829"/>
    <mergeCell ref="T828"/>
    <mergeCell ref="P826"/>
    <mergeCell ref="U734"/>
    <mergeCell ref="A771"/>
    <mergeCell ref="K770"/>
    <mergeCell ref="K771"/>
    <mergeCell ref="B771"/>
    <mergeCell ref="A774"/>
    <mergeCell ref="B774"/>
    <mergeCell ref="C774"/>
    <mergeCell ref="F758"/>
    <mergeCell ref="H782"/>
    <mergeCell ref="O778"/>
    <mergeCell ref="G778"/>
    <mergeCell ref="P780"/>
    <mergeCell ref="A778"/>
    <mergeCell ref="C775"/>
    <mergeCell ref="D775"/>
    <mergeCell ref="E775"/>
    <mergeCell ref="F775"/>
    <mergeCell ref="T777"/>
    <mergeCell ref="J777"/>
    <mergeCell ref="P777"/>
    <mergeCell ref="N777"/>
    <mergeCell ref="M777"/>
    <mergeCell ref="L777"/>
    <mergeCell ref="R777"/>
    <mergeCell ref="A779"/>
    <mergeCell ref="B782"/>
    <mergeCell ref="U782"/>
    <mergeCell ref="G783"/>
    <mergeCell ref="C771"/>
    <mergeCell ref="E772"/>
    <mergeCell ref="H771"/>
    <mergeCell ref="K729"/>
    <mergeCell ref="L729"/>
    <mergeCell ref="M729"/>
    <mergeCell ref="N729"/>
    <mergeCell ref="C730"/>
    <mergeCell ref="P745"/>
    <mergeCell ref="S736"/>
    <mergeCell ref="N746"/>
    <mergeCell ref="B779"/>
    <mergeCell ref="Q740"/>
    <mergeCell ref="T756"/>
    <mergeCell ref="R756"/>
    <mergeCell ref="B766"/>
    <mergeCell ref="C766"/>
    <mergeCell ref="D766"/>
    <mergeCell ref="I765"/>
    <mergeCell ref="J763"/>
    <mergeCell ref="B764"/>
    <mergeCell ref="L765"/>
    <mergeCell ref="U756"/>
    <mergeCell ref="Z784"/>
    <mergeCell ref="O812"/>
    <mergeCell ref="T811"/>
    <mergeCell ref="W812"/>
    <mergeCell ref="I813"/>
    <mergeCell ref="V813"/>
    <mergeCell ref="U813"/>
    <mergeCell ref="J813"/>
    <mergeCell ref="K813"/>
    <mergeCell ref="E811"/>
    <mergeCell ref="O811"/>
    <mergeCell ref="H812"/>
    <mergeCell ref="I812"/>
    <mergeCell ref="P812"/>
    <mergeCell ref="F811"/>
    <mergeCell ref="M803"/>
    <mergeCell ref="J804"/>
    <mergeCell ref="K812"/>
    <mergeCell ref="L812"/>
    <mergeCell ref="H813"/>
    <mergeCell ref="F805"/>
    <mergeCell ref="H807"/>
    <mergeCell ref="M808"/>
    <mergeCell ref="W808"/>
    <mergeCell ref="Q808"/>
    <mergeCell ref="S808"/>
    <mergeCell ref="A793"/>
    <mergeCell ref="A788"/>
    <mergeCell ref="A803"/>
    <mergeCell ref="Y802"/>
    <mergeCell ref="L802"/>
    <mergeCell ref="W802"/>
    <mergeCell ref="S802"/>
    <mergeCell ref="U802"/>
    <mergeCell ref="F804"/>
    <mergeCell ref="O803"/>
    <mergeCell ref="X803"/>
    <mergeCell ref="S803"/>
    <mergeCell ref="M789"/>
    <mergeCell ref="J812"/>
    <mergeCell ref="G805"/>
    <mergeCell ref="K804"/>
    <mergeCell ref="R804"/>
    <mergeCell ref="D812"/>
    <mergeCell ref="E812"/>
    <mergeCell ref="Q811"/>
    <mergeCell ref="B812"/>
    <mergeCell ref="Y785"/>
    <mergeCell ref="P785"/>
    <mergeCell ref="U785"/>
    <mergeCell ref="R785"/>
    <mergeCell ref="W785"/>
    <mergeCell ref="Z788"/>
    <mergeCell ref="X788"/>
    <mergeCell ref="Y786"/>
    <mergeCell ref="Y787"/>
    <mergeCell ref="Z787"/>
    <mergeCell ref="H791"/>
    <mergeCell ref="S791"/>
    <mergeCell ref="Z786"/>
    <mergeCell ref="T786"/>
    <mergeCell ref="R786"/>
    <mergeCell ref="X786"/>
    <mergeCell ref="I786"/>
    <mergeCell ref="X771"/>
    <mergeCell ref="N773"/>
    <mergeCell ref="Z773"/>
    <mergeCell ref="L772"/>
    <mergeCell ref="A738"/>
    <mergeCell ref="E738"/>
    <mergeCell ref="C737"/>
    <mergeCell ref="C742"/>
    <mergeCell ref="G757"/>
    <mergeCell ref="Q756"/>
    <mergeCell ref="D724"/>
    <mergeCell ref="Y726"/>
    <mergeCell ref="A728"/>
    <mergeCell ref="Z745"/>
    <mergeCell ref="Z740"/>
    <mergeCell ref="Z771"/>
    <mergeCell ref="W729"/>
    <mergeCell ref="Y729"/>
    <mergeCell ref="Z729"/>
    <mergeCell ref="D730"/>
    <mergeCell ref="E730"/>
    <mergeCell ref="F730"/>
    <mergeCell ref="P747"/>
    <mergeCell ref="R746"/>
    <mergeCell ref="R748"/>
    <mergeCell ref="V748"/>
    <mergeCell ref="M748"/>
    <mergeCell ref="P748"/>
    <mergeCell ref="N748"/>
    <mergeCell ref="T748"/>
    <mergeCell ref="Y756"/>
    <mergeCell ref="I757"/>
    <mergeCell ref="I756"/>
    <mergeCell ref="E734"/>
    <mergeCell ref="K733"/>
    <mergeCell ref="R733"/>
    <mergeCell ref="W732"/>
    <mergeCell ref="O732"/>
    <mergeCell ref="U732"/>
    <mergeCell ref="V732"/>
    <mergeCell ref="L733"/>
    <mergeCell ref="H734"/>
    <mergeCell ref="K734"/>
    <mergeCell ref="I733"/>
    <mergeCell ref="I734"/>
    <mergeCell ref="J729"/>
    <mergeCell ref="X734"/>
    <mergeCell ref="H737"/>
    <mergeCell ref="A772"/>
    <mergeCell ref="D772"/>
    <mergeCell ref="C738"/>
    <mergeCell ref="D740"/>
    <mergeCell ref="I741"/>
    <mergeCell ref="B741"/>
    <mergeCell ref="D727"/>
    <mergeCell ref="B750"/>
    <mergeCell ref="B749"/>
    <mergeCell ref="C727"/>
    <mergeCell ref="C725"/>
    <mergeCell ref="F732"/>
    <mergeCell ref="A746"/>
    <mergeCell ref="B744"/>
    <mergeCell ref="E735"/>
    <mergeCell ref="E736"/>
    <mergeCell ref="C772"/>
    <mergeCell ref="M771"/>
    <mergeCell ref="D757"/>
    <mergeCell ref="E757"/>
    <mergeCell ref="F757"/>
    <mergeCell ref="E756"/>
    <mergeCell ref="X755"/>
    <mergeCell ref="W755"/>
    <mergeCell ref="O756"/>
    <mergeCell ref="Y755"/>
    <mergeCell ref="H756"/>
    <mergeCell ref="L745"/>
    <mergeCell ref="X742"/>
    <mergeCell ref="Z739"/>
    <mergeCell ref="P735"/>
    <mergeCell ref="L735"/>
    <mergeCell ref="A734"/>
    <mergeCell ref="M736"/>
    <mergeCell ref="B734"/>
    <mergeCell ref="C734"/>
    <mergeCell ref="T744"/>
    <mergeCell ref="Z734"/>
    <mergeCell ref="Z781"/>
    <mergeCell ref="Q781"/>
    <mergeCell ref="T781"/>
    <mergeCell ref="R781"/>
    <mergeCell ref="X781"/>
    <mergeCell ref="I782"/>
    <mergeCell ref="J782"/>
    <mergeCell ref="H783"/>
    <mergeCell ref="N783"/>
    <mergeCell ref="X780"/>
    <mergeCell ref="X776"/>
    <mergeCell ref="Y776"/>
    <mergeCell ref="J734"/>
    <mergeCell ref="F734"/>
    <mergeCell ref="T734"/>
    <mergeCell ref="G753"/>
    <mergeCell ref="J753"/>
    <mergeCell ref="K752"/>
    <mergeCell ref="H753"/>
    <mergeCell ref="F749"/>
    <mergeCell ref="T750"/>
    <mergeCell ref="O748"/>
    <mergeCell ref="I783"/>
    <mergeCell ref="R783"/>
    <mergeCell ref="K783"/>
    <mergeCell ref="O783"/>
    <mergeCell ref="S783"/>
    <mergeCell ref="L783"/>
    <mergeCell ref="X783"/>
    <mergeCell ref="Q783"/>
    <mergeCell ref="U783"/>
    <mergeCell ref="F783"/>
    <mergeCell ref="P783"/>
    <mergeCell ref="A783"/>
    <mergeCell ref="F781"/>
    <mergeCell ref="G781"/>
    <mergeCell ref="F735"/>
    <mergeCell ref="G735"/>
    <mergeCell ref="H735"/>
    <mergeCell ref="Q734"/>
    <mergeCell ref="B738"/>
    <mergeCell ref="S746"/>
    <mergeCell ref="B714"/>
    <mergeCell ref="C714"/>
    <mergeCell ref="H738"/>
    <mergeCell ref="D738"/>
    <mergeCell ref="P719"/>
    <mergeCell ref="H719"/>
    <mergeCell ref="X723"/>
    <mergeCell ref="V725"/>
    <mergeCell ref="T724"/>
    <mergeCell ref="G750"/>
    <mergeCell ref="M749"/>
    <mergeCell ref="Q750"/>
    <mergeCell ref="N750"/>
    <mergeCell ref="I750"/>
    <mergeCell ref="R750"/>
    <mergeCell ref="H749"/>
    <mergeCell ref="P750"/>
    <mergeCell ref="K750"/>
    <mergeCell ref="L750"/>
    <mergeCell ref="M750"/>
    <mergeCell ref="F750"/>
    <mergeCell ref="I749"/>
    <mergeCell ref="U749"/>
    <mergeCell ref="S749"/>
    <mergeCell ref="P749"/>
    <mergeCell ref="H750"/>
    <mergeCell ref="M724"/>
    <mergeCell ref="F725"/>
    <mergeCell ref="M725"/>
    <mergeCell ref="W742"/>
    <mergeCell ref="Z749"/>
    <mergeCell ref="U750"/>
    <mergeCell ref="V735"/>
    <mergeCell ref="W726"/>
    <mergeCell ref="V726"/>
    <mergeCell ref="I732"/>
    <mergeCell ref="T732"/>
    <mergeCell ref="R732"/>
    <mergeCell ref="M732"/>
    <mergeCell ref="P732"/>
    <mergeCell ref="H733"/>
    <mergeCell ref="P733"/>
    <mergeCell ref="Q733"/>
    <mergeCell ref="L732"/>
    <mergeCell ref="N733"/>
    <mergeCell ref="N724"/>
    <mergeCell ref="G717"/>
    <mergeCell ref="H717"/>
    <mergeCell ref="J714"/>
    <mergeCell ref="Z750"/>
    <mergeCell ref="K748"/>
    <mergeCell ref="D750"/>
    <mergeCell ref="P737"/>
    <mergeCell ref="F727"/>
    <mergeCell ref="T727"/>
    <mergeCell ref="J732"/>
    <mergeCell ref="X732"/>
    <mergeCell ref="E732"/>
    <mergeCell ref="N732"/>
    <mergeCell ref="D733"/>
    <mergeCell ref="E733"/>
    <mergeCell ref="F733"/>
    <mergeCell ref="Y731"/>
    <mergeCell ref="D742"/>
    <mergeCell ref="C715"/>
    <mergeCell ref="J696"/>
    <mergeCell ref="P696"/>
    <mergeCell ref="G697"/>
    <mergeCell ref="H697"/>
    <mergeCell ref="I697"/>
    <mergeCell ref="G698"/>
    <mergeCell ref="P698"/>
    <mergeCell ref="Y698"/>
    <mergeCell ref="M697"/>
    <mergeCell ref="W697"/>
    <mergeCell ref="C698"/>
    <mergeCell ref="D698"/>
    <mergeCell ref="F705"/>
    <mergeCell ref="I704"/>
    <mergeCell ref="A736"/>
    <mergeCell ref="O737"/>
    <mergeCell ref="B736"/>
    <mergeCell ref="C736"/>
    <mergeCell ref="R735"/>
    <mergeCell ref="Y745"/>
    <mergeCell ref="B742"/>
    <mergeCell ref="F741"/>
    <mergeCell ref="H742"/>
    <mergeCell ref="A743"/>
    <mergeCell ref="B743"/>
    <mergeCell ref="A744"/>
    <mergeCell ref="O742"/>
    <mergeCell ref="Y742"/>
    <mergeCell ref="T742"/>
    <mergeCell ref="S742"/>
    <mergeCell ref="R745"/>
    <mergeCell ref="X745"/>
    <mergeCell ref="T745"/>
    <mergeCell ref="S745"/>
    <mergeCell ref="U745"/>
    <mergeCell ref="V745"/>
    <mergeCell ref="I744"/>
    <mergeCell ref="J745"/>
    <mergeCell ref="I743"/>
    <mergeCell ref="S743"/>
    <mergeCell ref="N743"/>
    <mergeCell ref="P743"/>
    <mergeCell ref="F744"/>
    <mergeCell ref="D736"/>
    <mergeCell ref="C743"/>
    <mergeCell ref="M742"/>
    <mergeCell ref="E743"/>
    <mergeCell ref="H741"/>
    <mergeCell ref="O741"/>
    <mergeCell ref="U738"/>
    <mergeCell ref="E741"/>
    <mergeCell ref="P741"/>
    <mergeCell ref="J743"/>
    <mergeCell ref="W743"/>
    <mergeCell ref="U743"/>
    <mergeCell ref="M743"/>
    <mergeCell ref="G743"/>
    <mergeCell ref="Q743"/>
    <mergeCell ref="W735"/>
    <mergeCell ref="X744"/>
    <mergeCell ref="O744"/>
    <mergeCell ref="R744"/>
    <mergeCell ref="P744"/>
    <mergeCell ref="A703"/>
    <mergeCell ref="B703"/>
    <mergeCell ref="C703"/>
    <mergeCell ref="I701"/>
    <mergeCell ref="T700"/>
    <mergeCell ref="T701"/>
    <mergeCell ref="U701"/>
    <mergeCell ref="V701"/>
    <mergeCell ref="B702"/>
    <mergeCell ref="Y696"/>
    <mergeCell ref="F699"/>
    <mergeCell ref="L696"/>
    <mergeCell ref="X696"/>
    <mergeCell ref="J697"/>
    <mergeCell ref="K697"/>
    <mergeCell ref="L697"/>
    <mergeCell ref="T707"/>
    <mergeCell ref="Q707"/>
    <mergeCell ref="R707"/>
    <mergeCell ref="S707"/>
    <mergeCell ref="X705"/>
    <mergeCell ref="T704"/>
    <mergeCell ref="V705"/>
    <mergeCell ref="N707"/>
    <mergeCell ref="I708"/>
    <mergeCell ref="O708"/>
    <mergeCell ref="A709"/>
    <mergeCell ref="K708"/>
    <mergeCell ref="H710"/>
    <mergeCell ref="R710"/>
    <mergeCell ref="M710"/>
    <mergeCell ref="O710"/>
    <mergeCell ref="B711"/>
    <mergeCell ref="C711"/>
    <mergeCell ref="K711"/>
    <mergeCell ref="Y710"/>
    <mergeCell ref="M711"/>
    <mergeCell ref="U703"/>
    <mergeCell ref="B704"/>
    <mergeCell ref="C704"/>
    <mergeCell ref="D704"/>
    <mergeCell ref="H704"/>
    <mergeCell ref="E710"/>
    <mergeCell ref="C710"/>
    <mergeCell ref="E698"/>
    <mergeCell ref="V707"/>
    <mergeCell ref="H708"/>
    <mergeCell ref="D700"/>
    <mergeCell ref="Y699"/>
    <mergeCell ref="F700"/>
    <mergeCell ref="S699"/>
    <mergeCell ref="Q699"/>
    <mergeCell ref="U709"/>
    <mergeCell ref="V709"/>
    <mergeCell ref="W709"/>
    <mergeCell ref="Y711"/>
    <mergeCell ref="Q710"/>
    <mergeCell ref="V698"/>
    <mergeCell ref="J705"/>
    <mergeCell ref="I706"/>
    <mergeCell ref="D707"/>
    <mergeCell ref="E707"/>
    <mergeCell ref="F707"/>
    <mergeCell ref="G707"/>
    <mergeCell ref="Z650"/>
    <mergeCell ref="Z651"/>
    <mergeCell ref="B653"/>
    <mergeCell ref="C653"/>
    <mergeCell ref="D653"/>
    <mergeCell ref="Z659"/>
    <mergeCell ref="D660"/>
    <mergeCell ref="I658"/>
    <mergeCell ref="U657"/>
    <mergeCell ref="H659"/>
    <mergeCell ref="I659"/>
    <mergeCell ref="J659"/>
    <mergeCell ref="K659"/>
    <mergeCell ref="C660"/>
    <mergeCell ref="W659"/>
    <mergeCell ref="E660"/>
    <mergeCell ref="V659"/>
    <mergeCell ref="H660"/>
    <mergeCell ref="L691"/>
    <mergeCell ref="A693"/>
    <mergeCell ref="X692"/>
    <mergeCell ref="M693"/>
    <mergeCell ref="P693"/>
    <mergeCell ref="R692"/>
    <mergeCell ref="N693"/>
    <mergeCell ref="Z692"/>
    <mergeCell ref="L693"/>
    <mergeCell ref="H680"/>
    <mergeCell ref="Q681"/>
    <mergeCell ref="F682"/>
    <mergeCell ref="G682"/>
    <mergeCell ref="Y687"/>
    <mergeCell ref="M688"/>
    <mergeCell ref="P686"/>
    <mergeCell ref="F687"/>
    <mergeCell ref="E688"/>
    <mergeCell ref="F688"/>
    <mergeCell ref="H687"/>
    <mergeCell ref="T687"/>
    <mergeCell ref="B688"/>
    <mergeCell ref="C688"/>
    <mergeCell ref="E687"/>
    <mergeCell ref="M686"/>
    <mergeCell ref="H686"/>
    <mergeCell ref="E674"/>
    <mergeCell ref="R675"/>
    <mergeCell ref="Y675"/>
    <mergeCell ref="V658"/>
    <mergeCell ref="O657"/>
    <mergeCell ref="W658"/>
    <mergeCell ref="N656"/>
    <mergeCell ref="X656"/>
    <mergeCell ref="S656"/>
    <mergeCell ref="P656"/>
    <mergeCell ref="D657"/>
    <mergeCell ref="E657"/>
    <mergeCell ref="X655"/>
    <mergeCell ref="J652"/>
    <mergeCell ref="I652"/>
    <mergeCell ref="H652"/>
    <mergeCell ref="K652"/>
    <mergeCell ref="E665"/>
    <mergeCell ref="A664"/>
    <mergeCell ref="G664"/>
    <mergeCell ref="A655"/>
    <mergeCell ref="B655"/>
    <mergeCell ref="C655"/>
    <mergeCell ref="I665"/>
    <mergeCell ref="P664"/>
    <mergeCell ref="P665"/>
    <mergeCell ref="O665"/>
    <mergeCell ref="L665"/>
    <mergeCell ref="M665"/>
    <mergeCell ref="N665"/>
    <mergeCell ref="I663"/>
    <mergeCell ref="W663"/>
    <mergeCell ref="A665"/>
    <mergeCell ref="X664"/>
    <mergeCell ref="V664"/>
    <mergeCell ref="U664"/>
    <mergeCell ref="R664"/>
    <mergeCell ref="S664"/>
    <mergeCell ref="Q664"/>
    <mergeCell ref="C665"/>
    <mergeCell ref="L664"/>
    <mergeCell ref="R663"/>
    <mergeCell ref="T664"/>
    <mergeCell ref="F665"/>
    <mergeCell ref="G665"/>
    <mergeCell ref="H665"/>
    <mergeCell ref="V663"/>
    <mergeCell ref="J665"/>
    <mergeCell ref="D663"/>
    <mergeCell ref="S663"/>
    <mergeCell ref="F670"/>
    <mergeCell ref="D658"/>
    <mergeCell ref="E658"/>
    <mergeCell ref="L656"/>
    <mergeCell ref="V656"/>
    <mergeCell ref="A656"/>
    <mergeCell ref="G657"/>
    <mergeCell ref="J657"/>
    <mergeCell ref="A668"/>
    <mergeCell ref="T659"/>
    <mergeCell ref="R659"/>
    <mergeCell ref="X659"/>
    <mergeCell ref="F660"/>
    <mergeCell ref="M657"/>
    <mergeCell ref="T658"/>
    <mergeCell ref="S658"/>
    <mergeCell ref="R658"/>
    <mergeCell ref="L658"/>
    <mergeCell ref="G659"/>
    <mergeCell ref="M668"/>
    <mergeCell ref="G667"/>
    <mergeCell ref="J667"/>
    <mergeCell ref="H667"/>
    <mergeCell ref="I667"/>
    <mergeCell ref="R667"/>
    <mergeCell ref="B662"/>
    <mergeCell ref="H664"/>
    <mergeCell ref="I664"/>
    <mergeCell ref="J664"/>
    <mergeCell ref="P663"/>
    <mergeCell ref="B656"/>
    <mergeCell ref="A657"/>
    <mergeCell ref="N658"/>
    <mergeCell ref="N667"/>
    <mergeCell ref="D626"/>
    <mergeCell ref="K626"/>
    <mergeCell ref="W626"/>
    <mergeCell ref="U626"/>
    <mergeCell ref="M626"/>
    <mergeCell ref="N639"/>
    <mergeCell ref="W639"/>
    <mergeCell ref="K640"/>
    <mergeCell ref="B634"/>
    <mergeCell ref="L634"/>
    <mergeCell ref="X639"/>
    <mergeCell ref="R639"/>
    <mergeCell ref="H639"/>
    <mergeCell ref="B626"/>
    <mergeCell ref="C626"/>
    <mergeCell ref="B630"/>
    <mergeCell ref="C630"/>
    <mergeCell ref="C637"/>
    <mergeCell ref="H634"/>
    <mergeCell ref="Q633"/>
    <mergeCell ref="X633"/>
    <mergeCell ref="S637"/>
    <mergeCell ref="Q637"/>
    <mergeCell ref="T637"/>
    <mergeCell ref="U637"/>
    <mergeCell ref="P637"/>
    <mergeCell ref="F637"/>
    <mergeCell ref="D636"/>
    <mergeCell ref="O638"/>
    <mergeCell ref="M638"/>
    <mergeCell ref="G639"/>
    <mergeCell ref="Q641"/>
    <mergeCell ref="N642"/>
    <mergeCell ref="I626"/>
    <mergeCell ref="Q627"/>
    <mergeCell ref="J628"/>
    <mergeCell ref="H628"/>
    <mergeCell ref="I627"/>
    <mergeCell ref="B628"/>
    <mergeCell ref="S631"/>
    <mergeCell ref="D633"/>
    <mergeCell ref="E633"/>
    <mergeCell ref="F633"/>
    <mergeCell ref="G633"/>
    <mergeCell ref="K632"/>
    <mergeCell ref="D638"/>
    <mergeCell ref="X638"/>
    <mergeCell ref="P639"/>
    <mergeCell ref="T638"/>
    <mergeCell ref="R638"/>
    <mergeCell ref="C620"/>
    <mergeCell ref="D614"/>
    <mergeCell ref="Q625"/>
    <mergeCell ref="C618"/>
    <mergeCell ref="U645"/>
    <mergeCell ref="J644"/>
    <mergeCell ref="O644"/>
    <mergeCell ref="N644"/>
    <mergeCell ref="M644"/>
    <mergeCell ref="L644"/>
    <mergeCell ref="S646"/>
    <mergeCell ref="O645"/>
    <mergeCell ref="W644"/>
    <mergeCell ref="O602"/>
    <mergeCell ref="R611"/>
    <mergeCell ref="X611"/>
    <mergeCell ref="Z640"/>
    <mergeCell ref="C641"/>
    <mergeCell ref="V639"/>
    <mergeCell ref="U639"/>
    <mergeCell ref="O639"/>
    <mergeCell ref="Y639"/>
    <mergeCell ref="S635"/>
    <mergeCell ref="X635"/>
    <mergeCell ref="Y635"/>
    <mergeCell ref="Z635"/>
    <mergeCell ref="Z638"/>
    <mergeCell ref="B639"/>
    <mergeCell ref="E641"/>
    <mergeCell ref="R641"/>
    <mergeCell ref="L639"/>
    <mergeCell ref="F640"/>
    <mergeCell ref="M640"/>
    <mergeCell ref="N641"/>
    <mergeCell ref="D631"/>
    <mergeCell ref="R629"/>
    <mergeCell ref="U630"/>
    <mergeCell ref="C639"/>
    <mergeCell ref="S639"/>
    <mergeCell ref="Z643"/>
    <mergeCell ref="P643"/>
    <mergeCell ref="M643"/>
    <mergeCell ref="J640"/>
    <mergeCell ref="Z633"/>
    <mergeCell ref="V631"/>
    <mergeCell ref="L632"/>
    <mergeCell ref="H633"/>
    <mergeCell ref="I633"/>
    <mergeCell ref="J633"/>
    <mergeCell ref="V630"/>
    <mergeCell ref="J632"/>
    <mergeCell ref="Y637"/>
    <mergeCell ref="J639"/>
    <mergeCell ref="L641"/>
    <mergeCell ref="X640"/>
    <mergeCell ref="W638"/>
    <mergeCell ref="F636"/>
    <mergeCell ref="G636"/>
    <mergeCell ref="H636"/>
    <mergeCell ref="E635"/>
    <mergeCell ref="P635"/>
    <mergeCell ref="Y630"/>
    <mergeCell ref="Z629"/>
    <mergeCell ref="M630"/>
    <mergeCell ref="M653"/>
    <mergeCell ref="Y627"/>
    <mergeCell ref="K631"/>
    <mergeCell ref="Y633"/>
    <mergeCell ref="D640"/>
    <mergeCell ref="O640"/>
    <mergeCell ref="U638"/>
    <mergeCell ref="D639"/>
    <mergeCell ref="V640"/>
    <mergeCell ref="I640"/>
    <mergeCell ref="T640"/>
    <mergeCell ref="P640"/>
    <mergeCell ref="R640"/>
    <mergeCell ref="H640"/>
    <mergeCell ref="D634"/>
    <mergeCell ref="F634"/>
    <mergeCell ref="S634"/>
    <mergeCell ref="T633"/>
    <mergeCell ref="E634"/>
    <mergeCell ref="I634"/>
    <mergeCell ref="H643"/>
    <mergeCell ref="S643"/>
    <mergeCell ref="B633"/>
    <mergeCell ref="T629"/>
    <mergeCell ref="N630"/>
    <mergeCell ref="T630"/>
    <mergeCell ref="Q630"/>
    <mergeCell ref="B652"/>
    <mergeCell ref="J651"/>
    <mergeCell ref="L646"/>
    <mergeCell ref="Q644"/>
    <mergeCell ref="Y644"/>
    <mergeCell ref="F652"/>
    <mergeCell ref="Y650"/>
    <mergeCell ref="L648"/>
    <mergeCell ref="B650"/>
    <mergeCell ref="M650"/>
    <mergeCell ref="R651"/>
    <mergeCell ref="Q651"/>
    <mergeCell ref="P651"/>
    <mergeCell ref="U651"/>
    <mergeCell ref="F629"/>
    <mergeCell ref="X629"/>
    <mergeCell ref="O630"/>
    <mergeCell ref="I629"/>
    <mergeCell ref="Q629"/>
    <mergeCell ref="L629"/>
    <mergeCell ref="M629"/>
    <mergeCell ref="K633"/>
    <mergeCell ref="S632"/>
    <mergeCell ref="P633"/>
    <mergeCell ref="O633"/>
    <mergeCell ref="N633"/>
    <mergeCell ref="M633"/>
    <mergeCell ref="W629"/>
    <mergeCell ref="L643"/>
    <mergeCell ref="W643"/>
    <mergeCell ref="N643"/>
    <mergeCell ref="R643"/>
    <mergeCell ref="U629"/>
    <mergeCell ref="G631"/>
    <mergeCell ref="O634"/>
    <mergeCell ref="U634"/>
    <mergeCell ref="P634"/>
    <mergeCell ref="V601"/>
    <mergeCell ref="W601"/>
    <mergeCell ref="U601"/>
    <mergeCell ref="Q601"/>
    <mergeCell ref="T601"/>
    <mergeCell ref="K603"/>
    <mergeCell ref="B668"/>
    <mergeCell ref="C668"/>
    <mergeCell ref="D666"/>
    <mergeCell ref="B643"/>
    <mergeCell ref="K641"/>
    <mergeCell ref="I643"/>
    <mergeCell ref="F643"/>
    <mergeCell ref="K643"/>
    <mergeCell ref="K642"/>
    <mergeCell ref="T641"/>
    <mergeCell ref="U642"/>
    <mergeCell ref="V642"/>
    <mergeCell ref="W642"/>
    <mergeCell ref="X642"/>
    <mergeCell ref="Y642"/>
    <mergeCell ref="V641"/>
    <mergeCell ref="O642"/>
    <mergeCell ref="T642"/>
    <mergeCell ref="S642"/>
    <mergeCell ref="R642"/>
    <mergeCell ref="Q642"/>
    <mergeCell ref="O641"/>
    <mergeCell ref="G641"/>
    <mergeCell ref="N640"/>
    <mergeCell ref="D642"/>
    <mergeCell ref="E642"/>
    <mergeCell ref="F642"/>
    <mergeCell ref="P644"/>
    <mergeCell ref="D646"/>
    <mergeCell ref="Q645"/>
    <mergeCell ref="M646"/>
    <mergeCell ref="J646"/>
    <mergeCell ref="I646"/>
    <mergeCell ref="K646"/>
    <mergeCell ref="G642"/>
    <mergeCell ref="H642"/>
    <mergeCell ref="I641"/>
    <mergeCell ref="S641"/>
    <mergeCell ref="G606"/>
    <mergeCell ref="B657"/>
    <mergeCell ref="C657"/>
    <mergeCell ref="F663"/>
    <mergeCell ref="E649"/>
    <mergeCell ref="E651"/>
    <mergeCell ref="D651"/>
    <mergeCell ref="F651"/>
    <mergeCell ref="Q649"/>
    <mergeCell ref="V651"/>
    <mergeCell ref="W651"/>
    <mergeCell ref="X651"/>
    <mergeCell ref="U649"/>
    <mergeCell ref="V649"/>
    <mergeCell ref="W649"/>
    <mergeCell ref="X649"/>
    <mergeCell ref="K651"/>
    <mergeCell ref="B646"/>
    <mergeCell ref="C646"/>
    <mergeCell ref="Y611"/>
    <mergeCell ref="U600"/>
    <mergeCell ref="G594"/>
    <mergeCell ref="K595"/>
    <mergeCell ref="H588"/>
    <mergeCell ref="C579"/>
    <mergeCell ref="D580"/>
    <mergeCell ref="I580"/>
    <mergeCell ref="F578"/>
    <mergeCell ref="I579"/>
    <mergeCell ref="X579"/>
    <mergeCell ref="Y581"/>
    <mergeCell ref="X581"/>
    <mergeCell ref="T581"/>
    <mergeCell ref="E582"/>
    <mergeCell ref="S599"/>
    <mergeCell ref="Q599"/>
    <mergeCell ref="O599"/>
    <mergeCell ref="C581"/>
    <mergeCell ref="Y591"/>
    <mergeCell ref="D594"/>
    <mergeCell ref="W597"/>
    <mergeCell ref="N591"/>
    <mergeCell ref="Z592"/>
    <mergeCell ref="D587"/>
    <mergeCell ref="T593"/>
    <mergeCell ref="O593"/>
    <mergeCell ref="T587"/>
    <mergeCell ref="X586"/>
    <mergeCell ref="W587"/>
    <mergeCell ref="V587"/>
    <mergeCell ref="C586"/>
    <mergeCell ref="Z584"/>
    <mergeCell ref="I583"/>
    <mergeCell ref="S600"/>
    <mergeCell ref="R600"/>
    <mergeCell ref="Q600"/>
    <mergeCell ref="S580"/>
    <mergeCell ref="O581"/>
    <mergeCell ref="Y604"/>
    <mergeCell ref="V604"/>
    <mergeCell ref="S586"/>
    <mergeCell ref="T586"/>
    <mergeCell ref="G585"/>
    <mergeCell ref="Z610"/>
    <mergeCell ref="O603"/>
    <mergeCell ref="P603"/>
    <mergeCell ref="Q603"/>
    <mergeCell ref="X587"/>
    <mergeCell ref="U588"/>
    <mergeCell ref="T588"/>
    <mergeCell ref="Z590"/>
    <mergeCell ref="Y587"/>
    <mergeCell ref="Z595"/>
    <mergeCell ref="I594"/>
    <mergeCell ref="Q595"/>
    <mergeCell ref="D608"/>
    <mergeCell ref="R605"/>
    <mergeCell ref="Q604"/>
    <mergeCell ref="L605"/>
    <mergeCell ref="D582"/>
    <mergeCell ref="O604"/>
    <mergeCell ref="X605"/>
    <mergeCell ref="Y605"/>
    <mergeCell ref="Z605"/>
    <mergeCell ref="P606"/>
    <mergeCell ref="N606"/>
    <mergeCell ref="Z598"/>
    <mergeCell ref="W598"/>
    <mergeCell ref="M587"/>
    <mergeCell ref="O587"/>
    <mergeCell ref="R603"/>
    <mergeCell ref="J600"/>
    <mergeCell ref="M601"/>
    <mergeCell ref="D603"/>
    <mergeCell ref="E602"/>
    <mergeCell ref="Z582"/>
    <mergeCell ref="G583"/>
    <mergeCell ref="Z596"/>
    <mergeCell ref="E594"/>
    <mergeCell ref="V608"/>
    <mergeCell ref="H609"/>
    <mergeCell ref="V592"/>
    <mergeCell ref="W591"/>
    <mergeCell ref="Y588"/>
    <mergeCell ref="G590"/>
    <mergeCell ref="O609"/>
    <mergeCell ref="F610"/>
    <mergeCell ref="J593"/>
    <mergeCell ref="N593"/>
    <mergeCell ref="V586"/>
    <mergeCell ref="N596"/>
    <mergeCell ref="U591"/>
    <mergeCell ref="V590"/>
    <mergeCell ref="S590"/>
    <mergeCell ref="I597"/>
    <mergeCell ref="Z587"/>
    <mergeCell ref="H600"/>
    <mergeCell ref="G600"/>
    <mergeCell ref="Y600"/>
    <mergeCell ref="O600"/>
    <mergeCell ref="M667"/>
    <mergeCell ref="T666"/>
    <mergeCell ref="N666"/>
    <mergeCell ref="B583"/>
    <mergeCell ref="Y582"/>
    <mergeCell ref="N582"/>
    <mergeCell ref="R583"/>
    <mergeCell ref="S584"/>
    <mergeCell ref="R584"/>
    <mergeCell ref="O584"/>
    <mergeCell ref="M751"/>
    <mergeCell ref="K754"/>
    <mergeCell ref="U576"/>
    <mergeCell ref="V576"/>
    <mergeCell ref="W576"/>
    <mergeCell ref="G575"/>
    <mergeCell ref="H575"/>
    <mergeCell ref="I575"/>
    <mergeCell ref="Q575"/>
    <mergeCell ref="P575"/>
    <mergeCell ref="B579"/>
    <mergeCell ref="B580"/>
    <mergeCell ref="C580"/>
    <mergeCell ref="W575"/>
    <mergeCell ref="J580"/>
    <mergeCell ref="Z577"/>
    <mergeCell ref="X577"/>
    <mergeCell ref="W577"/>
    <mergeCell ref="T577"/>
    <mergeCell ref="V577"/>
    <mergeCell ref="V575"/>
    <mergeCell ref="G578"/>
    <mergeCell ref="L578"/>
    <mergeCell ref="X578"/>
    <mergeCell ref="D578"/>
    <mergeCell ref="E578"/>
    <mergeCell ref="F579"/>
    <mergeCell ref="R579"/>
    <mergeCell ref="K576"/>
    <mergeCell ref="L576"/>
    <mergeCell ref="R575"/>
    <mergeCell ref="S575"/>
    <mergeCell ref="Y576"/>
    <mergeCell ref="Z576"/>
    <mergeCell ref="M580"/>
    <mergeCell ref="D579"/>
    <mergeCell ref="Y578"/>
    <mergeCell ref="Z578"/>
    <mergeCell ref="D611"/>
    <mergeCell ref="U598"/>
    <mergeCell ref="T598"/>
    <mergeCell ref="W579"/>
    <mergeCell ref="S611"/>
    <mergeCell ref="Y602"/>
    <mergeCell ref="N608"/>
    <mergeCell ref="U602"/>
    <mergeCell ref="S602"/>
    <mergeCell ref="K602"/>
    <mergeCell ref="K599"/>
    <mergeCell ref="Z581"/>
    <mergeCell ref="L581"/>
    <mergeCell ref="Q580"/>
    <mergeCell ref="W581"/>
    <mergeCell ref="J581"/>
    <mergeCell ref="C684"/>
    <mergeCell ref="J677"/>
    <mergeCell ref="F679"/>
    <mergeCell ref="X678"/>
    <mergeCell ref="K678"/>
    <mergeCell ref="Y677"/>
    <mergeCell ref="Y678"/>
    <mergeCell ref="H679"/>
    <mergeCell ref="R753"/>
    <mergeCell ref="Z690"/>
    <mergeCell ref="Z696"/>
    <mergeCell ref="K682"/>
    <mergeCell ref="C751"/>
    <mergeCell ref="B748"/>
    <mergeCell ref="C748"/>
    <mergeCell ref="V750"/>
    <mergeCell ref="V749"/>
    <mergeCell ref="R749"/>
    <mergeCell ref="S750"/>
    <mergeCell ref="O749"/>
    <mergeCell ref="O747"/>
    <mergeCell ref="T755"/>
    <mergeCell ref="Q755"/>
    <mergeCell ref="A611"/>
    <mergeCell ref="A583"/>
    <mergeCell ref="I582"/>
    <mergeCell ref="X582"/>
    <mergeCell ref="G581"/>
    <mergeCell ref="P582"/>
    <mergeCell ref="T582"/>
    <mergeCell ref="H583"/>
    <mergeCell ref="L580"/>
    <mergeCell ref="A586"/>
    <mergeCell ref="A584"/>
    <mergeCell ref="Y598"/>
    <mergeCell ref="C587"/>
    <mergeCell ref="D586"/>
    <mergeCell ref="L587"/>
    <mergeCell ref="B586"/>
    <mergeCell ref="Y585"/>
    <mergeCell ref="P586"/>
    <mergeCell ref="S587"/>
    <mergeCell ref="G587"/>
    <mergeCell ref="Q587"/>
    <mergeCell ref="C634"/>
    <mergeCell ref="X632"/>
    <mergeCell ref="U632"/>
    <mergeCell ref="V632"/>
    <mergeCell ref="W632"/>
    <mergeCell ref="T632"/>
    <mergeCell ref="N632"/>
    <mergeCell ref="C633"/>
    <mergeCell ref="V635"/>
    <mergeCell ref="J636"/>
    <mergeCell ref="N634"/>
    <mergeCell ref="X634"/>
    <mergeCell ref="W634"/>
    <mergeCell ref="T634"/>
    <mergeCell ref="Q634"/>
    <mergeCell ref="V634"/>
    <mergeCell ref="T597"/>
    <mergeCell ref="B665"/>
    <mergeCell ref="F666"/>
    <mergeCell ref="U667"/>
    <mergeCell ref="Z673"/>
    <mergeCell ref="I674"/>
    <mergeCell ref="K676"/>
    <mergeCell ref="T676"/>
    <mergeCell ref="O676"/>
    <mergeCell ref="Q676"/>
    <mergeCell ref="K702"/>
    <mergeCell ref="G701"/>
    <mergeCell ref="D702"/>
    <mergeCell ref="R684"/>
    <mergeCell ref="K686"/>
    <mergeCell ref="D687"/>
    <mergeCell ref="X677"/>
    <mergeCell ref="R678"/>
    <mergeCell ref="Y685"/>
    <mergeCell ref="I686"/>
    <mergeCell ref="L686"/>
    <mergeCell ref="T686"/>
    <mergeCell ref="X686"/>
    <mergeCell ref="W686"/>
    <mergeCell ref="V686"/>
    <mergeCell ref="U686"/>
    <mergeCell ref="Z686"/>
    <mergeCell ref="N675"/>
    <mergeCell ref="J676"/>
    <mergeCell ref="Z703"/>
    <mergeCell ref="P708"/>
    <mergeCell ref="Y705"/>
    <mergeCell ref="U712"/>
    <mergeCell ref="K713"/>
    <mergeCell ref="J715"/>
    <mergeCell ref="T714"/>
    <mergeCell ref="D716"/>
    <mergeCell ref="W716"/>
    <mergeCell ref="N716"/>
    <mergeCell ref="N713"/>
    <mergeCell ref="Q714"/>
    <mergeCell ref="D715"/>
    <mergeCell ref="Q703"/>
    <mergeCell ref="J707"/>
    <mergeCell ref="K707"/>
    <mergeCell ref="O678"/>
    <mergeCell ref="Y691"/>
    <mergeCell ref="P692"/>
    <mergeCell ref="Y693"/>
    <mergeCell ref="X695"/>
    <mergeCell ref="W706"/>
    <mergeCell ref="P707"/>
    <mergeCell ref="U707"/>
    <mergeCell ref="L694"/>
    <mergeCell ref="T694"/>
    <mergeCell ref="E709"/>
    <mergeCell ref="E706"/>
    <mergeCell ref="V704"/>
    <mergeCell ref="Y704"/>
    <mergeCell ref="U705"/>
    <mergeCell ref="V708"/>
    <mergeCell ref="D711"/>
    <mergeCell ref="H695"/>
    <mergeCell ref="Y694"/>
    <mergeCell ref="K693"/>
    <mergeCell ref="Q694"/>
    <mergeCell ref="I694"/>
    <mergeCell ref="X710"/>
    <mergeCell ref="Y757"/>
    <mergeCell ref="X757"/>
    <mergeCell ref="W582"/>
    <mergeCell ref="V582"/>
    <mergeCell ref="S582"/>
    <mergeCell ref="Q582"/>
    <mergeCell ref="U582"/>
    <mergeCell ref="E606"/>
    <mergeCell ref="N672"/>
    <mergeCell ref="W673"/>
    <mergeCell ref="V673"/>
    <mergeCell ref="U673"/>
    <mergeCell ref="O673"/>
    <mergeCell ref="Q673"/>
    <mergeCell ref="K694"/>
    <mergeCell ref="S694"/>
    <mergeCell ref="N686"/>
    <mergeCell ref="T692"/>
    <mergeCell ref="J694"/>
    <mergeCell ref="T749"/>
    <mergeCell ref="X750"/>
    <mergeCell ref="Y750"/>
    <mergeCell ref="F596"/>
    <mergeCell ref="Y597"/>
    <mergeCell ref="P584"/>
    <mergeCell ref="Q584"/>
    <mergeCell ref="M606"/>
    <mergeCell ref="P607"/>
    <mergeCell ref="R610"/>
    <mergeCell ref="Q610"/>
    <mergeCell ref="P610"/>
    <mergeCell ref="N610"/>
    <mergeCell ref="B642"/>
    <mergeCell ref="X641"/>
    <mergeCell ref="M642"/>
    <mergeCell ref="P642"/>
    <mergeCell ref="M641"/>
    <mergeCell ref="B640"/>
    <mergeCell ref="E640"/>
    <mergeCell ref="C640"/>
    <mergeCell ref="T649"/>
    <mergeCell ref="O650"/>
    <mergeCell ref="U650"/>
    <mergeCell ref="S650"/>
    <mergeCell ref="R650"/>
    <mergeCell ref="X650"/>
    <mergeCell ref="O651"/>
    <mergeCell ref="D662"/>
    <mergeCell ref="C654"/>
    <mergeCell ref="B651"/>
    <mergeCell ref="M651"/>
    <mergeCell ref="C651"/>
    <mergeCell ref="N696"/>
    <mergeCell ref="W753"/>
    <mergeCell ref="I755"/>
    <mergeCell ref="L742"/>
    <mergeCell ref="E745"/>
    <mergeCell ref="G744"/>
    <mergeCell ref="U744"/>
    <mergeCell ref="M717"/>
    <mergeCell ref="E722"/>
    <mergeCell ref="J721"/>
    <mergeCell ref="I722"/>
    <mergeCell ref="H722"/>
    <mergeCell ref="C750"/>
    <mergeCell ref="C752"/>
    <mergeCell ref="U747"/>
    <mergeCell ref="R747"/>
    <mergeCell ref="Y747"/>
    <mergeCell ref="R755"/>
    <mergeCell ref="S755"/>
    <mergeCell ref="Y752"/>
    <mergeCell ref="Z752"/>
    <mergeCell ref="Z742"/>
    <mergeCell ref="Z753"/>
    <mergeCell ref="L754"/>
    <mergeCell ref="O752"/>
    <mergeCell ref="K753"/>
    <mergeCell ref="A737"/>
    <mergeCell ref="W734"/>
    <mergeCell ref="M735"/>
    <mergeCell ref="I736"/>
    <mergeCell ref="J736"/>
    <mergeCell ref="K736"/>
    <mergeCell ref="G742"/>
    <mergeCell ref="Z754"/>
    <mergeCell ref="N755"/>
    <mergeCell ref="T754"/>
    <mergeCell ref="A753"/>
    <mergeCell ref="B753"/>
    <mergeCell ref="C744"/>
    <mergeCell ref="D744"/>
    <mergeCell ref="E744"/>
    <mergeCell ref="C745"/>
    <mergeCell ref="W744"/>
    <mergeCell ref="Q745"/>
    <mergeCell ref="F748"/>
    <mergeCell ref="B739"/>
    <mergeCell ref="Z744"/>
    <mergeCell ref="B746"/>
    <mergeCell ref="V744"/>
    <mergeCell ref="Y744"/>
    <mergeCell ref="Y746"/>
    <mergeCell ref="M746"/>
    <mergeCell ref="W746"/>
    <mergeCell ref="V746"/>
    <mergeCell ref="Q746"/>
    <mergeCell ref="M741"/>
    <mergeCell ref="U742"/>
    <mergeCell ref="J741"/>
    <mergeCell ref="R742"/>
    <mergeCell ref="T741"/>
    <mergeCell ref="G741"/>
    <mergeCell ref="R741"/>
    <mergeCell ref="U746"/>
    <mergeCell ref="Z746"/>
    <mergeCell ref="G745"/>
    <mergeCell ref="L746"/>
    <mergeCell ref="L744"/>
    <mergeCell ref="O745"/>
    <mergeCell ref="O743"/>
    <mergeCell ref="S744"/>
    <mergeCell ref="M744"/>
    <mergeCell ref="J744"/>
    <mergeCell ref="D746"/>
    <mergeCell ref="F746"/>
    <mergeCell ref="F745"/>
    <mergeCell ref="J746"/>
    <mergeCell ref="D597"/>
    <mergeCell ref="J612"/>
    <mergeCell ref="G612"/>
    <mergeCell ref="F611"/>
    <mergeCell ref="L612"/>
    <mergeCell ref="J611"/>
    <mergeCell ref="B596"/>
    <mergeCell ref="S594"/>
    <mergeCell ref="S604"/>
    <mergeCell ref="N605"/>
    <mergeCell ref="O605"/>
    <mergeCell ref="Z597"/>
    <mergeCell ref="J597"/>
    <mergeCell ref="U597"/>
    <mergeCell ref="Q597"/>
    <mergeCell ref="S597"/>
    <mergeCell ref="X597"/>
    <mergeCell ref="G598"/>
    <mergeCell ref="K598"/>
    <mergeCell ref="J598"/>
    <mergeCell ref="I598"/>
    <mergeCell ref="H598"/>
    <mergeCell ref="G597"/>
    <mergeCell ref="K597"/>
    <mergeCell ref="J599"/>
    <mergeCell ref="Y601"/>
    <mergeCell ref="Z594"/>
    <mergeCell ref="P594"/>
    <mergeCell ref="T594"/>
    <mergeCell ref="R594"/>
    <mergeCell ref="U594"/>
    <mergeCell ref="E611"/>
    <mergeCell ref="M609"/>
    <mergeCell ref="U610"/>
    <mergeCell ref="E610"/>
    <mergeCell ref="L609"/>
    <mergeCell ref="C608"/>
    <mergeCell ref="J609"/>
    <mergeCell ref="I609"/>
    <mergeCell ref="F609"/>
    <mergeCell ref="G610"/>
    <mergeCell ref="K609"/>
    <mergeCell ref="L610"/>
    <mergeCell ref="K610"/>
    <mergeCell ref="I610"/>
    <mergeCell ref="J610"/>
    <mergeCell ref="E597"/>
    <mergeCell ref="C597"/>
    <mergeCell ref="P597"/>
    <mergeCell ref="C598"/>
    <mergeCell ref="K596"/>
    <mergeCell ref="Z599"/>
    <mergeCell ref="V597"/>
    <mergeCell ref="N611"/>
    <mergeCell ref="Q611"/>
    <mergeCell ref="G611"/>
    <mergeCell ref="U611"/>
    <mergeCell ref="H611"/>
    <mergeCell ref="V594"/>
    <mergeCell ref="X594"/>
    <mergeCell ref="W611"/>
    <mergeCell ref="I611"/>
    <mergeCell ref="F600"/>
    <mergeCell ref="K611"/>
    <mergeCell ref="Q612"/>
    <mergeCell ref="Y612"/>
    <mergeCell ref="X612"/>
    <mergeCell ref="R612"/>
    <mergeCell ref="T612"/>
    <mergeCell ref="W612"/>
    <mergeCell ref="Y613"/>
    <mergeCell ref="H613"/>
    <mergeCell ref="K613"/>
    <mergeCell ref="J613"/>
    <mergeCell ref="I613"/>
    <mergeCell ref="I612"/>
    <mergeCell ref="N612"/>
    <mergeCell ref="F612"/>
    <mergeCell ref="H606"/>
    <mergeCell ref="L606"/>
    <mergeCell ref="I606"/>
    <mergeCell ref="D605"/>
    <mergeCell ref="C606"/>
    <mergeCell ref="Q602"/>
    <mergeCell ref="E603"/>
    <mergeCell ref="F605"/>
    <mergeCell ref="W605"/>
    <mergeCell ref="H610"/>
    <mergeCell ref="Z614"/>
    <mergeCell ref="B615"/>
    <mergeCell ref="C615"/>
    <mergeCell ref="D615"/>
    <mergeCell ref="Q616"/>
    <mergeCell ref="Y616"/>
    <mergeCell ref="L611"/>
    <mergeCell ref="Y608"/>
    <mergeCell ref="Z607"/>
    <mergeCell ref="L608"/>
    <mergeCell ref="S607"/>
    <mergeCell ref="Z606"/>
    <mergeCell ref="Q606"/>
    <mergeCell ref="V606"/>
    <mergeCell ref="T606"/>
    <mergeCell ref="S606"/>
    <mergeCell ref="R606"/>
    <mergeCell ref="X606"/>
    <mergeCell ref="H607"/>
    <mergeCell ref="R607"/>
    <mergeCell ref="C611"/>
    <mergeCell ref="B611"/>
    <mergeCell ref="Z612"/>
    <mergeCell ref="Q613"/>
    <mergeCell ref="E607"/>
    <mergeCell ref="K612"/>
    <mergeCell ref="V612"/>
    <mergeCell ref="U612"/>
    <mergeCell ref="F602"/>
    <mergeCell ref="M602"/>
    <mergeCell ref="V602"/>
    <mergeCell ref="I602"/>
    <mergeCell ref="T602"/>
    <mergeCell ref="P602"/>
    <mergeCell ref="E613"/>
    <mergeCell ref="M613"/>
    <mergeCell ref="Z608"/>
    <mergeCell ref="T609"/>
    <mergeCell ref="I607"/>
    <mergeCell ref="E604"/>
    <mergeCell ref="B659"/>
    <mergeCell ref="L657"/>
    <mergeCell ref="P658"/>
    <mergeCell ref="O712"/>
    <mergeCell ref="N710"/>
    <mergeCell ref="C712"/>
    <mergeCell ref="V715"/>
    <mergeCell ref="L717"/>
    <mergeCell ref="R717"/>
    <mergeCell ref="C718"/>
    <mergeCell ref="G718"/>
    <mergeCell ref="N717"/>
    <mergeCell ref="E718"/>
    <mergeCell ref="W717"/>
    <mergeCell ref="O717"/>
    <mergeCell ref="U717"/>
    <mergeCell ref="Q717"/>
    <mergeCell ref="T717"/>
    <mergeCell ref="X717"/>
    <mergeCell ref="Y717"/>
    <mergeCell ref="V717"/>
    <mergeCell ref="B718"/>
    <mergeCell ref="M714"/>
    <mergeCell ref="B695"/>
    <mergeCell ref="C695"/>
    <mergeCell ref="D695"/>
    <mergeCell ref="M708"/>
    <mergeCell ref="Y708"/>
    <mergeCell ref="R708"/>
    <mergeCell ref="E708"/>
    <mergeCell ref="J712"/>
    <mergeCell ref="G715"/>
    <mergeCell ref="Y714"/>
    <mergeCell ref="E716"/>
    <mergeCell ref="V682"/>
    <mergeCell ref="Y683"/>
    <mergeCell ref="F684"/>
    <mergeCell ref="I683"/>
    <mergeCell ref="K684"/>
    <mergeCell ref="T684"/>
    <mergeCell ref="K704"/>
    <mergeCell ref="Q706"/>
    <mergeCell ref="T657"/>
    <mergeCell ref="C671"/>
    <mergeCell ref="G691"/>
    <mergeCell ref="O682"/>
    <mergeCell ref="Y684"/>
    <mergeCell ref="Y688"/>
    <mergeCell ref="G685"/>
    <mergeCell ref="L688"/>
    <mergeCell ref="W687"/>
    <mergeCell ref="U687"/>
    <mergeCell ref="G687"/>
    <mergeCell ref="J686"/>
    <mergeCell ref="M687"/>
    <mergeCell ref="D690"/>
    <mergeCell ref="C702"/>
    <mergeCell ref="Q700"/>
    <mergeCell ref="N702"/>
    <mergeCell ref="H701"/>
    <mergeCell ref="G702"/>
    <mergeCell ref="I702"/>
    <mergeCell ref="J702"/>
    <mergeCell ref="N699"/>
    <mergeCell ref="B776"/>
    <mergeCell ref="P775"/>
    <mergeCell ref="L775"/>
    <mergeCell ref="U774"/>
    <mergeCell ref="J775"/>
    <mergeCell ref="W774"/>
    <mergeCell ref="I775"/>
    <mergeCell ref="N774"/>
    <mergeCell ref="S775"/>
    <mergeCell ref="K775"/>
    <mergeCell ref="D774"/>
    <mergeCell ref="K773"/>
    <mergeCell ref="T776"/>
    <mergeCell ref="W776"/>
    <mergeCell ref="Z619"/>
    <mergeCell ref="L619"/>
    <mergeCell ref="T619"/>
    <mergeCell ref="S619"/>
    <mergeCell ref="N619"/>
    <mergeCell ref="P619"/>
    <mergeCell ref="R619"/>
    <mergeCell ref="B618"/>
    <mergeCell ref="I619"/>
    <mergeCell ref="T618"/>
    <mergeCell ref="M618"/>
    <mergeCell ref="C619"/>
    <mergeCell ref="M619"/>
    <mergeCell ref="Z766"/>
    <mergeCell ref="O767"/>
    <mergeCell ref="K739"/>
    <mergeCell ref="T739"/>
    <mergeCell ref="U739"/>
    <mergeCell ref="Q739"/>
    <mergeCell ref="G740"/>
    <mergeCell ref="M740"/>
    <mergeCell ref="X740"/>
    <mergeCell ref="E739"/>
    <mergeCell ref="F739"/>
    <mergeCell ref="K740"/>
    <mergeCell ref="V740"/>
    <mergeCell ref="H740"/>
    <mergeCell ref="P740"/>
    <mergeCell ref="L740"/>
    <mergeCell ref="J740"/>
    <mergeCell ref="I740"/>
    <mergeCell ref="T740"/>
    <mergeCell ref="Y740"/>
    <mergeCell ref="O740"/>
    <mergeCell ref="U740"/>
    <mergeCell ref="S740"/>
    <mergeCell ref="R740"/>
    <mergeCell ref="I745"/>
    <mergeCell ref="B747"/>
    <mergeCell ref="C747"/>
    <mergeCell ref="D747"/>
    <mergeCell ref="T723"/>
    <mergeCell ref="D723"/>
    <mergeCell ref="H707"/>
    <mergeCell ref="I707"/>
    <mergeCell ref="X704"/>
    <mergeCell ref="B709"/>
    <mergeCell ref="C709"/>
    <mergeCell ref="B723"/>
    <mergeCell ref="Y656"/>
    <mergeCell ref="Z777"/>
    <mergeCell ref="A777"/>
    <mergeCell ref="U781"/>
    <mergeCell ref="Y773"/>
    <mergeCell ref="F777"/>
    <mergeCell ref="T778"/>
    <mergeCell ref="R778"/>
    <mergeCell ref="A775"/>
    <mergeCell ref="B775"/>
    <mergeCell ref="W773"/>
    <mergeCell ref="V773"/>
    <mergeCell ref="O775"/>
    <mergeCell ref="G776"/>
    <mergeCell ref="I776"/>
    <mergeCell ref="J774"/>
    <mergeCell ref="F776"/>
    <mergeCell ref="N776"/>
    <mergeCell ref="H775"/>
    <mergeCell ref="N775"/>
    <mergeCell ref="J776"/>
    <mergeCell ref="Q776"/>
    <mergeCell ref="H776"/>
    <mergeCell ref="S776"/>
    <mergeCell ref="K776"/>
    <mergeCell ref="U776"/>
    <mergeCell ref="P776"/>
    <mergeCell ref="R776"/>
    <mergeCell ref="V776"/>
    <mergeCell ref="L776"/>
    <mergeCell ref="O776"/>
    <mergeCell ref="M776"/>
    <mergeCell ref="Z778"/>
    <mergeCell ref="Q778"/>
    <mergeCell ref="X778"/>
    <mergeCell ref="S778"/>
    <mergeCell ref="W778"/>
    <mergeCell ref="K777"/>
    <mergeCell ref="C778"/>
    <mergeCell ref="K778"/>
    <mergeCell ref="M778"/>
    <mergeCell ref="N778"/>
    <mergeCell ref="H773"/>
    <mergeCell ref="Q774"/>
    <mergeCell ref="G775"/>
    <mergeCell ref="E776"/>
    <mergeCell ref="Y775"/>
    <mergeCell ref="V775"/>
    <mergeCell ref="A776"/>
    <mergeCell ref="D776"/>
    <mergeCell ref="C776"/>
    <mergeCell ref="V774"/>
    <mergeCell ref="R774"/>
    <mergeCell ref="V780"/>
    <mergeCell ref="Z774"/>
    <mergeCell ref="G777"/>
    <mergeCell ref="L779"/>
    <mergeCell ref="M779"/>
    <mergeCell ref="N779"/>
    <mergeCell ref="Q777"/>
    <mergeCell ref="V778"/>
    <mergeCell ref="C777"/>
    <mergeCell ref="F778"/>
    <mergeCell ref="E778"/>
    <mergeCell ref="Y779"/>
    <mergeCell ref="Z757"/>
    <mergeCell ref="O759"/>
    <mergeCell ref="B759"/>
    <mergeCell ref="O757"/>
    <mergeCell ref="E759"/>
    <mergeCell ref="D758"/>
    <mergeCell ref="F759"/>
    <mergeCell ref="G759"/>
    <mergeCell ref="J735"/>
    <mergeCell ref="V734"/>
    <mergeCell ref="G736"/>
    <mergeCell ref="H736"/>
    <mergeCell ref="Q736"/>
    <mergeCell ref="A741"/>
    <mergeCell ref="A747"/>
    <mergeCell ref="W751"/>
    <mergeCell ref="S751"/>
    <mergeCell ref="P751"/>
    <mergeCell ref="B740"/>
    <mergeCell ref="X743"/>
    <mergeCell ref="K743"/>
    <mergeCell ref="V743"/>
    <mergeCell ref="K735"/>
    <mergeCell ref="K741"/>
    <mergeCell ref="X741"/>
    <mergeCell ref="K746"/>
    <mergeCell ref="Q744"/>
    <mergeCell ref="N737"/>
    <mergeCell ref="D737"/>
    <mergeCell ref="M739"/>
    <mergeCell ref="S739"/>
    <mergeCell ref="Y739"/>
    <mergeCell ref="X739"/>
    <mergeCell ref="W739"/>
    <mergeCell ref="V739"/>
    <mergeCell ref="P746"/>
    <mergeCell ref="O738"/>
    <mergeCell ref="J738"/>
    <mergeCell ref="O758"/>
    <mergeCell ref="Z751"/>
    <mergeCell ref="Z738"/>
    <mergeCell ref="Y758"/>
    <mergeCell ref="Z758"/>
    <mergeCell ref="P758"/>
    <mergeCell ref="W758"/>
    <mergeCell ref="X758"/>
    <mergeCell ref="M759"/>
    <mergeCell ref="O751"/>
    <mergeCell ref="D752"/>
    <mergeCell ref="E752"/>
    <mergeCell ref="I752"/>
    <mergeCell ref="A745"/>
    <mergeCell ref="B745"/>
    <mergeCell ref="R743"/>
    <mergeCell ref="T743"/>
    <mergeCell ref="N744"/>
    <mergeCell ref="T746"/>
    <mergeCell ref="J739"/>
    <mergeCell ref="A750"/>
    <mergeCell ref="A749"/>
    <mergeCell ref="Z756"/>
    <mergeCell ref="H757"/>
    <mergeCell ref="W756"/>
    <mergeCell ref="Z741"/>
    <mergeCell ref="Y760"/>
    <mergeCell ref="Y759"/>
    <mergeCell ref="B755"/>
    <mergeCell ref="X753"/>
    <mergeCell ref="N754"/>
    <mergeCell ref="M753"/>
    <mergeCell ref="G754"/>
    <mergeCell ref="H754"/>
    <mergeCell ref="I754"/>
    <mergeCell ref="H752"/>
    <mergeCell ref="P752"/>
    <mergeCell ref="B752"/>
    <mergeCell ref="Z759"/>
    <mergeCell ref="Q759"/>
    <mergeCell ref="V759"/>
    <mergeCell ref="S759"/>
    <mergeCell ref="X759"/>
    <mergeCell ref="F760"/>
    <mergeCell ref="G760"/>
    <mergeCell ref="M719"/>
    <mergeCell ref="L719"/>
    <mergeCell ref="W719"/>
    <mergeCell ref="L718"/>
    <mergeCell ref="T718"/>
    <mergeCell ref="K716"/>
    <mergeCell ref="L716"/>
    <mergeCell ref="A724"/>
    <mergeCell ref="B724"/>
    <mergeCell ref="K723"/>
    <mergeCell ref="V723"/>
    <mergeCell ref="R725"/>
    <mergeCell ref="L724"/>
    <mergeCell ref="C726"/>
    <mergeCell ref="K726"/>
    <mergeCell ref="T726"/>
    <mergeCell ref="O726"/>
    <mergeCell ref="M726"/>
    <mergeCell ref="I726"/>
    <mergeCell ref="R726"/>
    <mergeCell ref="A725"/>
    <mergeCell ref="B728"/>
    <mergeCell ref="X729"/>
    <mergeCell ref="P729"/>
    <mergeCell ref="T729"/>
    <mergeCell ref="S729"/>
    <mergeCell ref="R729"/>
    <mergeCell ref="Q729"/>
    <mergeCell ref="V729"/>
    <mergeCell ref="E727"/>
    <mergeCell ref="P727"/>
    <mergeCell ref="N727"/>
    <mergeCell ref="A752"/>
    <mergeCell ref="X749"/>
    <mergeCell ref="L752"/>
    <mergeCell ref="N752"/>
    <mergeCell ref="R752"/>
    <mergeCell ref="T752"/>
    <mergeCell ref="U752"/>
    <mergeCell ref="V752"/>
    <mergeCell ref="A723"/>
    <mergeCell ref="B737"/>
    <mergeCell ref="W736"/>
    <mergeCell ref="X752"/>
    <mergeCell ref="W752"/>
    <mergeCell ref="N704"/>
    <mergeCell ref="R704"/>
    <mergeCell ref="W705"/>
    <mergeCell ref="O704"/>
    <mergeCell ref="G705"/>
    <mergeCell ref="N705"/>
    <mergeCell ref="O705"/>
    <mergeCell ref="P705"/>
    <mergeCell ref="F761"/>
    <mergeCell ref="H761"/>
    <mergeCell ref="P718"/>
    <mergeCell ref="W718"/>
    <mergeCell ref="U718"/>
    <mergeCell ref="Q718"/>
    <mergeCell ref="R718"/>
    <mergeCell ref="S718"/>
    <mergeCell ref="G719"/>
    <mergeCell ref="M721"/>
    <mergeCell ref="I720"/>
    <mergeCell ref="H728"/>
    <mergeCell ref="R720"/>
    <mergeCell ref="G721"/>
    <mergeCell ref="F720"/>
    <mergeCell ref="L757"/>
    <mergeCell ref="J752"/>
    <mergeCell ref="T757"/>
    <mergeCell ref="Q760"/>
    <mergeCell ref="U760"/>
    <mergeCell ref="T760"/>
    <mergeCell ref="S760"/>
    <mergeCell ref="W760"/>
    <mergeCell ref="J761"/>
    <mergeCell ref="I713"/>
    <mergeCell ref="T713"/>
    <mergeCell ref="Q742"/>
    <mergeCell ref="T738"/>
    <mergeCell ref="O739"/>
    <mergeCell ref="M734"/>
    <mergeCell ref="G704"/>
    <mergeCell ref="P706"/>
    <mergeCell ref="P704"/>
    <mergeCell ref="F704"/>
    <mergeCell ref="Q704"/>
    <mergeCell ref="O728"/>
    <mergeCell ref="I730"/>
    <mergeCell ref="F731"/>
    <mergeCell ref="I731"/>
    <mergeCell ref="L720"/>
    <mergeCell ref="U753"/>
    <mergeCell ref="P753"/>
    <mergeCell ref="S754"/>
    <mergeCell ref="F755"/>
    <mergeCell ref="G755"/>
    <mergeCell ref="W757"/>
    <mergeCell ref="J742"/>
    <mergeCell ref="I742"/>
    <mergeCell ref="F742"/>
    <mergeCell ref="F747"/>
    <mergeCell ref="G747"/>
    <mergeCell ref="N742"/>
    <mergeCell ref="F743"/>
    <mergeCell ref="L741"/>
    <mergeCell ref="O753"/>
    <mergeCell ref="R751"/>
    <mergeCell ref="S719"/>
    <mergeCell ref="O719"/>
    <mergeCell ref="J750"/>
    <mergeCell ref="G751"/>
    <mergeCell ref="P742"/>
    <mergeCell ref="V742"/>
    <mergeCell ref="G732"/>
    <mergeCell ref="Q732"/>
    <mergeCell ref="W733"/>
    <mergeCell ref="N736"/>
    <mergeCell ref="U736"/>
    <mergeCell ref="O735"/>
    <mergeCell ref="T708"/>
    <mergeCell ref="A768"/>
    <mergeCell ref="A751"/>
    <mergeCell ref="A754"/>
    <mergeCell ref="F751"/>
    <mergeCell ref="E751"/>
    <mergeCell ref="B762"/>
    <mergeCell ref="K761"/>
    <mergeCell ref="P757"/>
    <mergeCell ref="D759"/>
    <mergeCell ref="U748"/>
    <mergeCell ref="D749"/>
    <mergeCell ref="O750"/>
    <mergeCell ref="T751"/>
    <mergeCell ref="L751"/>
    <mergeCell ref="F752"/>
    <mergeCell ref="G752"/>
    <mergeCell ref="J754"/>
    <mergeCell ref="W763"/>
    <mergeCell ref="Q762"/>
    <mergeCell ref="E763"/>
    <mergeCell ref="H768"/>
    <mergeCell ref="U767"/>
    <mergeCell ref="C758"/>
    <mergeCell ref="P767"/>
    <mergeCell ref="B761"/>
    <mergeCell ref="A765"/>
    <mergeCell ref="H763"/>
    <mergeCell ref="E750"/>
    <mergeCell ref="S753"/>
    <mergeCell ref="J733"/>
    <mergeCell ref="D714"/>
    <mergeCell ref="D717"/>
    <mergeCell ref="A718"/>
    <mergeCell ref="A708"/>
    <mergeCell ref="B708"/>
    <mergeCell ref="Q713"/>
    <mergeCell ref="C753"/>
    <mergeCell ref="D753"/>
    <mergeCell ref="D720"/>
    <mergeCell ref="C719"/>
    <mergeCell ref="A721"/>
    <mergeCell ref="A748"/>
    <mergeCell ref="C746"/>
    <mergeCell ref="O729"/>
    <mergeCell ref="D755"/>
    <mergeCell ref="D741"/>
    <mergeCell ref="E742"/>
    <mergeCell ref="E747"/>
    <mergeCell ref="P755"/>
    <mergeCell ref="C749"/>
    <mergeCell ref="B751"/>
    <mergeCell ref="X767"/>
    <mergeCell ref="T767"/>
    <mergeCell ref="R767"/>
    <mergeCell ref="I766"/>
    <mergeCell ref="S766"/>
    <mergeCell ref="M766"/>
    <mergeCell ref="P766"/>
    <mergeCell ref="D767"/>
    <mergeCell ref="B754"/>
    <mergeCell ref="C754"/>
    <mergeCell ref="C759"/>
    <mergeCell ref="M762"/>
    <mergeCell ref="G762"/>
    <mergeCell ref="O766"/>
    <mergeCell ref="G766"/>
    <mergeCell ref="M765"/>
    <mergeCell ref="F767"/>
    <mergeCell ref="G767"/>
    <mergeCell ref="H767"/>
    <mergeCell ref="E758"/>
    <mergeCell ref="P759"/>
    <mergeCell ref="R759"/>
    <mergeCell ref="T759"/>
    <mergeCell ref="D760"/>
    <mergeCell ref="E760"/>
    <mergeCell ref="A755"/>
    <mergeCell ref="X760"/>
    <mergeCell ref="F765"/>
    <mergeCell ref="N768"/>
    <mergeCell ref="W768"/>
    <mergeCell ref="R768"/>
    <mergeCell ref="A766"/>
    <mergeCell ref="S764"/>
    <mergeCell ref="V764"/>
    <mergeCell ref="T764"/>
    <mergeCell ref="X764"/>
    <mergeCell ref="H755"/>
    <mergeCell ref="A758"/>
    <mergeCell ref="B758"/>
    <mergeCell ref="V756"/>
    <mergeCell ref="C762"/>
    <mergeCell ref="H762"/>
    <mergeCell ref="S762"/>
    <mergeCell ref="N762"/>
    <mergeCell ref="L762"/>
    <mergeCell ref="X765"/>
    <mergeCell ref="X756"/>
    <mergeCell ref="R739"/>
    <mergeCell ref="E740"/>
    <mergeCell ref="F740"/>
    <mergeCell ref="I739"/>
    <mergeCell ref="N739"/>
    <mergeCell ref="L739"/>
    <mergeCell ref="P739"/>
    <mergeCell ref="I729"/>
    <mergeCell ref="G731"/>
    <mergeCell ref="S731"/>
    <mergeCell ref="Z715"/>
    <mergeCell ref="G716"/>
    <mergeCell ref="F714"/>
    <mergeCell ref="X714"/>
    <mergeCell ref="K715"/>
    <mergeCell ref="X712"/>
    <mergeCell ref="K712"/>
    <mergeCell ref="Z706"/>
    <mergeCell ref="Y706"/>
    <mergeCell ref="F706"/>
    <mergeCell ref="N706"/>
    <mergeCell ref="X706"/>
    <mergeCell ref="S706"/>
    <mergeCell ref="O723"/>
    <mergeCell ref="Z718"/>
    <mergeCell ref="S712"/>
    <mergeCell ref="E713"/>
    <mergeCell ref="Y713"/>
    <mergeCell ref="K714"/>
    <mergeCell ref="E715"/>
    <mergeCell ref="Y715"/>
    <mergeCell ref="N715"/>
    <mergeCell ref="X715"/>
    <mergeCell ref="F709"/>
    <mergeCell ref="Z735"/>
    <mergeCell ref="R734"/>
    <mergeCell ref="S735"/>
    <mergeCell ref="I735"/>
    <mergeCell ref="Y734"/>
    <mergeCell ref="K737"/>
    <mergeCell ref="S737"/>
    <mergeCell ref="L736"/>
    <mergeCell ref="X735"/>
    <mergeCell ref="Q737"/>
    <mergeCell ref="L713"/>
    <mergeCell ref="I717"/>
    <mergeCell ref="J717"/>
    <mergeCell ref="N719"/>
    <mergeCell ref="L715"/>
    <mergeCell ref="R715"/>
    <mergeCell ref="N714"/>
    <mergeCell ref="P738"/>
    <mergeCell ref="V738"/>
    <mergeCell ref="S738"/>
    <mergeCell ref="X738"/>
    <mergeCell ref="Q735"/>
    <mergeCell ref="N735"/>
    <mergeCell ref="F736"/>
    <mergeCell ref="S726"/>
    <mergeCell ref="Q726"/>
    <mergeCell ref="U726"/>
    <mergeCell ref="R736"/>
    <mergeCell ref="N708"/>
    <mergeCell ref="E717"/>
    <mergeCell ref="Z736"/>
    <mergeCell ref="U737"/>
    <mergeCell ref="U706"/>
    <mergeCell ref="R706"/>
    <mergeCell ref="K705"/>
    <mergeCell ref="G706"/>
    <mergeCell ref="H705"/>
    <mergeCell ref="T706"/>
    <mergeCell ref="K727"/>
    <mergeCell ref="K706"/>
    <mergeCell ref="V706"/>
    <mergeCell ref="Z727"/>
    <mergeCell ref="L705"/>
    <mergeCell ref="I709"/>
    <mergeCell ref="Y709"/>
    <mergeCell ref="N709"/>
    <mergeCell ref="P709"/>
    <mergeCell ref="Z709"/>
    <mergeCell ref="X720"/>
    <mergeCell ref="W721"/>
    <mergeCell ref="V721"/>
    <mergeCell ref="U721"/>
    <mergeCell ref="T721"/>
    <mergeCell ref="Z721"/>
    <mergeCell ref="Z710"/>
    <mergeCell ref="G734"/>
    <mergeCell ref="Y737"/>
    <mergeCell ref="Z711"/>
    <mergeCell ref="I705"/>
    <mergeCell ref="J706"/>
    <mergeCell ref="T705"/>
    <mergeCell ref="O707"/>
    <mergeCell ref="M706"/>
    <mergeCell ref="L706"/>
    <mergeCell ref="H706"/>
    <mergeCell ref="W715"/>
    <mergeCell ref="S715"/>
    <mergeCell ref="T715"/>
    <mergeCell ref="U715"/>
    <mergeCell ref="Q715"/>
    <mergeCell ref="P715"/>
    <mergeCell ref="H716"/>
    <mergeCell ref="M716"/>
    <mergeCell ref="R714"/>
    <mergeCell ref="R716"/>
    <mergeCell ref="P716"/>
    <mergeCell ref="O715"/>
    <mergeCell ref="U714"/>
    <mergeCell ref="M715"/>
    <mergeCell ref="I721"/>
    <mergeCell ref="X737"/>
    <mergeCell ref="M737"/>
    <mergeCell ref="V737"/>
    <mergeCell ref="R737"/>
    <mergeCell ref="T737"/>
    <mergeCell ref="Z737"/>
    <mergeCell ref="U708"/>
    <mergeCell ref="X708"/>
    <mergeCell ref="Q708"/>
    <mergeCell ref="J708"/>
    <mergeCell ref="Y718"/>
    <mergeCell ref="S716"/>
    <mergeCell ref="U716"/>
    <mergeCell ref="J719"/>
    <mergeCell ref="O696"/>
    <mergeCell ref="U696"/>
    <mergeCell ref="J722"/>
    <mergeCell ref="N721"/>
    <mergeCell ref="Q701"/>
    <mergeCell ref="P701"/>
    <mergeCell ref="O701"/>
    <mergeCell ref="H700"/>
    <mergeCell ref="U699"/>
    <mergeCell ref="Z700"/>
    <mergeCell ref="J701"/>
    <mergeCell ref="I700"/>
    <mergeCell ref="S700"/>
    <mergeCell ref="E699"/>
    <mergeCell ref="M699"/>
    <mergeCell ref="L699"/>
    <mergeCell ref="Z699"/>
    <mergeCell ref="E700"/>
    <mergeCell ref="V699"/>
    <mergeCell ref="W699"/>
    <mergeCell ref="G700"/>
    <mergeCell ref="L700"/>
    <mergeCell ref="U700"/>
    <mergeCell ref="P700"/>
    <mergeCell ref="N700"/>
    <mergeCell ref="O699"/>
    <mergeCell ref="U693"/>
    <mergeCell ref="U694"/>
    <mergeCell ref="N695"/>
    <mergeCell ref="W695"/>
    <mergeCell ref="T695"/>
    <mergeCell ref="Q698"/>
    <mergeCell ref="H698"/>
    <mergeCell ref="V697"/>
    <mergeCell ref="Y700"/>
    <mergeCell ref="W700"/>
    <mergeCell ref="O700"/>
    <mergeCell ref="P699"/>
    <mergeCell ref="X699"/>
    <mergeCell ref="T699"/>
    <mergeCell ref="R699"/>
    <mergeCell ref="K701"/>
    <mergeCell ref="X701"/>
    <mergeCell ref="Y701"/>
    <mergeCell ref="Z695"/>
    <mergeCell ref="P694"/>
    <mergeCell ref="N694"/>
    <mergeCell ref="L698"/>
    <mergeCell ref="W702"/>
    <mergeCell ref="M702"/>
    <mergeCell ref="F708"/>
    <mergeCell ref="R703"/>
    <mergeCell ref="J704"/>
    <mergeCell ref="Z697"/>
    <mergeCell ref="Z694"/>
    <mergeCell ref="Z693"/>
    <mergeCell ref="X703"/>
    <mergeCell ref="S702"/>
    <mergeCell ref="P702"/>
    <mergeCell ref="U702"/>
    <mergeCell ref="X702"/>
    <mergeCell ref="T698"/>
    <mergeCell ref="J693"/>
    <mergeCell ref="M704"/>
    <mergeCell ref="D692"/>
    <mergeCell ref="E692"/>
    <mergeCell ref="U689"/>
    <mergeCell ref="A690"/>
    <mergeCell ref="B690"/>
    <mergeCell ref="C690"/>
    <mergeCell ref="O689"/>
    <mergeCell ref="A694"/>
    <mergeCell ref="E690"/>
    <mergeCell ref="H691"/>
    <mergeCell ref="V691"/>
    <mergeCell ref="W690"/>
    <mergeCell ref="N690"/>
    <mergeCell ref="Q690"/>
    <mergeCell ref="L685"/>
    <mergeCell ref="B685"/>
    <mergeCell ref="C685"/>
    <mergeCell ref="L687"/>
    <mergeCell ref="V687"/>
    <mergeCell ref="D688"/>
    <mergeCell ref="R691"/>
    <mergeCell ref="P691"/>
    <mergeCell ref="K691"/>
    <mergeCell ref="N692"/>
    <mergeCell ref="W693"/>
    <mergeCell ref="O693"/>
    <mergeCell ref="T693"/>
    <mergeCell ref="C694"/>
    <mergeCell ref="V693"/>
    <mergeCell ref="G694"/>
    <mergeCell ref="H694"/>
    <mergeCell ref="L695"/>
    <mergeCell ref="I685"/>
    <mergeCell ref="O685"/>
    <mergeCell ref="M685"/>
    <mergeCell ref="C686"/>
    <mergeCell ref="D686"/>
    <mergeCell ref="P685"/>
    <mergeCell ref="R685"/>
    <mergeCell ref="C687"/>
    <mergeCell ref="O686"/>
    <mergeCell ref="O688"/>
    <mergeCell ref="L689"/>
    <mergeCell ref="K689"/>
    <mergeCell ref="J689"/>
    <mergeCell ref="P687"/>
    <mergeCell ref="U688"/>
    <mergeCell ref="N689"/>
    <mergeCell ref="I689"/>
    <mergeCell ref="W685"/>
    <mergeCell ref="U685"/>
    <mergeCell ref="Q685"/>
    <mergeCell ref="S685"/>
    <mergeCell ref="S671"/>
    <mergeCell ref="G672"/>
    <mergeCell ref="H672"/>
    <mergeCell ref="S672"/>
    <mergeCell ref="O668"/>
    <mergeCell ref="I668"/>
    <mergeCell ref="V669"/>
    <mergeCell ref="J670"/>
    <mergeCell ref="K670"/>
    <mergeCell ref="L670"/>
    <mergeCell ref="W667"/>
    <mergeCell ref="K669"/>
    <mergeCell ref="T669"/>
    <mergeCell ref="O669"/>
    <mergeCell ref="L663"/>
    <mergeCell ref="O663"/>
    <mergeCell ref="E663"/>
    <mergeCell ref="K663"/>
    <mergeCell ref="G663"/>
    <mergeCell ref="M663"/>
    <mergeCell ref="C663"/>
    <mergeCell ref="G648"/>
    <mergeCell ref="R648"/>
    <mergeCell ref="E648"/>
    <mergeCell ref="K645"/>
    <mergeCell ref="T645"/>
    <mergeCell ref="T652"/>
    <mergeCell ref="O653"/>
    <mergeCell ref="I670"/>
    <mergeCell ref="V655"/>
    <mergeCell ref="Y692"/>
    <mergeCell ref="U692"/>
    <mergeCell ref="S692"/>
    <mergeCell ref="O656"/>
    <mergeCell ref="U656"/>
    <mergeCell ref="Q656"/>
    <mergeCell ref="W656"/>
    <mergeCell ref="D674"/>
    <mergeCell ref="I648"/>
    <mergeCell ref="T648"/>
    <mergeCell ref="G647"/>
    <mergeCell ref="Q647"/>
    <mergeCell ref="W647"/>
    <mergeCell ref="R647"/>
    <mergeCell ref="S647"/>
    <mergeCell ref="T647"/>
    <mergeCell ref="U647"/>
    <mergeCell ref="O647"/>
    <mergeCell ref="X647"/>
    <mergeCell ref="X683"/>
    <mergeCell ref="G675"/>
    <mergeCell ref="I675"/>
    <mergeCell ref="C675"/>
    <mergeCell ref="X673"/>
    <mergeCell ref="N673"/>
    <mergeCell ref="V672"/>
    <mergeCell ref="Y673"/>
    <mergeCell ref="X684"/>
    <mergeCell ref="O684"/>
    <mergeCell ref="W684"/>
    <mergeCell ref="Q684"/>
    <mergeCell ref="S684"/>
    <mergeCell ref="C678"/>
    <mergeCell ref="G678"/>
    <mergeCell ref="A612"/>
    <mergeCell ref="A617"/>
    <mergeCell ref="W613"/>
    <mergeCell ref="I615"/>
    <mergeCell ref="F616"/>
    <mergeCell ref="K617"/>
    <mergeCell ref="J617"/>
    <mergeCell ref="G617"/>
    <mergeCell ref="H617"/>
    <mergeCell ref="E617"/>
    <mergeCell ref="P615"/>
    <mergeCell ref="C617"/>
    <mergeCell ref="P623"/>
    <mergeCell ref="T621"/>
    <mergeCell ref="X622"/>
    <mergeCell ref="Y621"/>
    <mergeCell ref="D623"/>
    <mergeCell ref="O623"/>
    <mergeCell ref="A624"/>
    <mergeCell ref="B624"/>
    <mergeCell ref="J621"/>
    <mergeCell ref="B622"/>
    <mergeCell ref="O616"/>
    <mergeCell ref="W616"/>
    <mergeCell ref="H615"/>
    <mergeCell ref="O659"/>
    <mergeCell ref="D661"/>
    <mergeCell ref="X661"/>
    <mergeCell ref="L661"/>
    <mergeCell ref="V661"/>
    <mergeCell ref="R661"/>
    <mergeCell ref="T661"/>
    <mergeCell ref="G658"/>
    <mergeCell ref="H658"/>
    <mergeCell ref="F659"/>
    <mergeCell ref="Q661"/>
    <mergeCell ref="N627"/>
    <mergeCell ref="C628"/>
    <mergeCell ref="D628"/>
    <mergeCell ref="B612"/>
    <mergeCell ref="C612"/>
    <mergeCell ref="E619"/>
    <mergeCell ref="M614"/>
    <mergeCell ref="T613"/>
    <mergeCell ref="G627"/>
    <mergeCell ref="I624"/>
    <mergeCell ref="P625"/>
    <mergeCell ref="G615"/>
    <mergeCell ref="E624"/>
    <mergeCell ref="K629"/>
    <mergeCell ref="Y629"/>
    <mergeCell ref="K630"/>
    <mergeCell ref="D637"/>
    <mergeCell ref="M637"/>
    <mergeCell ref="X637"/>
    <mergeCell ref="U636"/>
    <mergeCell ref="M636"/>
    <mergeCell ref="S636"/>
    <mergeCell ref="O636"/>
    <mergeCell ref="R636"/>
    <mergeCell ref="K634"/>
    <mergeCell ref="G635"/>
    <mergeCell ref="N635"/>
    <mergeCell ref="E636"/>
    <mergeCell ref="Z641"/>
    <mergeCell ref="L642"/>
    <mergeCell ref="Z642"/>
    <mergeCell ref="Z634"/>
    <mergeCell ref="Z639"/>
    <mergeCell ref="L630"/>
    <mergeCell ref="I631"/>
    <mergeCell ref="J631"/>
    <mergeCell ref="L633"/>
    <mergeCell ref="Z637"/>
    <mergeCell ref="L638"/>
    <mergeCell ref="W633"/>
    <mergeCell ref="I642"/>
    <mergeCell ref="J642"/>
    <mergeCell ref="F623"/>
    <mergeCell ref="Q623"/>
    <mergeCell ref="L623"/>
    <mergeCell ref="N622"/>
    <mergeCell ref="U623"/>
    <mergeCell ref="Z620"/>
    <mergeCell ref="Z617"/>
    <mergeCell ref="Z621"/>
    <mergeCell ref="R624"/>
    <mergeCell ref="Z632"/>
    <mergeCell ref="Z627"/>
    <mergeCell ref="L628"/>
    <mergeCell ref="K627"/>
    <mergeCell ref="U627"/>
    <mergeCell ref="P627"/>
    <mergeCell ref="R627"/>
    <mergeCell ref="Y631"/>
    <mergeCell ref="Z631"/>
    <mergeCell ref="I632"/>
    <mergeCell ref="U631"/>
    <mergeCell ref="P622"/>
    <mergeCell ref="Q622"/>
    <mergeCell ref="R622"/>
    <mergeCell ref="S622"/>
    <mergeCell ref="T622"/>
    <mergeCell ref="S624"/>
    <mergeCell ref="J623"/>
    <mergeCell ref="Z636"/>
    <mergeCell ref="F626"/>
    <mergeCell ref="G632"/>
    <mergeCell ref="H632"/>
    <mergeCell ref="Y617"/>
    <mergeCell ref="I617"/>
    <mergeCell ref="T625"/>
    <mergeCell ref="H631"/>
    <mergeCell ref="Y634"/>
    <mergeCell ref="F619"/>
    <mergeCell ref="H619"/>
    <mergeCell ref="O618"/>
    <mergeCell ref="V619"/>
    <mergeCell ref="W618"/>
    <mergeCell ref="X625"/>
    <mergeCell ref="Y865"/>
    <mergeCell ref="T864"/>
    <mergeCell ref="I865"/>
    <mergeCell ref="H864"/>
    <mergeCell ref="Z852"/>
    <mergeCell ref="Z853"/>
    <mergeCell ref="Z848"/>
    <mergeCell ref="W856"/>
    <mergeCell ref="B623"/>
    <mergeCell ref="B625"/>
    <mergeCell ref="J618"/>
    <mergeCell ref="K618"/>
    <mergeCell ref="L618"/>
    <mergeCell ref="A616"/>
    <mergeCell ref="B616"/>
    <mergeCell ref="C616"/>
    <mergeCell ref="D616"/>
    <mergeCell ref="E616"/>
    <mergeCell ref="R616"/>
    <mergeCell ref="V616"/>
    <mergeCell ref="S616"/>
    <mergeCell ref="X616"/>
    <mergeCell ref="L615"/>
    <mergeCell ref="X615"/>
    <mergeCell ref="V615"/>
    <mergeCell ref="N615"/>
    <mergeCell ref="I616"/>
    <mergeCell ref="J616"/>
    <mergeCell ref="K616"/>
    <mergeCell ref="M616"/>
    <mergeCell ref="S615"/>
    <mergeCell ref="M615"/>
    <mergeCell ref="L616"/>
    <mergeCell ref="U615"/>
    <mergeCell ref="W615"/>
    <mergeCell ref="P616"/>
    <mergeCell ref="A621"/>
    <mergeCell ref="G622"/>
    <mergeCell ref="C622"/>
    <mergeCell ref="D622"/>
    <mergeCell ref="E622"/>
    <mergeCell ref="F622"/>
    <mergeCell ref="A622"/>
    <mergeCell ref="E620"/>
    <mergeCell ref="C624"/>
    <mergeCell ref="L625"/>
    <mergeCell ref="K625"/>
    <mergeCell ref="I625"/>
    <mergeCell ref="W625"/>
    <mergeCell ref="B617"/>
    <mergeCell ref="B619"/>
    <mergeCell ref="A615"/>
    <mergeCell ref="A618"/>
    <mergeCell ref="B621"/>
    <mergeCell ref="B620"/>
    <mergeCell ref="A620"/>
    <mergeCell ref="A623"/>
    <mergeCell ref="D624"/>
    <mergeCell ref="C623"/>
    <mergeCell ref="X623"/>
    <mergeCell ref="M623"/>
    <mergeCell ref="R672"/>
    <mergeCell ref="E672"/>
    <mergeCell ref="J671"/>
    <mergeCell ref="Z839"/>
    <mergeCell ref="Q838"/>
    <mergeCell ref="W840"/>
    <mergeCell ref="M840"/>
    <mergeCell ref="F848"/>
    <mergeCell ref="M848"/>
    <mergeCell ref="J848"/>
    <mergeCell ref="H848"/>
    <mergeCell ref="Q840"/>
    <mergeCell ref="O840"/>
    <mergeCell ref="R840"/>
    <mergeCell ref="S840"/>
    <mergeCell ref="U840"/>
    <mergeCell ref="J840"/>
    <mergeCell ref="V840"/>
    <mergeCell ref="O819"/>
    <mergeCell ref="H819"/>
    <mergeCell ref="M819"/>
    <mergeCell ref="L819"/>
    <mergeCell ref="K819"/>
    <mergeCell ref="C820"/>
    <mergeCell ref="B819"/>
    <mergeCell ref="C815"/>
    <mergeCell ref="Y859"/>
    <mergeCell ref="T858"/>
    <mergeCell ref="H859"/>
    <mergeCell ref="J859"/>
    <mergeCell ref="U859"/>
    <mergeCell ref="E847"/>
    <mergeCell ref="M847"/>
    <mergeCell ref="W847"/>
    <mergeCell ref="H847"/>
    <mergeCell ref="S847"/>
    <mergeCell ref="N847"/>
    <mergeCell ref="Y847"/>
    <mergeCell ref="Z847"/>
    <mergeCell ref="P847"/>
    <mergeCell ref="V847"/>
    <mergeCell ref="Q847"/>
    <mergeCell ref="R847"/>
    <mergeCell ref="T847"/>
    <mergeCell ref="O859"/>
    <mergeCell ref="M851"/>
    <mergeCell ref="R850"/>
    <mergeCell ref="R858"/>
    <mergeCell ref="S858"/>
    <mergeCell ref="M857"/>
    <mergeCell ref="V857"/>
    <mergeCell ref="F849"/>
    <mergeCell ref="J849"/>
    <mergeCell ref="L848"/>
    <mergeCell ref="H849"/>
    <mergeCell ref="S849"/>
    <mergeCell ref="Y849"/>
    <mergeCell ref="T849"/>
    <mergeCell ref="R849"/>
    <mergeCell ref="J850"/>
    <mergeCell ref="Z857"/>
    <mergeCell ref="P858"/>
    <mergeCell ref="Z858"/>
    <mergeCell ref="Y828"/>
    <mergeCell ref="T829"/>
    <mergeCell ref="S828"/>
    <mergeCell ref="W829"/>
    <mergeCell ref="Z802"/>
    <mergeCell ref="Z795"/>
    <mergeCell ref="F796"/>
    <mergeCell ref="D797"/>
    <mergeCell ref="Y796"/>
    <mergeCell ref="N794"/>
    <mergeCell ref="W798"/>
    <mergeCell ref="D796"/>
    <mergeCell ref="N806"/>
    <mergeCell ref="U805"/>
    <mergeCell ref="F806"/>
    <mergeCell ref="D804"/>
    <mergeCell ref="E793"/>
    <mergeCell ref="M800"/>
    <mergeCell ref="M795"/>
    <mergeCell ref="W795"/>
    <mergeCell ref="Q795"/>
    <mergeCell ref="X798"/>
    <mergeCell ref="O798"/>
    <mergeCell ref="X797"/>
    <mergeCell ref="M798"/>
    <mergeCell ref="N798"/>
    <mergeCell ref="T797"/>
    <mergeCell ref="K817"/>
    <mergeCell ref="T808"/>
    <mergeCell ref="P809"/>
    <mergeCell ref="V809"/>
    <mergeCell ref="W809"/>
    <mergeCell ref="X809"/>
    <mergeCell ref="Y809"/>
    <mergeCell ref="Z809"/>
    <mergeCell ref="Z805"/>
    <mergeCell ref="Z803"/>
    <mergeCell ref="Z804"/>
    <mergeCell ref="H815"/>
    <mergeCell ref="S815"/>
    <mergeCell ref="F816"/>
    <mergeCell ref="G816"/>
    <mergeCell ref="E817"/>
    <mergeCell ref="F797"/>
    <mergeCell ref="G797"/>
    <mergeCell ref="D794"/>
    <mergeCell ref="Z807"/>
    <mergeCell ref="N809"/>
    <mergeCell ref="G810"/>
    <mergeCell ref="I810"/>
    <mergeCell ref="H810"/>
    <mergeCell ref="M802"/>
    <mergeCell ref="D802"/>
    <mergeCell ref="E813"/>
    <mergeCell ref="F813"/>
    <mergeCell ref="U815"/>
    <mergeCell ref="H816"/>
    <mergeCell ref="D814"/>
    <mergeCell ref="Q814"/>
    <mergeCell ref="G812"/>
    <mergeCell ref="P794"/>
    <mergeCell ref="Y798"/>
    <mergeCell ref="Z816"/>
    <mergeCell ref="T795"/>
    <mergeCell ref="P796"/>
    <mergeCell ref="X816"/>
    <mergeCell ref="U816"/>
    <mergeCell ref="T816"/>
    <mergeCell ref="Z818"/>
    <mergeCell ref="E819"/>
    <mergeCell ref="M817"/>
    <mergeCell ref="R815"/>
    <mergeCell ref="R817"/>
    <mergeCell ref="P817"/>
    <mergeCell ref="N816"/>
    <mergeCell ref="I818"/>
    <mergeCell ref="J818"/>
    <mergeCell ref="X817"/>
    <mergeCell ref="Z812"/>
    <mergeCell ref="N813"/>
    <mergeCell ref="Y812"/>
    <mergeCell ref="C813"/>
    <mergeCell ref="T814"/>
    <mergeCell ref="L814"/>
    <mergeCell ref="C819"/>
    <mergeCell ref="Q818"/>
    <mergeCell ref="B818"/>
    <mergeCell ref="V817"/>
    <mergeCell ref="D820"/>
    <mergeCell ref="E820"/>
    <mergeCell ref="A816"/>
    <mergeCell ref="B816"/>
    <mergeCell ref="C816"/>
    <mergeCell ref="W815"/>
    <mergeCell ref="R816"/>
    <mergeCell ref="G821"/>
    <mergeCell ref="F822"/>
    <mergeCell ref="D821"/>
    <mergeCell ref="T818"/>
    <mergeCell ref="H821"/>
    <mergeCell ref="B817"/>
    <mergeCell ref="M814"/>
    <mergeCell ref="E814"/>
    <mergeCell ref="I814"/>
    <mergeCell ref="G814"/>
    <mergeCell ref="S816"/>
    <mergeCell ref="W816"/>
    <mergeCell ref="D817"/>
    <mergeCell ref="J815"/>
    <mergeCell ref="F820"/>
    <mergeCell ref="O820"/>
    <mergeCell ref="E815"/>
    <mergeCell ref="M815"/>
    <mergeCell ref="I815"/>
    <mergeCell ref="G815"/>
    <mergeCell ref="S814"/>
    <mergeCell ref="D815"/>
    <mergeCell ref="V816"/>
    <mergeCell ref="L817"/>
    <mergeCell ref="C812"/>
    <mergeCell ref="B815"/>
    <mergeCell ref="M812"/>
    <mergeCell ref="N812"/>
    <mergeCell ref="G813"/>
    <mergeCell ref="O814"/>
    <mergeCell ref="C780"/>
    <mergeCell ref="V791"/>
    <mergeCell ref="V788"/>
    <mergeCell ref="J791"/>
    <mergeCell ref="D791"/>
    <mergeCell ref="O791"/>
    <mergeCell ref="F791"/>
    <mergeCell ref="A822"/>
    <mergeCell ref="I820"/>
    <mergeCell ref="U820"/>
    <mergeCell ref="I821"/>
    <mergeCell ref="J821"/>
    <mergeCell ref="K821"/>
    <mergeCell ref="L821"/>
    <mergeCell ref="O821"/>
    <mergeCell ref="T820"/>
    <mergeCell ref="U821"/>
    <mergeCell ref="X820"/>
    <mergeCell ref="Q821"/>
    <mergeCell ref="P820"/>
    <mergeCell ref="M820"/>
    <mergeCell ref="C822"/>
    <mergeCell ref="L813"/>
    <mergeCell ref="S813"/>
    <mergeCell ref="T813"/>
    <mergeCell ref="Q813"/>
    <mergeCell ref="P813"/>
    <mergeCell ref="R813"/>
    <mergeCell ref="A814"/>
    <mergeCell ref="A815"/>
    <mergeCell ref="X811"/>
    <mergeCell ref="Q812"/>
    <mergeCell ref="P811"/>
    <mergeCell ref="B820"/>
    <mergeCell ref="B786"/>
    <mergeCell ref="A785"/>
    <mergeCell ref="A786"/>
    <mergeCell ref="F785"/>
    <mergeCell ref="E785"/>
    <mergeCell ref="D785"/>
    <mergeCell ref="C785"/>
    <mergeCell ref="B785"/>
    <mergeCell ref="A787"/>
    <mergeCell ref="B787"/>
    <mergeCell ref="E805"/>
    <mergeCell ref="H805"/>
    <mergeCell ref="J811"/>
    <mergeCell ref="U811"/>
    <mergeCell ref="S811"/>
    <mergeCell ref="N811"/>
    <mergeCell ref="Q779"/>
    <mergeCell ref="U778"/>
    <mergeCell ref="S779"/>
    <mergeCell ref="T779"/>
    <mergeCell ref="V783"/>
    <mergeCell ref="H785"/>
    <mergeCell ref="G784"/>
    <mergeCell ref="X782"/>
    <mergeCell ref="O782"/>
    <mergeCell ref="R782"/>
    <mergeCell ref="Q782"/>
    <mergeCell ref="V782"/>
    <mergeCell ref="Y782"/>
    <mergeCell ref="E770"/>
    <mergeCell ref="Q770"/>
    <mergeCell ref="P772"/>
    <mergeCell ref="O790"/>
    <mergeCell ref="V790"/>
    <mergeCell ref="C791"/>
    <mergeCell ref="Y791"/>
    <mergeCell ref="M792"/>
    <mergeCell ref="V792"/>
    <mergeCell ref="N792"/>
    <mergeCell ref="O792"/>
    <mergeCell ref="P792"/>
    <mergeCell ref="E765"/>
    <mergeCell ref="X789"/>
    <mergeCell ref="Q789"/>
    <mergeCell ref="S789"/>
    <mergeCell ref="Y770"/>
    <mergeCell ref="N771"/>
    <mergeCell ref="Y771"/>
    <mergeCell ref="E783"/>
    <mergeCell ref="D781"/>
    <mergeCell ref="E781"/>
    <mergeCell ref="S784"/>
    <mergeCell ref="R784"/>
    <mergeCell ref="U784"/>
    <mergeCell ref="V784"/>
    <mergeCell ref="W784"/>
    <mergeCell ref="C784"/>
    <mergeCell ref="L784"/>
    <mergeCell ref="T784"/>
    <mergeCell ref="Q784"/>
    <mergeCell ref="S769"/>
    <mergeCell ref="U769"/>
    <mergeCell ref="D771"/>
    <mergeCell ref="C770"/>
    <mergeCell ref="F771"/>
    <mergeCell ref="E771"/>
    <mergeCell ref="K768"/>
    <mergeCell ref="S768"/>
    <mergeCell ref="C765"/>
    <mergeCell ref="K787"/>
    <mergeCell ref="J786"/>
    <mergeCell ref="J787"/>
    <mergeCell ref="I778"/>
    <mergeCell ref="K765"/>
    <mergeCell ref="H765"/>
    <mergeCell ref="T765"/>
    <mergeCell ref="R765"/>
    <mergeCell ref="N765"/>
    <mergeCell ref="C769"/>
    <mergeCell ref="T774"/>
    <mergeCell ref="C781"/>
    <mergeCell ref="S782"/>
    <mergeCell ref="M782"/>
    <mergeCell ref="L782"/>
    <mergeCell ref="K782"/>
    <mergeCell ref="B793"/>
    <mergeCell ref="G793"/>
    <mergeCell ref="Z783"/>
    <mergeCell ref="N784"/>
    <mergeCell ref="I785"/>
    <mergeCell ref="V785"/>
    <mergeCell ref="D770"/>
    <mergeCell ref="M770"/>
    <mergeCell ref="F770"/>
    <mergeCell ref="J770"/>
    <mergeCell ref="N769"/>
    <mergeCell ref="B770"/>
    <mergeCell ref="M764"/>
    <mergeCell ref="L764"/>
    <mergeCell ref="O763"/>
    <mergeCell ref="L763"/>
    <mergeCell ref="G763"/>
    <mergeCell ref="R763"/>
    <mergeCell ref="F764"/>
    <mergeCell ref="G764"/>
    <mergeCell ref="I763"/>
    <mergeCell ref="T763"/>
    <mergeCell ref="H764"/>
    <mergeCell ref="I764"/>
    <mergeCell ref="K764"/>
    <mergeCell ref="D787"/>
    <mergeCell ref="E787"/>
    <mergeCell ref="L789"/>
    <mergeCell ref="E789"/>
    <mergeCell ref="G789"/>
    <mergeCell ref="K789"/>
    <mergeCell ref="K772"/>
    <mergeCell ref="L771"/>
    <mergeCell ref="J771"/>
    <mergeCell ref="G774"/>
    <mergeCell ref="O787"/>
    <mergeCell ref="C783"/>
    <mergeCell ref="C786"/>
    <mergeCell ref="D786"/>
    <mergeCell ref="E786"/>
    <mergeCell ref="F786"/>
    <mergeCell ref="C787"/>
    <mergeCell ref="T789"/>
    <mergeCell ref="J789"/>
    <mergeCell ref="J784"/>
    <mergeCell ref="G786"/>
    <mergeCell ref="Q787"/>
    <mergeCell ref="V787"/>
    <mergeCell ref="S786"/>
    <mergeCell ref="J783"/>
    <mergeCell ref="H784"/>
    <mergeCell ref="L785"/>
    <mergeCell ref="O785"/>
    <mergeCell ref="X785"/>
    <mergeCell ref="S785"/>
    <mergeCell ref="Q785"/>
    <mergeCell ref="K784"/>
    <mergeCell ref="J788"/>
    <mergeCell ref="Z785"/>
    <mergeCell ref="K806"/>
    <mergeCell ref="V796"/>
    <mergeCell ref="J795"/>
    <mergeCell ref="O795"/>
    <mergeCell ref="L794"/>
    <mergeCell ref="N789"/>
    <mergeCell ref="U789"/>
    <mergeCell ref="B783"/>
    <mergeCell ref="D783"/>
    <mergeCell ref="O781"/>
    <mergeCell ref="A801"/>
    <mergeCell ref="Q786"/>
    <mergeCell ref="B790"/>
    <mergeCell ref="I790"/>
    <mergeCell ref="J790"/>
    <mergeCell ref="K790"/>
    <mergeCell ref="L790"/>
    <mergeCell ref="M790"/>
    <mergeCell ref="E791"/>
    <mergeCell ref="G791"/>
    <mergeCell ref="K791"/>
    <mergeCell ref="P788"/>
    <mergeCell ref="T788"/>
    <mergeCell ref="S788"/>
    <mergeCell ref="R788"/>
    <mergeCell ref="H789"/>
    <mergeCell ref="L786"/>
    <mergeCell ref="B788"/>
    <mergeCell ref="I789"/>
    <mergeCell ref="S790"/>
    <mergeCell ref="I791"/>
    <mergeCell ref="R791"/>
    <mergeCell ref="R787"/>
    <mergeCell ref="P786"/>
    <mergeCell ref="F787"/>
    <mergeCell ref="G787"/>
    <mergeCell ref="N786"/>
    <mergeCell ref="M786"/>
    <mergeCell ref="I787"/>
    <mergeCell ref="H786"/>
    <mergeCell ref="M787"/>
    <mergeCell ref="N787"/>
    <mergeCell ref="O788"/>
    <mergeCell ref="G788"/>
    <mergeCell ref="R789"/>
    <mergeCell ref="C793"/>
    <mergeCell ref="S792"/>
    <mergeCell ref="R795"/>
    <mergeCell ref="N795"/>
    <mergeCell ref="G796"/>
    <mergeCell ref="H794"/>
    <mergeCell ref="R794"/>
    <mergeCell ref="A789"/>
    <mergeCell ref="A790"/>
    <mergeCell ref="A792"/>
    <mergeCell ref="O793"/>
    <mergeCell ref="C788"/>
    <mergeCell ref="I788"/>
    <mergeCell ref="R796"/>
    <mergeCell ref="C792"/>
    <mergeCell ref="B792"/>
    <mergeCell ref="H792"/>
    <mergeCell ref="F789"/>
    <mergeCell ref="L787"/>
    <mergeCell ref="Z791"/>
    <mergeCell ref="X791"/>
    <mergeCell ref="W791"/>
    <mergeCell ref="L793"/>
    <mergeCell ref="I793"/>
    <mergeCell ref="G792"/>
    <mergeCell ref="M793"/>
    <mergeCell ref="P795"/>
    <mergeCell ref="U786"/>
    <mergeCell ref="L796"/>
    <mergeCell ref="Q788"/>
    <mergeCell ref="Q794"/>
    <mergeCell ref="U794"/>
    <mergeCell ref="O794"/>
    <mergeCell ref="Q793"/>
    <mergeCell ref="F792"/>
    <mergeCell ref="D784"/>
    <mergeCell ref="P793"/>
    <mergeCell ref="A800"/>
    <mergeCell ref="M806"/>
    <mergeCell ref="T794"/>
    <mergeCell ref="J794"/>
    <mergeCell ref="Y807"/>
    <mergeCell ref="U798"/>
    <mergeCell ref="S798"/>
    <mergeCell ref="V798"/>
    <mergeCell ref="Q798"/>
    <mergeCell ref="S799"/>
    <mergeCell ref="W799"/>
    <mergeCell ref="O797"/>
    <mergeCell ref="X795"/>
    <mergeCell ref="E797"/>
    <mergeCell ref="O796"/>
    <mergeCell ref="L795"/>
    <mergeCell ref="A784"/>
    <mergeCell ref="B784"/>
    <mergeCell ref="Z796"/>
    <mergeCell ref="U796"/>
    <mergeCell ref="W796"/>
    <mergeCell ref="J802"/>
    <mergeCell ref="T802"/>
    <mergeCell ref="O802"/>
    <mergeCell ref="N802"/>
    <mergeCell ref="K803"/>
    <mergeCell ref="V803"/>
    <mergeCell ref="Z797"/>
    <mergeCell ref="Z794"/>
    <mergeCell ref="U803"/>
    <mergeCell ref="C804"/>
    <mergeCell ref="X804"/>
    <mergeCell ref="B805"/>
    <mergeCell ref="W804"/>
    <mergeCell ref="R805"/>
    <mergeCell ref="Y805"/>
    <mergeCell ref="B798"/>
    <mergeCell ref="F799"/>
    <mergeCell ref="E799"/>
    <mergeCell ref="T799"/>
    <mergeCell ref="Y797"/>
    <mergeCell ref="H797"/>
    <mergeCell ref="B804"/>
    <mergeCell ref="K793"/>
    <mergeCell ref="U793"/>
    <mergeCell ref="J793"/>
    <mergeCell ref="T787"/>
    <mergeCell ref="U787"/>
    <mergeCell ref="E788"/>
    <mergeCell ref="D780"/>
    <mergeCell ref="E780"/>
    <mergeCell ref="F780"/>
    <mergeCell ref="P781"/>
    <mergeCell ref="M794"/>
    <mergeCell ref="W794"/>
    <mergeCell ref="V794"/>
    <mergeCell ref="S794"/>
    <mergeCell ref="P801"/>
    <mergeCell ref="W800"/>
    <mergeCell ref="U801"/>
    <mergeCell ref="V801"/>
    <mergeCell ref="W801"/>
    <mergeCell ref="X801"/>
    <mergeCell ref="Y801"/>
    <mergeCell ref="G801"/>
    <mergeCell ref="S781"/>
    <mergeCell ref="H795"/>
    <mergeCell ref="I795"/>
    <mergeCell ref="Q796"/>
    <mergeCell ref="T796"/>
    <mergeCell ref="S796"/>
    <mergeCell ref="I797"/>
    <mergeCell ref="N797"/>
    <mergeCell ref="I798"/>
    <mergeCell ref="J798"/>
    <mergeCell ref="M796"/>
    <mergeCell ref="L797"/>
    <mergeCell ref="K796"/>
    <mergeCell ref="M797"/>
    <mergeCell ref="I792"/>
    <mergeCell ref="J792"/>
    <mergeCell ref="K792"/>
    <mergeCell ref="L792"/>
    <mergeCell ref="V781"/>
    <mergeCell ref="S793"/>
    <mergeCell ref="R793"/>
    <mergeCell ref="N793"/>
    <mergeCell ref="S795"/>
    <mergeCell ref="F793"/>
    <mergeCell ref="A795"/>
    <mergeCell ref="H793"/>
    <mergeCell ref="T793"/>
    <mergeCell ref="V793"/>
    <mergeCell ref="W793"/>
    <mergeCell ref="X793"/>
    <mergeCell ref="Y793"/>
    <mergeCell ref="C797"/>
    <mergeCell ref="Y808"/>
    <mergeCell ref="Z808"/>
    <mergeCell ref="F809"/>
    <mergeCell ref="G809"/>
    <mergeCell ref="X808"/>
    <mergeCell ref="N808"/>
    <mergeCell ref="V808"/>
    <mergeCell ref="R808"/>
    <mergeCell ref="U808"/>
    <mergeCell ref="A809"/>
    <mergeCell ref="C808"/>
    <mergeCell ref="D808"/>
    <mergeCell ref="E808"/>
    <mergeCell ref="K808"/>
    <mergeCell ref="H809"/>
    <mergeCell ref="Z806"/>
    <mergeCell ref="F807"/>
    <mergeCell ref="Z799"/>
    <mergeCell ref="Z793"/>
    <mergeCell ref="Q797"/>
    <mergeCell ref="Z800"/>
    <mergeCell ref="Q801"/>
    <mergeCell ref="P800"/>
    <mergeCell ref="Z801"/>
    <mergeCell ref="Q800"/>
    <mergeCell ref="B802"/>
    <mergeCell ref="K801"/>
    <mergeCell ref="E802"/>
    <mergeCell ref="I802"/>
    <mergeCell ref="G802"/>
    <mergeCell ref="T807"/>
    <mergeCell ref="A804"/>
    <mergeCell ref="A802"/>
    <mergeCell ref="I801"/>
    <mergeCell ref="D803"/>
    <mergeCell ref="E803"/>
    <mergeCell ref="F803"/>
    <mergeCell ref="V802"/>
    <mergeCell ref="P805"/>
    <mergeCell ref="A806"/>
    <mergeCell ref="I806"/>
    <mergeCell ref="B806"/>
    <mergeCell ref="H798"/>
    <mergeCell ref="H800"/>
    <mergeCell ref="I800"/>
    <mergeCell ref="J800"/>
    <mergeCell ref="X800"/>
    <mergeCell ref="T800"/>
    <mergeCell ref="U795"/>
    <mergeCell ref="F808"/>
    <mergeCell ref="G808"/>
    <mergeCell ref="H808"/>
    <mergeCell ref="U804"/>
    <mergeCell ref="X802"/>
    <mergeCell ref="Q805"/>
    <mergeCell ref="A812"/>
    <mergeCell ref="J805"/>
    <mergeCell ref="K805"/>
    <mergeCell ref="B799"/>
    <mergeCell ref="F798"/>
    <mergeCell ref="C800"/>
    <mergeCell ref="D800"/>
    <mergeCell ref="E800"/>
    <mergeCell ref="B801"/>
    <mergeCell ref="N800"/>
    <mergeCell ref="Y800"/>
    <mergeCell ref="H806"/>
    <mergeCell ref="J806"/>
    <mergeCell ref="A732"/>
    <mergeCell ref="B732"/>
    <mergeCell ref="C732"/>
    <mergeCell ref="A733"/>
    <mergeCell ref="B733"/>
    <mergeCell ref="C733"/>
    <mergeCell ref="L731"/>
    <mergeCell ref="U731"/>
    <mergeCell ref="N731"/>
    <mergeCell ref="R731"/>
    <mergeCell ref="D732"/>
    <mergeCell ref="P730"/>
    <mergeCell ref="K731"/>
    <mergeCell ref="Q731"/>
    <mergeCell ref="X746"/>
    <mergeCell ref="C755"/>
    <mergeCell ref="P754"/>
    <mergeCell ref="R754"/>
    <mergeCell ref="E755"/>
    <mergeCell ref="Q754"/>
    <mergeCell ref="M754"/>
    <mergeCell ref="C795"/>
    <mergeCell ref="D795"/>
    <mergeCell ref="E795"/>
    <mergeCell ref="F795"/>
    <mergeCell ref="G795"/>
    <mergeCell ref="K794"/>
    <mergeCell ref="X794"/>
    <mergeCell ref="K797"/>
    <mergeCell ref="G799"/>
    <mergeCell ref="A796"/>
    <mergeCell ref="A805"/>
    <mergeCell ref="D778"/>
    <mergeCell ref="X792"/>
    <mergeCell ref="M807"/>
    <mergeCell ref="J778"/>
    <mergeCell ref="E779"/>
    <mergeCell ref="P807"/>
    <mergeCell ref="T785"/>
    <mergeCell ref="O786"/>
    <mergeCell ref="N799"/>
    <mergeCell ref="X799"/>
    <mergeCell ref="U799"/>
    <mergeCell ref="P799"/>
    <mergeCell ref="R799"/>
    <mergeCell ref="W797"/>
    <mergeCell ref="Y794"/>
    <mergeCell ref="I807"/>
    <mergeCell ref="J807"/>
    <mergeCell ref="R807"/>
    <mergeCell ref="N807"/>
    <mergeCell ref="V795"/>
    <mergeCell ref="I809"/>
    <mergeCell ref="R811"/>
    <mergeCell ref="V811"/>
    <mergeCell ref="L811"/>
    <mergeCell ref="H804"/>
    <mergeCell ref="I804"/>
    <mergeCell ref="A808"/>
    <mergeCell ref="B808"/>
    <mergeCell ref="Y806"/>
    <mergeCell ref="G807"/>
    <mergeCell ref="A799"/>
    <mergeCell ref="I811"/>
    <mergeCell ref="U800"/>
    <mergeCell ref="F801"/>
    <mergeCell ref="G794"/>
    <mergeCell ref="B795"/>
    <mergeCell ref="K811"/>
    <mergeCell ref="Y811"/>
    <mergeCell ref="A794"/>
    <mergeCell ref="X857"/>
    <mergeCell ref="Q857"/>
    <mergeCell ref="A818"/>
    <mergeCell ref="J796"/>
    <mergeCell ref="X796"/>
    <mergeCell ref="A797"/>
    <mergeCell ref="B797"/>
    <mergeCell ref="P806"/>
    <mergeCell ref="A813"/>
    <mergeCell ref="K809"/>
    <mergeCell ref="L809"/>
    <mergeCell ref="A810"/>
    <mergeCell ref="L808"/>
    <mergeCell ref="O809"/>
    <mergeCell ref="B810"/>
    <mergeCell ref="C810"/>
    <mergeCell ref="D810"/>
    <mergeCell ref="O806"/>
    <mergeCell ref="R810"/>
    <mergeCell ref="H811"/>
    <mergeCell ref="A811"/>
    <mergeCell ref="B811"/>
    <mergeCell ref="C811"/>
    <mergeCell ref="A798"/>
    <mergeCell ref="K795"/>
    <mergeCell ref="V807"/>
    <mergeCell ref="J808"/>
    <mergeCell ref="O807"/>
    <mergeCell ref="F810"/>
    <mergeCell ref="I808"/>
    <mergeCell ref="O808"/>
    <mergeCell ref="K807"/>
    <mergeCell ref="P808"/>
    <mergeCell ref="C809"/>
    <mergeCell ref="D809"/>
    <mergeCell ref="E809"/>
    <mergeCell ref="D811"/>
    <mergeCell ref="X810"/>
    <mergeCell ref="E810"/>
    <mergeCell ref="X812"/>
    <mergeCell ref="D813"/>
    <mergeCell ref="U812"/>
    <mergeCell ref="R812"/>
    <mergeCell ref="L798"/>
    <mergeCell ref="K798"/>
    <mergeCell ref="S797"/>
    <mergeCell ref="C799"/>
    <mergeCell ref="D799"/>
    <mergeCell ref="I817"/>
    <mergeCell ref="J817"/>
    <mergeCell ref="G806"/>
    <mergeCell ref="L806"/>
    <mergeCell ref="X813"/>
    <mergeCell ref="W813"/>
    <mergeCell ref="S857"/>
    <mergeCell ref="D858"/>
    <mergeCell ref="E858"/>
    <mergeCell ref="F858"/>
    <mergeCell ref="H858"/>
    <mergeCell ref="N856"/>
    <mergeCell ref="N858"/>
    <mergeCell ref="M858"/>
    <mergeCell ref="L858"/>
    <mergeCell ref="K858"/>
    <mergeCell ref="J858"/>
    <mergeCell ref="D857"/>
    <mergeCell ref="T856"/>
    <mergeCell ref="H857"/>
    <mergeCell ref="R856"/>
    <mergeCell ref="J857"/>
    <mergeCell ref="K857"/>
    <mergeCell ref="L857"/>
    <mergeCell ref="V856"/>
    <mergeCell ref="F857"/>
    <mergeCell ref="I857"/>
    <mergeCell ref="P856"/>
    <mergeCell ref="G857"/>
    <mergeCell ref="T857"/>
    <mergeCell ref="I858"/>
    <mergeCell ref="H855"/>
    <mergeCell ref="C856"/>
    <mergeCell ref="D856"/>
    <mergeCell ref="Q845"/>
    <mergeCell ref="Q855"/>
    <mergeCell ref="S855"/>
    <mergeCell ref="I855"/>
    <mergeCell ref="H838"/>
    <mergeCell ref="C844"/>
    <mergeCell ref="X824"/>
    <mergeCell ref="L825"/>
    <mergeCell ref="C798"/>
    <mergeCell ref="D798"/>
    <mergeCell ref="R797"/>
    <mergeCell ref="W805"/>
    <mergeCell ref="C817"/>
    <mergeCell ref="F815"/>
    <mergeCell ref="Q815"/>
    <mergeCell ref="D816"/>
    <mergeCell ref="E816"/>
    <mergeCell ref="K814"/>
    <mergeCell ref="J801"/>
    <mergeCell ref="H801"/>
    <mergeCell ref="L801"/>
    <mergeCell ref="M801"/>
    <mergeCell ref="N801"/>
    <mergeCell ref="O801"/>
    <mergeCell ref="C845"/>
    <mergeCell ref="D845"/>
    <mergeCell ref="Y876"/>
    <mergeCell ref="N876"/>
    <mergeCell ref="W876"/>
    <mergeCell ref="V876"/>
    <mergeCell ref="Q876"/>
    <mergeCell ref="A844"/>
    <mergeCell ref="B844"/>
    <mergeCell ref="Y843"/>
    <mergeCell ref="N843"/>
    <mergeCell ref="W843"/>
    <mergeCell ref="R843"/>
    <mergeCell ref="U843"/>
    <mergeCell ref="W853"/>
    <mergeCell ref="L853"/>
    <mergeCell ref="U853"/>
    <mergeCell ref="T853"/>
    <mergeCell ref="Q853"/>
    <mergeCell ref="Q852"/>
    <mergeCell ref="M850"/>
    <mergeCell ref="R851"/>
    <mergeCell ref="M853"/>
    <mergeCell ref="S853"/>
    <mergeCell ref="A852"/>
    <mergeCell ref="M852"/>
    <mergeCell ref="H853"/>
    <mergeCell ref="N853"/>
    <mergeCell ref="X852"/>
    <mergeCell ref="G853"/>
    <mergeCell ref="I853"/>
    <mergeCell ref="R853"/>
    <mergeCell ref="K853"/>
    <mergeCell ref="O853"/>
    <mergeCell ref="F853"/>
    <mergeCell ref="P853"/>
    <mergeCell ref="X845"/>
    <mergeCell ref="L846"/>
    <mergeCell ref="D848"/>
    <mergeCell ref="N849"/>
    <mergeCell ref="M849"/>
    <mergeCell ref="G849"/>
    <mergeCell ref="B849"/>
    <mergeCell ref="Y848"/>
    <mergeCell ref="X848"/>
    <mergeCell ref="G847"/>
    <mergeCell ref="D849"/>
    <mergeCell ref="A849"/>
    <mergeCell ref="K845"/>
    <mergeCell ref="T845"/>
    <mergeCell ref="M845"/>
    <mergeCell ref="U865"/>
    <mergeCell ref="S866"/>
    <mergeCell ref="X865"/>
    <mergeCell ref="Y867"/>
    <mergeCell ref="H860"/>
    <mergeCell ref="T860"/>
    <mergeCell ref="K860"/>
    <mergeCell ref="V860"/>
    <mergeCell ref="V865"/>
    <mergeCell ref="Q867"/>
    <mergeCell ref="P866"/>
    <mergeCell ref="T866"/>
    <mergeCell ref="O855"/>
    <mergeCell ref="J854"/>
    <mergeCell ref="E856"/>
    <mergeCell ref="Z844"/>
    <mergeCell ref="D843"/>
    <mergeCell ref="E843"/>
    <mergeCell ref="A791"/>
    <mergeCell ref="D789"/>
    <mergeCell ref="P789"/>
    <mergeCell ref="D788"/>
    <mergeCell ref="M788"/>
    <mergeCell ref="H788"/>
    <mergeCell ref="Y854"/>
    <mergeCell ref="Z854"/>
    <mergeCell ref="B864"/>
    <mergeCell ref="N864"/>
    <mergeCell ref="A865"/>
    <mergeCell ref="B865"/>
    <mergeCell ref="C865"/>
    <mergeCell ref="J863"/>
    <mergeCell ref="W863"/>
    <mergeCell ref="Y864"/>
    <mergeCell ref="O864"/>
    <mergeCell ref="W864"/>
    <mergeCell ref="V864"/>
    <mergeCell ref="Q864"/>
    <mergeCell ref="S864"/>
    <mergeCell ref="U864"/>
    <mergeCell ref="Z864"/>
    <mergeCell ref="Z846"/>
    <mergeCell ref="M846"/>
    <mergeCell ref="X846"/>
    <mergeCell ref="W846"/>
    <mergeCell ref="O846"/>
    <mergeCell ref="Q846"/>
    <mergeCell ref="U846"/>
    <mergeCell ref="B826"/>
    <mergeCell ref="A827"/>
    <mergeCell ref="X825"/>
    <mergeCell ref="M826"/>
    <mergeCell ref="S825"/>
    <mergeCell ref="D827"/>
    <mergeCell ref="B847"/>
    <mergeCell ref="K849"/>
    <mergeCell ref="C849"/>
    <mergeCell ref="I849"/>
    <mergeCell ref="A845"/>
    <mergeCell ref="B845"/>
    <mergeCell ref="B848"/>
    <mergeCell ref="W850"/>
    <mergeCell ref="C850"/>
    <mergeCell ref="E850"/>
    <mergeCell ref="D850"/>
    <mergeCell ref="J853"/>
    <mergeCell ref="X844"/>
    <mergeCell ref="P844"/>
    <mergeCell ref="T844"/>
    <mergeCell ref="S844"/>
    <mergeCell ref="A847"/>
    <mergeCell ref="L859"/>
    <mergeCell ref="W859"/>
    <mergeCell ref="G855"/>
    <mergeCell ref="C857"/>
    <mergeCell ref="X856"/>
    <mergeCell ref="E857"/>
    <mergeCell ref="L855"/>
    <mergeCell ref="V855"/>
    <mergeCell ref="Y795"/>
    <mergeCell ref="L849"/>
    <mergeCell ref="W849"/>
    <mergeCell ref="H822"/>
    <mergeCell ref="X822"/>
    <mergeCell ref="I822"/>
    <mergeCell ref="M823"/>
    <mergeCell ref="W823"/>
    <mergeCell ref="R801"/>
    <mergeCell ref="T801"/>
    <mergeCell ref="S801"/>
    <mergeCell ref="E801"/>
    <mergeCell ref="B821"/>
    <mergeCell ref="C821"/>
    <mergeCell ref="B839"/>
    <mergeCell ref="R823"/>
    <mergeCell ref="P823"/>
    <mergeCell ref="H825"/>
    <mergeCell ref="H823"/>
    <mergeCell ref="B824"/>
    <mergeCell ref="E823"/>
    <mergeCell ref="X815"/>
    <mergeCell ref="P816"/>
    <mergeCell ref="B809"/>
    <mergeCell ref="D807"/>
    <mergeCell ref="X806"/>
    <mergeCell ref="W807"/>
    <mergeCell ref="L807"/>
    <mergeCell ref="U807"/>
    <mergeCell ref="Q807"/>
    <mergeCell ref="S807"/>
    <mergeCell ref="X807"/>
    <mergeCell ref="B846"/>
    <mergeCell ref="X841"/>
    <mergeCell ref="L841"/>
    <mergeCell ref="R841"/>
    <mergeCell ref="S841"/>
    <mergeCell ref="V841"/>
    <mergeCell ref="Y841"/>
    <mergeCell ref="M842"/>
    <mergeCell ref="Q843"/>
    <mergeCell ref="K846"/>
    <mergeCell ref="L845"/>
    <mergeCell ref="R846"/>
    <mergeCell ref="J846"/>
    <mergeCell ref="C847"/>
    <mergeCell ref="D847"/>
    <mergeCell ref="Y846"/>
    <mergeCell ref="L844"/>
    <mergeCell ref="F847"/>
    <mergeCell ref="E842"/>
    <mergeCell ref="K825"/>
    <mergeCell ref="T825"/>
    <mergeCell ref="R825"/>
    <mergeCell ref="R824"/>
    <mergeCell ref="N825"/>
    <mergeCell ref="Y824"/>
    <mergeCell ref="G825"/>
    <mergeCell ref="F841"/>
    <mergeCell ref="B843"/>
    <mergeCell ref="C843"/>
    <mergeCell ref="S836"/>
    <mergeCell ref="P839"/>
    <mergeCell ref="E826"/>
    <mergeCell ref="B814"/>
    <mergeCell ref="J814"/>
    <mergeCell ref="W811"/>
    <mergeCell ref="M813"/>
    <mergeCell ref="S812"/>
    <mergeCell ref="O813"/>
    <mergeCell ref="L805"/>
    <mergeCell ref="M805"/>
    <mergeCell ref="N805"/>
    <mergeCell ref="X805"/>
    <mergeCell ref="D806"/>
    <mergeCell ref="C806"/>
    <mergeCell ref="T805"/>
    <mergeCell ref="J831"/>
    <mergeCell ref="A821"/>
    <mergeCell ref="A817"/>
    <mergeCell ref="A820"/>
    <mergeCell ref="A819"/>
    <mergeCell ref="A839"/>
    <mergeCell ref="O817"/>
    <mergeCell ref="D818"/>
    <mergeCell ref="E818"/>
    <mergeCell ref="S817"/>
    <mergeCell ref="U817"/>
    <mergeCell ref="X818"/>
    <mergeCell ref="G820"/>
    <mergeCell ref="C805"/>
    <mergeCell ref="S804"/>
    <mergeCell ref="Q802"/>
    <mergeCell ref="N803"/>
    <mergeCell ref="S833"/>
    <mergeCell ref="X833"/>
    <mergeCell ref="K835"/>
    <mergeCell ref="U835"/>
    <mergeCell ref="B836"/>
    <mergeCell ref="C836"/>
    <mergeCell ref="D836"/>
    <mergeCell ref="C826"/>
    <mergeCell ref="D826"/>
    <mergeCell ref="B813"/>
    <mergeCell ref="F826"/>
    <mergeCell ref="G826"/>
    <mergeCell ref="H826"/>
    <mergeCell ref="E827"/>
    <mergeCell ref="Q827"/>
    <mergeCell ref="C828"/>
    <mergeCell ref="U810"/>
    <mergeCell ref="L810"/>
    <mergeCell ref="M810"/>
    <mergeCell ref="N810"/>
    <mergeCell ref="S810"/>
    <mergeCell ref="V810"/>
    <mergeCell ref="C818"/>
    <mergeCell ref="G817"/>
    <mergeCell ref="P815"/>
    <mergeCell ref="L838"/>
    <mergeCell ref="N830"/>
    <mergeCell ref="K830"/>
    <mergeCell ref="P831"/>
    <mergeCell ref="C832"/>
    <mergeCell ref="G832"/>
    <mergeCell ref="L831"/>
    <mergeCell ref="E832"/>
    <mergeCell ref="D838"/>
    <mergeCell ref="I845"/>
    <mergeCell ref="G841"/>
    <mergeCell ref="Q841"/>
    <mergeCell ref="I841"/>
    <mergeCell ref="D828"/>
    <mergeCell ref="E828"/>
    <mergeCell ref="C827"/>
    <mergeCell ref="Q828"/>
    <mergeCell ref="F829"/>
    <mergeCell ref="E830"/>
    <mergeCell ref="C842"/>
    <mergeCell ref="W839"/>
    <mergeCell ref="P841"/>
    <mergeCell ref="T841"/>
    <mergeCell ref="H840"/>
    <mergeCell ref="D839"/>
    <mergeCell ref="O839"/>
    <mergeCell ref="O837"/>
    <mergeCell ref="A823"/>
    <mergeCell ref="M838"/>
    <mergeCell ref="X838"/>
    <mergeCell ref="X839"/>
    <mergeCell ref="N838"/>
    <mergeCell ref="F839"/>
    <mergeCell ref="E838"/>
    <mergeCell ref="D840"/>
    <mergeCell ref="C841"/>
    <mergeCell ref="X843"/>
    <mergeCell ref="O838"/>
    <mergeCell ref="W838"/>
    <mergeCell ref="R838"/>
    <mergeCell ref="S838"/>
    <mergeCell ref="U838"/>
    <mergeCell ref="P842"/>
    <mergeCell ref="I829"/>
    <mergeCell ref="J829"/>
    <mergeCell ref="K829"/>
    <mergeCell ref="F825"/>
    <mergeCell ref="M827"/>
    <mergeCell ref="R828"/>
    <mergeCell ref="R827"/>
    <mergeCell ref="T827"/>
    <mergeCell ref="K844"/>
    <mergeCell ref="V843"/>
    <mergeCell ref="O844"/>
    <mergeCell ref="S843"/>
    <mergeCell ref="L843"/>
    <mergeCell ref="T843"/>
    <mergeCell ref="O843"/>
    <mergeCell ref="P843"/>
    <mergeCell ref="D844"/>
    <mergeCell ref="E844"/>
    <mergeCell ref="F844"/>
    <mergeCell ref="L840"/>
    <mergeCell ref="F842"/>
    <mergeCell ref="H841"/>
    <mergeCell ref="U841"/>
    <mergeCell ref="E841"/>
    <mergeCell ref="I842"/>
    <mergeCell ref="S842"/>
    <mergeCell ref="N842"/>
    <mergeCell ref="J838"/>
    <mergeCell ref="I836"/>
    <mergeCell ref="J825"/>
    <mergeCell ref="L842"/>
    <mergeCell ref="A840"/>
    <mergeCell ref="B840"/>
    <mergeCell ref="C840"/>
    <mergeCell ref="A841"/>
    <mergeCell ref="B841"/>
    <mergeCell ref="K838"/>
    <mergeCell ref="V838"/>
    <mergeCell ref="V839"/>
    <mergeCell ref="J839"/>
    <mergeCell ref="T839"/>
    <mergeCell ref="X823"/>
    <mergeCell ref="N823"/>
    <mergeCell ref="T823"/>
    <mergeCell ref="O823"/>
    <mergeCell ref="V823"/>
    <mergeCell ref="Y823"/>
    <mergeCell ref="Z823"/>
    <mergeCell ref="D824"/>
    <mergeCell ref="K823"/>
    <mergeCell ref="H824"/>
    <mergeCell ref="F824"/>
    <mergeCell ref="B825"/>
    <mergeCell ref="C825"/>
    <mergeCell ref="F823"/>
    <mergeCell ref="S823"/>
    <mergeCell ref="U824"/>
    <mergeCell ref="K824"/>
    <mergeCell ref="O824"/>
    <mergeCell ref="M824"/>
    <mergeCell ref="S824"/>
    <mergeCell ref="V824"/>
    <mergeCell ref="D825"/>
    <mergeCell ref="J824"/>
    <mergeCell ref="T824"/>
    <mergeCell ref="N824"/>
    <mergeCell ref="Q824"/>
    <mergeCell ref="L823"/>
    <mergeCell ref="I824"/>
    <mergeCell ref="P824"/>
    <mergeCell ref="G823"/>
    <mergeCell ref="Q823"/>
    <mergeCell ref="M825"/>
    <mergeCell ref="V825"/>
    <mergeCell ref="O825"/>
    <mergeCell ref="Q825"/>
    <mergeCell ref="E825"/>
    <mergeCell ref="A825"/>
    <mergeCell ref="C839"/>
    <mergeCell ref="A838"/>
    <mergeCell ref="W824"/>
    <mergeCell ref="G824"/>
    <mergeCell ref="G838"/>
    <mergeCell ref="Z832"/>
    <mergeCell ref="F833"/>
    <mergeCell ref="T831"/>
    <mergeCell ref="B832"/>
    <mergeCell ref="F837"/>
    <mergeCell ref="G837"/>
    <mergeCell ref="O841"/>
    <mergeCell ref="D823"/>
    <mergeCell ref="A836"/>
    <mergeCell ref="U827"/>
    <mergeCell ref="P829"/>
    <mergeCell ref="Z837"/>
    <mergeCell ref="K850"/>
    <mergeCell ref="Q851"/>
    <mergeCell ref="G852"/>
    <mergeCell ref="V852"/>
    <mergeCell ref="F852"/>
    <mergeCell ref="R852"/>
    <mergeCell ref="P852"/>
    <mergeCell ref="I852"/>
    <mergeCell ref="E852"/>
    <mergeCell ref="N852"/>
    <mergeCell ref="H852"/>
    <mergeCell ref="K852"/>
    <mergeCell ref="I850"/>
    <mergeCell ref="W851"/>
    <mergeCell ref="X850"/>
    <mergeCell ref="Z849"/>
    <mergeCell ref="P849"/>
    <mergeCell ref="V849"/>
    <mergeCell ref="Q849"/>
    <mergeCell ref="X849"/>
    <mergeCell ref="E824"/>
    <mergeCell ref="L824"/>
    <mergeCell ref="L837"/>
    <mergeCell ref="N837"/>
    <mergeCell ref="Y837"/>
    <mergeCell ref="W837"/>
    <mergeCell ref="R837"/>
    <mergeCell ref="S837"/>
    <mergeCell ref="B838"/>
    <mergeCell ref="F828"/>
    <mergeCell ref="O828"/>
    <mergeCell ref="H830"/>
    <mergeCell ref="R829"/>
    <mergeCell ref="M831"/>
    <mergeCell ref="X831"/>
    <mergeCell ref="O829"/>
    <mergeCell ref="G831"/>
    <mergeCell ref="H831"/>
    <mergeCell ref="F845"/>
    <mergeCell ref="V846"/>
    <mergeCell ref="N846"/>
    <mergeCell ref="I839"/>
    <mergeCell ref="U839"/>
    <mergeCell ref="R830"/>
    <mergeCell ref="Q830"/>
    <mergeCell ref="Z831"/>
    <mergeCell ref="Y845"/>
    <mergeCell ref="Z840"/>
    <mergeCell ref="N845"/>
    <mergeCell ref="W845"/>
    <mergeCell ref="U842"/>
    <mergeCell ref="K843"/>
    <mergeCell ref="J842"/>
    <mergeCell ref="G845"/>
    <mergeCell ref="C846"/>
    <mergeCell ref="D846"/>
    <mergeCell ref="J826"/>
    <mergeCell ref="W825"/>
    <mergeCell ref="J827"/>
    <mergeCell ref="S827"/>
    <mergeCell ref="N827"/>
    <mergeCell ref="P827"/>
    <mergeCell ref="L827"/>
    <mergeCell ref="V827"/>
    <mergeCell ref="Y869"/>
    <mergeCell ref="Q870"/>
    <mergeCell ref="R870"/>
    <mergeCell ref="L871"/>
    <mergeCell ref="V871"/>
    <mergeCell ref="B870"/>
    <mergeCell ref="A869"/>
    <mergeCell ref="G865"/>
    <mergeCell ref="A870"/>
    <mergeCell ref="A871"/>
    <mergeCell ref="B871"/>
    <mergeCell ref="Z865"/>
    <mergeCell ref="F865"/>
    <mergeCell ref="A867"/>
    <mergeCell ref="B867"/>
    <mergeCell ref="C867"/>
    <mergeCell ref="S865"/>
    <mergeCell ref="Y866"/>
    <mergeCell ref="X866"/>
    <mergeCell ref="W866"/>
    <mergeCell ref="R866"/>
    <mergeCell ref="Y862"/>
    <mergeCell ref="O862"/>
    <mergeCell ref="U862"/>
    <mergeCell ref="P862"/>
    <mergeCell ref="Q862"/>
    <mergeCell ref="S862"/>
    <mergeCell ref="W862"/>
    <mergeCell ref="Z862"/>
    <mergeCell ref="G864"/>
    <mergeCell ref="P864"/>
    <mergeCell ref="L864"/>
    <mergeCell ref="E866"/>
    <mergeCell ref="D865"/>
    <mergeCell ref="D867"/>
    <mergeCell ref="X867"/>
    <mergeCell ref="V866"/>
    <mergeCell ref="T867"/>
    <mergeCell ref="S867"/>
    <mergeCell ref="V869"/>
    <mergeCell ref="L863"/>
    <mergeCell ref="J865"/>
    <mergeCell ref="Q866"/>
    <mergeCell ref="K866"/>
    <mergeCell ref="Y871"/>
    <mergeCell ref="W871"/>
    <mergeCell ref="C866"/>
    <mergeCell ref="Z866"/>
    <mergeCell ref="Z867"/>
    <mergeCell ref="J867"/>
    <mergeCell ref="I867"/>
    <mergeCell ref="L866"/>
    <mergeCell ref="E867"/>
    <mergeCell ref="G844"/>
    <mergeCell ref="H844"/>
    <mergeCell ref="I844"/>
    <mergeCell ref="J844"/>
    <mergeCell ref="A842"/>
    <mergeCell ref="B842"/>
    <mergeCell ref="B853"/>
    <mergeCell ref="K847"/>
    <mergeCell ref="N848"/>
    <mergeCell ref="O848"/>
    <mergeCell ref="P848"/>
    <mergeCell ref="V848"/>
    <mergeCell ref="F846"/>
    <mergeCell ref="J845"/>
    <mergeCell ref="A857"/>
    <mergeCell ref="J860"/>
    <mergeCell ref="J847"/>
    <mergeCell ref="T846"/>
    <mergeCell ref="P846"/>
    <mergeCell ref="S846"/>
    <mergeCell ref="H845"/>
    <mergeCell ref="R845"/>
    <mergeCell ref="I847"/>
    <mergeCell ref="G848"/>
    <mergeCell ref="E848"/>
    <mergeCell ref="I848"/>
    <mergeCell ref="P845"/>
    <mergeCell ref="E846"/>
    <mergeCell ref="I846"/>
    <mergeCell ref="H846"/>
    <mergeCell ref="G846"/>
    <mergeCell ref="N844"/>
    <mergeCell ref="K848"/>
    <mergeCell ref="H856"/>
    <mergeCell ref="J856"/>
    <mergeCell ref="U856"/>
    <mergeCell ref="D854"/>
    <mergeCell ref="O854"/>
    <mergeCell ref="V850"/>
    <mergeCell ref="Q850"/>
    <mergeCell ref="N855"/>
    <mergeCell ref="P855"/>
    <mergeCell ref="I856"/>
    <mergeCell ref="F850"/>
    <mergeCell ref="L850"/>
    <mergeCell ref="N850"/>
    <mergeCell ref="D851"/>
    <mergeCell ref="E851"/>
    <mergeCell ref="F851"/>
    <mergeCell ref="P851"/>
    <mergeCell ref="J851"/>
    <mergeCell ref="N851"/>
    <mergeCell ref="K851"/>
    <mergeCell ref="L851"/>
    <mergeCell ref="I851"/>
    <mergeCell ref="H850"/>
    <mergeCell ref="T850"/>
    <mergeCell ref="H851"/>
    <mergeCell ref="O850"/>
    <mergeCell ref="J852"/>
    <mergeCell ref="G850"/>
    <mergeCell ref="D853"/>
    <mergeCell ref="S856"/>
    <mergeCell ref="Q856"/>
    <mergeCell ref="S845"/>
    <mergeCell ref="O845"/>
    <mergeCell ref="U845"/>
    <mergeCell ref="K855"/>
    <mergeCell ref="R855"/>
    <mergeCell ref="G856"/>
    <mergeCell ref="A850"/>
    <mergeCell ref="A853"/>
    <mergeCell ref="F855"/>
    <mergeCell ref="E845"/>
    <mergeCell ref="Y870"/>
    <mergeCell ref="X870"/>
    <mergeCell ref="W870"/>
    <mergeCell ref="V870"/>
    <mergeCell ref="H867"/>
    <mergeCell ref="R868"/>
    <mergeCell ref="N865"/>
    <mergeCell ref="M863"/>
    <mergeCell ref="Y863"/>
    <mergeCell ref="O849"/>
    <mergeCell ref="A828"/>
    <mergeCell ref="R842"/>
    <mergeCell ref="A837"/>
    <mergeCell ref="B837"/>
    <mergeCell ref="C837"/>
    <mergeCell ref="Z833"/>
    <mergeCell ref="Q833"/>
    <mergeCell ref="V833"/>
    <mergeCell ref="Y839"/>
    <mergeCell ref="Q832"/>
    <mergeCell ref="Y832"/>
    <mergeCell ref="S839"/>
    <mergeCell ref="A832"/>
    <mergeCell ref="F832"/>
    <mergeCell ref="D832"/>
    <mergeCell ref="H832"/>
    <mergeCell ref="I832"/>
    <mergeCell ref="J832"/>
    <mergeCell ref="A833"/>
    <mergeCell ref="H829"/>
    <mergeCell ref="J830"/>
    <mergeCell ref="U832"/>
    <mergeCell ref="A835"/>
    <mergeCell ref="B835"/>
    <mergeCell ref="G842"/>
    <mergeCell ref="Q842"/>
    <mergeCell ref="A843"/>
    <mergeCell ref="X842"/>
    <mergeCell ref="K842"/>
    <mergeCell ref="V842"/>
    <mergeCell ref="S832"/>
    <mergeCell ref="L834"/>
    <mergeCell ref="B831"/>
    <mergeCell ref="O830"/>
    <mergeCell ref="M830"/>
    <mergeCell ref="D831"/>
    <mergeCell ref="E831"/>
    <mergeCell ref="G830"/>
    <mergeCell ref="N829"/>
    <mergeCell ref="P830"/>
    <mergeCell ref="F831"/>
    <mergeCell ref="N831"/>
    <mergeCell ref="A829"/>
    <mergeCell ref="Y831"/>
    <mergeCell ref="P832"/>
    <mergeCell ref="E833"/>
    <mergeCell ref="X832"/>
    <mergeCell ref="H833"/>
    <mergeCell ref="G833"/>
    <mergeCell ref="A846"/>
    <mergeCell ref="I843"/>
    <mergeCell ref="T838"/>
    <mergeCell ref="I838"/>
    <mergeCell ref="M839"/>
    <mergeCell ref="G839"/>
    <mergeCell ref="H839"/>
    <mergeCell ref="Q839"/>
    <mergeCell ref="K839"/>
    <mergeCell ref="N839"/>
    <mergeCell ref="E840"/>
    <mergeCell ref="N840"/>
    <mergeCell ref="L847"/>
    <mergeCell ref="M843"/>
    <mergeCell ref="U844"/>
    <mergeCell ref="C848"/>
    <mergeCell ref="Y844"/>
    <mergeCell ref="X847"/>
    <mergeCell ref="G863"/>
    <mergeCell ref="E864"/>
    <mergeCell ref="D864"/>
    <mergeCell ref="C864"/>
    <mergeCell ref="E863"/>
    <mergeCell ref="C863"/>
    <mergeCell ref="Z863"/>
    <mergeCell ref="P863"/>
    <mergeCell ref="T863"/>
    <mergeCell ref="R863"/>
    <mergeCell ref="U863"/>
    <mergeCell ref="V863"/>
    <mergeCell ref="X863"/>
    <mergeCell ref="L862"/>
    <mergeCell ref="S850"/>
    <mergeCell ref="U850"/>
    <mergeCell ref="J855"/>
    <mergeCell ref="Z845"/>
    <mergeCell ref="Y840"/>
    <mergeCell ref="N841"/>
    <mergeCell ref="D841"/>
    <mergeCell ref="Y857"/>
    <mergeCell ref="I859"/>
    <mergeCell ref="Q859"/>
    <mergeCell ref="M859"/>
    <mergeCell ref="K859"/>
    <mergeCell ref="Z841"/>
    <mergeCell ref="Q844"/>
    <mergeCell ref="V844"/>
    <mergeCell ref="W842"/>
    <mergeCell ref="J843"/>
    <mergeCell ref="M844"/>
    <mergeCell ref="W844"/>
    <mergeCell ref="F861"/>
    <mergeCell ref="Z861"/>
    <mergeCell ref="E839"/>
    <mergeCell ref="J841"/>
    <mergeCell ref="D842"/>
    <mergeCell ref="K841"/>
    <mergeCell ref="W841"/>
    <mergeCell ref="W848"/>
    <mergeCell ref="Q848"/>
    <mergeCell ref="U847"/>
    <mergeCell ref="U848"/>
    <mergeCell ref="T848"/>
    <mergeCell ref="S848"/>
    <mergeCell ref="R844"/>
    <mergeCell ref="V845"/>
    <mergeCell ref="R848"/>
    <mergeCell ref="O847"/>
    <mergeCell ref="P854"/>
    <mergeCell ref="I825"/>
    <mergeCell ref="I823"/>
    <mergeCell ref="U823"/>
    <mergeCell ref="T840"/>
    <mergeCell ref="X840"/>
    <mergeCell ref="A826"/>
    <mergeCell ref="K837"/>
    <mergeCell ref="J837"/>
    <mergeCell ref="C838"/>
    <mergeCell ref="A848"/>
    <mergeCell ref="J835"/>
    <mergeCell ref="Z871"/>
    <mergeCell ref="L872"/>
    <mergeCell ref="A868"/>
    <mergeCell ref="X872"/>
    <mergeCell ref="B873"/>
    <mergeCell ref="N870"/>
    <mergeCell ref="J871"/>
    <mergeCell ref="R871"/>
    <mergeCell ref="H872"/>
    <mergeCell ref="I872"/>
    <mergeCell ref="J872"/>
    <mergeCell ref="H871"/>
    <mergeCell ref="T871"/>
    <mergeCell ref="B872"/>
    <mergeCell ref="C872"/>
    <mergeCell ref="A873"/>
    <mergeCell ref="V872"/>
    <mergeCell ref="T872"/>
    <mergeCell ref="S872"/>
    <mergeCell ref="P872"/>
    <mergeCell ref="Q872"/>
    <mergeCell ref="O872"/>
    <mergeCell ref="Y868"/>
    <mergeCell ref="T870"/>
    <mergeCell ref="W869"/>
    <mergeCell ref="W868"/>
    <mergeCell ref="X869"/>
    <mergeCell ref="V868"/>
    <mergeCell ref="F870"/>
    <mergeCell ref="T868"/>
    <mergeCell ref="B868"/>
    <mergeCell ref="C868"/>
    <mergeCell ref="D868"/>
    <mergeCell ref="X868"/>
    <mergeCell ref="U870"/>
    <mergeCell ref="Z870"/>
    <mergeCell ref="C871"/>
    <mergeCell ref="O870"/>
    <mergeCell ref="G873"/>
    <mergeCell ref="Y872"/>
    <mergeCell ref="Z872"/>
    <mergeCell ref="X871"/>
    <mergeCell ref="N871"/>
    <mergeCell ref="Y873"/>
    <mergeCell ref="J866"/>
    <mergeCell ref="G866"/>
    <mergeCell ref="H866"/>
    <mergeCell ref="G840"/>
    <mergeCell ref="P840"/>
    <mergeCell ref="I840"/>
    <mergeCell ref="K840"/>
    <mergeCell ref="K873"/>
    <mergeCell ref="U873"/>
    <mergeCell ref="X864"/>
    <mergeCell ref="K864"/>
    <mergeCell ref="O865"/>
    <mergeCell ref="H865"/>
    <mergeCell ref="L865"/>
    <mergeCell ref="K865"/>
    <mergeCell ref="M867"/>
    <mergeCell ref="T865"/>
    <mergeCell ref="W867"/>
    <mergeCell ref="R867"/>
    <mergeCell ref="A862"/>
    <mergeCell ref="N866"/>
    <mergeCell ref="G867"/>
    <mergeCell ref="F866"/>
    <mergeCell ref="N867"/>
    <mergeCell ref="O867"/>
    <mergeCell ref="E875"/>
    <mergeCell ref="D874"/>
    <mergeCell ref="H875"/>
    <mergeCell ref="L874"/>
    <mergeCell ref="W873"/>
    <mergeCell ref="U875"/>
    <mergeCell ref="I875"/>
    <mergeCell ref="S875"/>
    <mergeCell ref="R875"/>
    <mergeCell ref="O875"/>
    <mergeCell ref="K875"/>
    <mergeCell ref="Q875"/>
    <mergeCell ref="G875"/>
    <mergeCell ref="T875"/>
    <mergeCell ref="E874"/>
    <mergeCell ref="N875"/>
    <mergeCell ref="F875"/>
    <mergeCell ref="P875"/>
    <mergeCell ref="J875"/>
    <mergeCell ref="M875"/>
    <mergeCell ref="K867"/>
    <mergeCell ref="O866"/>
    <mergeCell ref="F867"/>
    <mergeCell ref="M866"/>
    <mergeCell ref="Q868"/>
    <mergeCell ref="M869"/>
    <mergeCell ref="U869"/>
    <mergeCell ref="N863"/>
    <mergeCell ref="A866"/>
    <mergeCell ref="P865"/>
    <mergeCell ref="B866"/>
    <mergeCell ref="D877"/>
    <mergeCell ref="H877"/>
    <mergeCell ref="I877"/>
    <mergeCell ref="J877"/>
    <mergeCell ref="P876"/>
    <mergeCell ref="O871"/>
    <mergeCell ref="U871"/>
    <mergeCell ref="P871"/>
    <mergeCell ref="F871"/>
    <mergeCell ref="J873"/>
    <mergeCell ref="E873"/>
    <mergeCell ref="U872"/>
    <mergeCell ref="N872"/>
    <mergeCell ref="S871"/>
    <mergeCell ref="K872"/>
    <mergeCell ref="Q871"/>
    <mergeCell ref="U877"/>
    <mergeCell ref="Q869"/>
    <mergeCell ref="T869"/>
    <mergeCell ref="P869"/>
    <mergeCell ref="D875"/>
    <mergeCell ref="C874"/>
    <mergeCell ref="A879"/>
    <mergeCell ref="B879"/>
    <mergeCell ref="C879"/>
    <mergeCell ref="A880"/>
    <mergeCell ref="B880"/>
    <mergeCell ref="M876"/>
    <mergeCell ref="F876"/>
    <mergeCell ref="R864"/>
    <mergeCell ref="W865"/>
    <mergeCell ref="Q865"/>
    <mergeCell ref="I864"/>
    <mergeCell ref="B877"/>
    <mergeCell ref="D879"/>
    <mergeCell ref="K879"/>
    <mergeCell ref="L880"/>
    <mergeCell ref="T880"/>
    <mergeCell ref="N879"/>
    <mergeCell ref="B878"/>
    <mergeCell ref="C878"/>
    <mergeCell ref="D878"/>
    <mergeCell ref="J861"/>
    <mergeCell ref="U861"/>
    <mergeCell ref="D863"/>
    <mergeCell ref="O863"/>
    <mergeCell ref="C862"/>
    <mergeCell ref="H863"/>
    <mergeCell ref="A863"/>
    <mergeCell ref="P867"/>
    <mergeCell ref="U866"/>
    <mergeCell ref="R865"/>
    <mergeCell ref="F869"/>
    <mergeCell ref="N868"/>
    <mergeCell ref="K869"/>
    <mergeCell ref="G878"/>
    <mergeCell ref="H878"/>
    <mergeCell ref="Q877"/>
    <mergeCell ref="O877"/>
    <mergeCell ref="U878"/>
    <mergeCell ref="P878"/>
    <mergeCell ref="R878"/>
    <mergeCell ref="J880"/>
    <mergeCell ref="C851"/>
    <mergeCell ref="C852"/>
    <mergeCell ref="D873"/>
    <mergeCell ref="P870"/>
    <mergeCell ref="I862"/>
    <mergeCell ref="S851"/>
    <mergeCell ref="A860"/>
    <mergeCell ref="B860"/>
    <mergeCell ref="N859"/>
    <mergeCell ref="G872"/>
    <mergeCell ref="E876"/>
    <mergeCell ref="I874"/>
    <mergeCell ref="H876"/>
    <mergeCell ref="T876"/>
    <mergeCell ref="R876"/>
    <mergeCell ref="O876"/>
    <mergeCell ref="K863"/>
    <mergeCell ref="D866"/>
    <mergeCell ref="M865"/>
    <mergeCell ref="F864"/>
    <mergeCell ref="I866"/>
    <mergeCell ref="S863"/>
    <mergeCell ref="F873"/>
    <mergeCell ref="L868"/>
    <mergeCell ref="L869"/>
    <mergeCell ref="N869"/>
    <mergeCell ref="S868"/>
    <mergeCell ref="H869"/>
    <mergeCell ref="I869"/>
    <mergeCell ref="O868"/>
    <mergeCell ref="M868"/>
    <mergeCell ref="U868"/>
    <mergeCell ref="G869"/>
    <mergeCell ref="M872"/>
    <mergeCell ref="L875"/>
    <mergeCell ref="F874"/>
    <mergeCell ref="C875"/>
    <mergeCell ref="B857"/>
    <mergeCell ref="E853"/>
    <mergeCell ref="E854"/>
    <mergeCell ref="Y850"/>
    <mergeCell ref="X851"/>
    <mergeCell ref="Z855"/>
    <mergeCell ref="Z856"/>
    <mergeCell ref="O851"/>
    <mergeCell ref="G851"/>
    <mergeCell ref="O852"/>
    <mergeCell ref="Y852"/>
    <mergeCell ref="W852"/>
    <mergeCell ref="U852"/>
    <mergeCell ref="T852"/>
    <mergeCell ref="S852"/>
    <mergeCell ref="B852"/>
    <mergeCell ref="Q858"/>
    <mergeCell ref="P857"/>
    <mergeCell ref="W858"/>
    <mergeCell ref="X858"/>
    <mergeCell ref="Y858"/>
    <mergeCell ref="B859"/>
    <mergeCell ref="R857"/>
    <mergeCell ref="V858"/>
    <mergeCell ref="Y853"/>
    <mergeCell ref="I854"/>
    <mergeCell ref="U854"/>
    <mergeCell ref="S854"/>
    <mergeCell ref="K854"/>
    <mergeCell ref="Y856"/>
    <mergeCell ref="W854"/>
    <mergeCell ref="R854"/>
    <mergeCell ref="T854"/>
    <mergeCell ref="V854"/>
    <mergeCell ref="T855"/>
    <mergeCell ref="S869"/>
    <mergeCell ref="R869"/>
    <mergeCell ref="O869"/>
    <mergeCell ref="J869"/>
    <mergeCell ref="E862"/>
    <mergeCell ref="N862"/>
    <mergeCell ref="G862"/>
    <mergeCell ref="G854"/>
    <mergeCell ref="M854"/>
    <mergeCell ref="B855"/>
    <mergeCell ref="X855"/>
    <mergeCell ref="L856"/>
    <mergeCell ref="M856"/>
    <mergeCell ref="M855"/>
    <mergeCell ref="U855"/>
    <mergeCell ref="B862"/>
    <mergeCell ref="X859"/>
    <mergeCell ref="E861"/>
    <mergeCell ref="Q861"/>
    <mergeCell ref="E860"/>
    <mergeCell ref="N860"/>
    <mergeCell ref="G860"/>
    <mergeCell ref="I860"/>
    <mergeCell ref="O860"/>
    <mergeCell ref="U860"/>
    <mergeCell ref="P860"/>
    <mergeCell ref="Q860"/>
    <mergeCell ref="S860"/>
    <mergeCell ref="W860"/>
    <mergeCell ref="D860"/>
    <mergeCell ref="M860"/>
    <mergeCell ref="X860"/>
    <mergeCell ref="E849"/>
    <mergeCell ref="U849"/>
    <mergeCell ref="A834"/>
    <mergeCell ref="D835"/>
    <mergeCell ref="S834"/>
    <mergeCell ref="H835"/>
    <mergeCell ref="G835"/>
    <mergeCell ref="F835"/>
    <mergeCell ref="P834"/>
    <mergeCell ref="O831"/>
    <mergeCell ref="U831"/>
    <mergeCell ref="S831"/>
    <mergeCell ref="R831"/>
    <mergeCell ref="V831"/>
    <mergeCell ref="W831"/>
    <mergeCell ref="E829"/>
    <mergeCell ref="M834"/>
    <mergeCell ref="U834"/>
    <mergeCell ref="N834"/>
    <mergeCell ref="E865"/>
    <mergeCell ref="G871"/>
    <mergeCell ref="M871"/>
    <mergeCell ref="G870"/>
    <mergeCell ref="I871"/>
    <mergeCell ref="K871"/>
    <mergeCell ref="A872"/>
    <mergeCell ref="P868"/>
    <mergeCell ref="D871"/>
    <mergeCell ref="A864"/>
    <mergeCell ref="B863"/>
    <mergeCell ref="B850"/>
    <mergeCell ref="B851"/>
    <mergeCell ref="L852"/>
    <mergeCell ref="A851"/>
    <mergeCell ref="W857"/>
    <mergeCell ref="H862"/>
    <mergeCell ref="T862"/>
    <mergeCell ref="O861"/>
    <mergeCell ref="V861"/>
    <mergeCell ref="P861"/>
    <mergeCell ref="A855"/>
    <mergeCell ref="F854"/>
    <mergeCell ref="A854"/>
    <mergeCell ref="B854"/>
    <mergeCell ref="C854"/>
    <mergeCell ref="W855"/>
    <mergeCell ref="N857"/>
    <mergeCell ref="U858"/>
    <mergeCell ref="E859"/>
    <mergeCell ref="G859"/>
    <mergeCell ref="F859"/>
    <mergeCell ref="O858"/>
    <mergeCell ref="H854"/>
    <mergeCell ref="Q854"/>
    <mergeCell ref="L854"/>
    <mergeCell ref="N854"/>
    <mergeCell ref="V853"/>
    <mergeCell ref="A858"/>
    <mergeCell ref="B858"/>
    <mergeCell ref="A859"/>
    <mergeCell ref="G858"/>
    <mergeCell ref="A856"/>
    <mergeCell ref="B856"/>
    <mergeCell ref="O857"/>
    <mergeCell ref="Z860"/>
    <mergeCell ref="G861"/>
    <mergeCell ref="C859"/>
    <mergeCell ref="Z873"/>
    <mergeCell ref="M874"/>
    <mergeCell ref="Z874"/>
    <mergeCell ref="V875"/>
    <mergeCell ref="W875"/>
    <mergeCell ref="X875"/>
    <mergeCell ref="Y875"/>
    <mergeCell ref="Z875"/>
    <mergeCell ref="S873"/>
    <mergeCell ref="D862"/>
    <mergeCell ref="G868"/>
    <mergeCell ref="K868"/>
    <mergeCell ref="I868"/>
    <mergeCell ref="F868"/>
    <mergeCell ref="B869"/>
    <mergeCell ref="V867"/>
    <mergeCell ref="U867"/>
    <mergeCell ref="L867"/>
    <mergeCell ref="Z869"/>
    <mergeCell ref="Z868"/>
    <mergeCell ref="Y855"/>
    <mergeCell ref="Y860"/>
    <mergeCell ref="C853"/>
    <mergeCell ref="X853"/>
    <mergeCell ref="C858"/>
    <mergeCell ref="N861"/>
    <mergeCell ref="Y861"/>
    <mergeCell ref="R861"/>
    <mergeCell ref="T861"/>
    <mergeCell ref="D861"/>
    <mergeCell ref="M861"/>
    <mergeCell ref="I861"/>
    <mergeCell ref="C860"/>
    <mergeCell ref="L860"/>
    <mergeCell ref="U857"/>
    <mergeCell ref="D859"/>
    <mergeCell ref="B861"/>
    <mergeCell ref="C861"/>
    <mergeCell ref="Q874"/>
    <mergeCell ref="T874"/>
    <mergeCell ref="U874"/>
    <mergeCell ref="X861"/>
    <mergeCell ref="H874"/>
    <mergeCell ref="X854"/>
    <mergeCell ref="F856"/>
    <mergeCell ref="K856"/>
    <mergeCell ref="O856"/>
    <mergeCell ref="P873"/>
    <mergeCell ref="N873"/>
    <mergeCell ref="E871"/>
    <mergeCell ref="M870"/>
    <mergeCell ref="S870"/>
    <mergeCell ref="K870"/>
    <mergeCell ref="J870"/>
    <mergeCell ref="I870"/>
    <mergeCell ref="H870"/>
    <mergeCell ref="H868"/>
    <mergeCell ref="L870"/>
    <mergeCell ref="J868"/>
    <mergeCell ref="E869"/>
    <mergeCell ref="E870"/>
    <mergeCell ref="Z878"/>
    <mergeCell ref="L879"/>
    <mergeCell ref="D880"/>
    <mergeCell ref="Y879"/>
    <mergeCell ref="S877"/>
    <mergeCell ref="J878"/>
    <mergeCell ref="I879"/>
    <mergeCell ref="J879"/>
    <mergeCell ref="C876"/>
    <mergeCell ref="G874"/>
    <mergeCell ref="K876"/>
    <mergeCell ref="K877"/>
    <mergeCell ref="V877"/>
    <mergeCell ref="X877"/>
    <mergeCell ref="Y877"/>
    <mergeCell ref="Z877"/>
    <mergeCell ref="I876"/>
    <mergeCell ref="X876"/>
    <mergeCell ref="V878"/>
    <mergeCell ref="Q879"/>
    <mergeCell ref="X879"/>
    <mergeCell ref="E880"/>
    <mergeCell ref="V879"/>
    <mergeCell ref="Y880"/>
    <mergeCell ref="O880"/>
    <mergeCell ref="R880"/>
    <mergeCell ref="Q880"/>
    <mergeCell ref="W880"/>
    <mergeCell ref="L861"/>
    <mergeCell ref="W861"/>
    <mergeCell ref="F862"/>
    <mergeCell ref="R862"/>
    <mergeCell ref="M862"/>
    <mergeCell ref="X862"/>
    <mergeCell ref="N877"/>
    <mergeCell ref="K878"/>
    <mergeCell ref="Q878"/>
    <mergeCell ref="G879"/>
    <mergeCell ref="H879"/>
    <mergeCell ref="Z879"/>
    <mergeCell ref="F880"/>
    <mergeCell ref="L878"/>
    <mergeCell ref="K861"/>
    <mergeCell ref="G877"/>
    <mergeCell ref="R877"/>
    <mergeCell ref="M878"/>
    <mergeCell ref="N878"/>
    <mergeCell ref="I878"/>
    <mergeCell ref="S878"/>
    <mergeCell ref="O878"/>
    <mergeCell ref="E877"/>
    <mergeCell ref="T877"/>
    <mergeCell ref="X878"/>
    <mergeCell ref="S876"/>
    <mergeCell ref="U876"/>
    <mergeCell ref="D870"/>
    <mergeCell ref="C869"/>
    <mergeCell ref="D869"/>
    <mergeCell ref="E868"/>
    <mergeCell ref="C870"/>
    <mergeCell ref="Q873"/>
    <mergeCell ref="D876"/>
    <mergeCell ref="J876"/>
    <mergeCell ref="F877"/>
    <mergeCell ref="S818"/>
    <mergeCell ref="W819"/>
    <mergeCell ref="Q819"/>
    <mergeCell ref="H817"/>
    <mergeCell ref="A876"/>
    <mergeCell ref="B876"/>
    <mergeCell ref="W879"/>
    <mergeCell ref="H880"/>
    <mergeCell ref="F882"/>
    <mergeCell ref="Q882"/>
    <mergeCell ref="O882"/>
    <mergeCell ref="J882"/>
    <mergeCell ref="T878"/>
    <mergeCell ref="M882"/>
    <mergeCell ref="A875"/>
    <mergeCell ref="B875"/>
    <mergeCell ref="W872"/>
    <mergeCell ref="X873"/>
    <mergeCell ref="O874"/>
    <mergeCell ref="X874"/>
    <mergeCell ref="L873"/>
    <mergeCell ref="J874"/>
    <mergeCell ref="K874"/>
    <mergeCell ref="N874"/>
    <mergeCell ref="T873"/>
    <mergeCell ref="S874"/>
    <mergeCell ref="R874"/>
    <mergeCell ref="R873"/>
    <mergeCell ref="K880"/>
    <mergeCell ref="V880"/>
    <mergeCell ref="T879"/>
    <mergeCell ref="C881"/>
    <mergeCell ref="W877"/>
    <mergeCell ref="F878"/>
    <mergeCell ref="C877"/>
    <mergeCell ref="L877"/>
    <mergeCell ref="G876"/>
    <mergeCell ref="M877"/>
    <mergeCell ref="A878"/>
    <mergeCell ref="L876"/>
    <mergeCell ref="E872"/>
    <mergeCell ref="R879"/>
    <mergeCell ref="B874"/>
    <mergeCell ref="N880"/>
    <mergeCell ref="X880"/>
    <mergeCell ref="S880"/>
    <mergeCell ref="U880"/>
    <mergeCell ref="S820"/>
    <mergeCell ref="R821"/>
    <mergeCell ref="G880"/>
    <mergeCell ref="S879"/>
    <mergeCell ref="C855"/>
    <mergeCell ref="D855"/>
    <mergeCell ref="E855"/>
    <mergeCell ref="F860"/>
    <mergeCell ref="R860"/>
    <mergeCell ref="A824"/>
    <mergeCell ref="F821"/>
    <mergeCell ref="C824"/>
    <mergeCell ref="C823"/>
    <mergeCell ref="B823"/>
    <mergeCell ref="B822"/>
    <mergeCell ref="X821"/>
    <mergeCell ref="A861"/>
    <mergeCell ref="G737"/>
    <mergeCell ref="T736"/>
    <mergeCell ref="J737"/>
    <mergeCell ref="L737"/>
    <mergeCell ref="W737"/>
    <mergeCell ref="N725"/>
    <mergeCell ref="O725"/>
    <mergeCell ref="P725"/>
    <mergeCell ref="Q725"/>
    <mergeCell ref="R723"/>
    <mergeCell ref="L726"/>
    <mergeCell ref="X726"/>
    <mergeCell ref="Y878"/>
    <mergeCell ref="W878"/>
    <mergeCell ref="E878"/>
    <mergeCell ref="P877"/>
    <mergeCell ref="R872"/>
    <mergeCell ref="C873"/>
    <mergeCell ref="E879"/>
    <mergeCell ref="F879"/>
    <mergeCell ref="C880"/>
    <mergeCell ref="M879"/>
    <mergeCell ref="P879"/>
    <mergeCell ref="A874"/>
    <mergeCell ref="Y874"/>
    <mergeCell ref="Z876"/>
    <mergeCell ref="A877"/>
    <mergeCell ref="L815"/>
    <mergeCell ref="Y815"/>
    <mergeCell ref="L816"/>
    <mergeCell ref="M816"/>
    <mergeCell ref="Z817"/>
    <mergeCell ref="Z810"/>
    <mergeCell ref="J809"/>
    <mergeCell ref="T809"/>
    <mergeCell ref="U809"/>
    <mergeCell ref="S809"/>
    <mergeCell ref="R809"/>
    <mergeCell ref="Q809"/>
    <mergeCell ref="T806"/>
    <mergeCell ref="G803"/>
    <mergeCell ref="H803"/>
    <mergeCell ref="I803"/>
    <mergeCell ref="J803"/>
    <mergeCell ref="Q817"/>
    <mergeCell ref="T817"/>
    <mergeCell ref="F818"/>
    <mergeCell ref="G818"/>
    <mergeCell ref="H818"/>
    <mergeCell ref="Y810"/>
    <mergeCell ref="G811"/>
    <mergeCell ref="Z819"/>
    <mergeCell ref="R819"/>
    <mergeCell ref="X819"/>
    <mergeCell ref="R818"/>
    <mergeCell ref="V819"/>
    <mergeCell ref="S819"/>
    <mergeCell ref="Y818"/>
    <mergeCell ref="M811"/>
    <mergeCell ref="V812"/>
    <mergeCell ref="T812"/>
    <mergeCell ref="F812"/>
    <mergeCell ref="I819"/>
    <mergeCell ref="K816"/>
    <mergeCell ref="Z825"/>
    <mergeCell ref="K826"/>
    <mergeCell ref="Y836"/>
    <mergeCell ref="Z843"/>
    <mergeCell ref="T842"/>
    <mergeCell ref="Y842"/>
    <mergeCell ref="Z842"/>
    <mergeCell ref="M841"/>
    <mergeCell ref="H842"/>
    <mergeCell ref="O842"/>
    <mergeCell ref="F843"/>
    <mergeCell ref="G843"/>
    <mergeCell ref="H843"/>
    <mergeCell ref="M832"/>
    <mergeCell ref="E834"/>
    <mergeCell ref="O834"/>
    <mergeCell ref="H837"/>
    <mergeCell ref="X836"/>
    <mergeCell ref="Y835"/>
    <mergeCell ref="I837"/>
    <mergeCell ref="Z836"/>
    <mergeCell ref="N758"/>
    <mergeCell ref="H760"/>
    <mergeCell ref="O760"/>
    <mergeCell ref="U759"/>
    <mergeCell ref="Q761"/>
    <mergeCell ref="P760"/>
    <mergeCell ref="E761"/>
    <mergeCell ref="K760"/>
    <mergeCell ref="N780"/>
    <mergeCell ref="I781"/>
    <mergeCell ref="W781"/>
    <mergeCell ref="V757"/>
    <mergeCell ref="Z761"/>
    <mergeCell ref="Y761"/>
    <mergeCell ref="K757"/>
    <mergeCell ref="I758"/>
    <mergeCell ref="J758"/>
    <mergeCell ref="J757"/>
    <mergeCell ref="R757"/>
    <mergeCell ref="K758"/>
    <mergeCell ref="Z814"/>
    <mergeCell ref="N817"/>
    <mergeCell ref="P818"/>
    <mergeCell ref="N818"/>
    <mergeCell ref="O818"/>
    <mergeCell ref="Q816"/>
    <mergeCell ref="W814"/>
    <mergeCell ref="H814"/>
    <mergeCell ref="U814"/>
    <mergeCell ref="W817"/>
    <mergeCell ref="M818"/>
    <mergeCell ref="O815"/>
    <mergeCell ref="T815"/>
    <mergeCell ref="V815"/>
    <mergeCell ref="F817"/>
    <mergeCell ref="J816"/>
    <mergeCell ref="I816"/>
    <mergeCell ref="N815"/>
    <mergeCell ref="K815"/>
    <mergeCell ref="F819"/>
    <mergeCell ref="U818"/>
    <mergeCell ref="Y817"/>
    <mergeCell ref="N819"/>
    <mergeCell ref="V712"/>
    <mergeCell ref="R712"/>
    <mergeCell ref="T712"/>
    <mergeCell ref="E714"/>
    <mergeCell ref="Z716"/>
    <mergeCell ref="P717"/>
    <mergeCell ref="L709"/>
    <mergeCell ref="F711"/>
    <mergeCell ref="Q705"/>
    <mergeCell ref="R705"/>
    <mergeCell ref="S705"/>
    <mergeCell ref="X707"/>
    <mergeCell ref="G708"/>
    <mergeCell ref="L707"/>
    <mergeCell ref="Y707"/>
    <mergeCell ref="O706"/>
    <mergeCell ref="O713"/>
    <mergeCell ref="S714"/>
    <mergeCell ref="L714"/>
    <mergeCell ref="F715"/>
    <mergeCell ref="M713"/>
    <mergeCell ref="V713"/>
    <mergeCell ref="X728"/>
    <mergeCell ref="P728"/>
    <mergeCell ref="T728"/>
    <mergeCell ref="S728"/>
    <mergeCell ref="R728"/>
    <mergeCell ref="Q728"/>
    <mergeCell ref="X718"/>
    <mergeCell ref="U733"/>
    <mergeCell ref="T733"/>
    <mergeCell ref="S733"/>
    <mergeCell ref="Y733"/>
    <mergeCell ref="Z733"/>
    <mergeCell ref="F721"/>
    <mergeCell ref="Z717"/>
    <mergeCell ref="E720"/>
    <mergeCell ref="N720"/>
    <mergeCell ref="H720"/>
    <mergeCell ref="K720"/>
    <mergeCell ref="Z730"/>
    <mergeCell ref="J731"/>
    <mergeCell ref="X727"/>
    <mergeCell ref="I716"/>
    <mergeCell ref="J716"/>
    <mergeCell ref="Z731"/>
    <mergeCell ref="O731"/>
    <mergeCell ref="X731"/>
    <mergeCell ref="W731"/>
    <mergeCell ref="T731"/>
    <mergeCell ref="P731"/>
    <mergeCell ref="V731"/>
    <mergeCell ref="Z732"/>
    <mergeCell ref="N728"/>
    <mergeCell ref="W728"/>
    <mergeCell ref="Y728"/>
    <mergeCell ref="Z728"/>
    <mergeCell ref="S724"/>
    <mergeCell ref="N726"/>
    <mergeCell ref="Z722"/>
    <mergeCell ref="Y732"/>
    <mergeCell ref="G733"/>
    <mergeCell ref="K732"/>
    <mergeCell ref="F717"/>
    <mergeCell ref="Z762"/>
    <mergeCell ref="O716"/>
    <mergeCell ref="O718"/>
    <mergeCell ref="M718"/>
    <mergeCell ref="K717"/>
    <mergeCell ref="N718"/>
    <mergeCell ref="Z743"/>
    <mergeCell ref="K744"/>
    <mergeCell ref="H743"/>
    <mergeCell ref="H744"/>
    <mergeCell ref="M745"/>
    <mergeCell ref="K742"/>
    <mergeCell ref="L743"/>
    <mergeCell ref="P822"/>
    <mergeCell ref="J822"/>
    <mergeCell ref="M822"/>
    <mergeCell ref="T822"/>
    <mergeCell ref="R822"/>
    <mergeCell ref="K822"/>
    <mergeCell ref="L822"/>
    <mergeCell ref="Y813"/>
    <mergeCell ref="T803"/>
    <mergeCell ref="G804"/>
    <mergeCell ref="Z813"/>
    <mergeCell ref="Z811"/>
    <mergeCell ref="E821"/>
    <mergeCell ref="N822"/>
    <mergeCell ref="W810"/>
    <mergeCell ref="K810"/>
    <mergeCell ref="T810"/>
    <mergeCell ref="O810"/>
    <mergeCell ref="Q810"/>
    <mergeCell ref="M809"/>
    <mergeCell ref="M775"/>
    <mergeCell ref="X775"/>
    <mergeCell ref="T775"/>
    <mergeCell ref="Q775"/>
    <mergeCell ref="U775"/>
    <mergeCell ref="W775"/>
    <mergeCell ref="Z776"/>
    <mergeCell ref="V820"/>
    <mergeCell ref="S756"/>
    <mergeCell ref="W745"/>
    <mergeCell ref="K738"/>
    <mergeCell ref="I738"/>
    <mergeCell ref="Y738"/>
    <mergeCell ref="N747"/>
    <mergeCell ref="X747"/>
    <mergeCell ref="W748"/>
    <mergeCell ref="X748"/>
    <mergeCell ref="Y748"/>
    <mergeCell ref="Z748"/>
    <mergeCell ref="H745"/>
    <mergeCell ref="E746"/>
    <mergeCell ref="G746"/>
    <mergeCell ref="H746"/>
    <mergeCell ref="Y736"/>
    <mergeCell ref="L734"/>
    <mergeCell ref="F738"/>
    <mergeCell ref="G738"/>
    <mergeCell ref="V736"/>
    <mergeCell ref="F737"/>
    <mergeCell ref="I737"/>
    <mergeCell ref="P736"/>
    <mergeCell ref="Z672"/>
    <mergeCell ref="K674"/>
    <mergeCell ref="P703"/>
    <mergeCell ref="Y682"/>
    <mergeCell ref="P684"/>
    <mergeCell ref="Z685"/>
    <mergeCell ref="B689"/>
    <mergeCell ref="I684"/>
    <mergeCell ref="H684"/>
    <mergeCell ref="J684"/>
    <mergeCell ref="L672"/>
    <mergeCell ref="Y672"/>
    <mergeCell ref="H673"/>
    <mergeCell ref="I673"/>
    <mergeCell ref="I672"/>
    <mergeCell ref="Q672"/>
    <mergeCell ref="F673"/>
    <mergeCell ref="G673"/>
    <mergeCell ref="M680"/>
    <mergeCell ref="G681"/>
    <mergeCell ref="F680"/>
    <mergeCell ref="J681"/>
    <mergeCell ref="I681"/>
    <mergeCell ref="H681"/>
    <mergeCell ref="G679"/>
    <mergeCell ref="V678"/>
    <mergeCell ref="W680"/>
    <mergeCell ref="N680"/>
    <mergeCell ref="Q680"/>
    <mergeCell ref="O680"/>
    <mergeCell ref="R680"/>
    <mergeCell ref="S680"/>
    <mergeCell ref="S675"/>
    <mergeCell ref="N674"/>
    <mergeCell ref="D675"/>
    <mergeCell ref="M675"/>
    <mergeCell ref="L675"/>
    <mergeCell ref="K675"/>
    <mergeCell ref="J674"/>
    <mergeCell ref="B700"/>
    <mergeCell ref="C700"/>
    <mergeCell ref="B682"/>
    <mergeCell ref="B681"/>
    <mergeCell ref="B699"/>
    <mergeCell ref="I690"/>
    <mergeCell ref="H688"/>
    <mergeCell ref="Z688"/>
    <mergeCell ref="P688"/>
    <mergeCell ref="Y689"/>
    <mergeCell ref="V688"/>
    <mergeCell ref="Q688"/>
    <mergeCell ref="X691"/>
    <mergeCell ref="H699"/>
    <mergeCell ref="J699"/>
    <mergeCell ref="K699"/>
    <mergeCell ref="Z674"/>
    <mergeCell ref="C691"/>
    <mergeCell ref="S701"/>
    <mergeCell ref="R701"/>
    <mergeCell ref="C689"/>
    <mergeCell ref="D689"/>
    <mergeCell ref="H689"/>
    <mergeCell ref="N688"/>
    <mergeCell ref="M689"/>
    <mergeCell ref="J683"/>
    <mergeCell ref="K700"/>
    <mergeCell ref="F702"/>
    <mergeCell ref="D703"/>
    <mergeCell ref="E703"/>
    <mergeCell ref="L702"/>
    <mergeCell ref="I703"/>
    <mergeCell ref="O702"/>
    <mergeCell ref="N703"/>
    <mergeCell ref="L703"/>
    <mergeCell ref="V702"/>
    <mergeCell ref="J703"/>
    <mergeCell ref="W703"/>
    <mergeCell ref="N701"/>
    <mergeCell ref="O703"/>
    <mergeCell ref="A699"/>
    <mergeCell ref="A704"/>
    <mergeCell ref="H683"/>
    <mergeCell ref="U683"/>
    <mergeCell ref="N683"/>
    <mergeCell ref="W683"/>
    <mergeCell ref="Q683"/>
    <mergeCell ref="T683"/>
    <mergeCell ref="E689"/>
    <mergeCell ref="A687"/>
    <mergeCell ref="A688"/>
    <mergeCell ref="A689"/>
    <mergeCell ref="A692"/>
    <mergeCell ref="M691"/>
    <mergeCell ref="M700"/>
    <mergeCell ref="I699"/>
    <mergeCell ref="A684"/>
    <mergeCell ref="B684"/>
    <mergeCell ref="A685"/>
    <mergeCell ref="J698"/>
    <mergeCell ref="M698"/>
    <mergeCell ref="R697"/>
    <mergeCell ref="S693"/>
    <mergeCell ref="R693"/>
    <mergeCell ref="O692"/>
    <mergeCell ref="W692"/>
    <mergeCell ref="G693"/>
    <mergeCell ref="H693"/>
    <mergeCell ref="V692"/>
    <mergeCell ref="Q693"/>
    <mergeCell ref="M694"/>
    <mergeCell ref="Q692"/>
    <mergeCell ref="E684"/>
    <mergeCell ref="J700"/>
    <mergeCell ref="C701"/>
    <mergeCell ref="S696"/>
    <mergeCell ref="F701"/>
    <mergeCell ref="R702"/>
    <mergeCell ref="L704"/>
    <mergeCell ref="W704"/>
    <mergeCell ref="U704"/>
    <mergeCell ref="T703"/>
    <mergeCell ref="O695"/>
    <mergeCell ref="K695"/>
    <mergeCell ref="G689"/>
    <mergeCell ref="F685"/>
    <mergeCell ref="E695"/>
    <mergeCell ref="F695"/>
    <mergeCell ref="G695"/>
    <mergeCell ref="A705"/>
    <mergeCell ref="C707"/>
    <mergeCell ref="B705"/>
    <mergeCell ref="C705"/>
    <mergeCell ref="E704"/>
    <mergeCell ref="Y703"/>
    <mergeCell ref="W708"/>
    <mergeCell ref="C708"/>
    <mergeCell ref="Z707"/>
    <mergeCell ref="H715"/>
    <mergeCell ref="W714"/>
    <mergeCell ref="F716"/>
    <mergeCell ref="Y712"/>
    <mergeCell ref="F718"/>
    <mergeCell ref="D718"/>
    <mergeCell ref="H718"/>
    <mergeCell ref="I718"/>
    <mergeCell ref="A702"/>
    <mergeCell ref="A701"/>
    <mergeCell ref="B701"/>
    <mergeCell ref="A706"/>
    <mergeCell ref="B706"/>
    <mergeCell ref="C706"/>
    <mergeCell ref="A707"/>
    <mergeCell ref="B707"/>
    <mergeCell ref="V703"/>
    <mergeCell ref="S703"/>
    <mergeCell ref="M703"/>
    <mergeCell ref="Q702"/>
    <mergeCell ref="K703"/>
    <mergeCell ref="H702"/>
    <mergeCell ref="T702"/>
    <mergeCell ref="A674"/>
    <mergeCell ref="D685"/>
    <mergeCell ref="E685"/>
    <mergeCell ref="K718"/>
    <mergeCell ref="Z712"/>
    <mergeCell ref="B712"/>
    <mergeCell ref="D713"/>
    <mergeCell ref="N712"/>
    <mergeCell ref="H713"/>
    <mergeCell ref="G713"/>
    <mergeCell ref="F713"/>
    <mergeCell ref="L712"/>
    <mergeCell ref="I712"/>
    <mergeCell ref="M712"/>
    <mergeCell ref="A712"/>
    <mergeCell ref="H674"/>
    <mergeCell ref="S674"/>
    <mergeCell ref="M674"/>
    <mergeCell ref="W675"/>
    <mergeCell ref="R677"/>
    <mergeCell ref="V718"/>
    <mergeCell ref="C699"/>
    <mergeCell ref="D699"/>
    <mergeCell ref="U698"/>
    <mergeCell ref="S698"/>
    <mergeCell ref="R698"/>
    <mergeCell ref="G699"/>
    <mergeCell ref="N685"/>
    <mergeCell ref="X685"/>
    <mergeCell ref="E686"/>
    <mergeCell ref="F686"/>
    <mergeCell ref="G686"/>
    <mergeCell ref="P672"/>
    <mergeCell ref="T673"/>
    <mergeCell ref="A651"/>
    <mergeCell ref="G651"/>
    <mergeCell ref="I651"/>
    <mergeCell ref="H651"/>
    <mergeCell ref="A683"/>
    <mergeCell ref="B683"/>
    <mergeCell ref="C683"/>
    <mergeCell ref="P680"/>
    <mergeCell ref="U681"/>
    <mergeCell ref="L681"/>
    <mergeCell ref="O661"/>
    <mergeCell ref="S660"/>
    <mergeCell ref="G661"/>
    <mergeCell ref="R654"/>
    <mergeCell ref="W655"/>
    <mergeCell ref="U655"/>
    <mergeCell ref="T655"/>
    <mergeCell ref="X654"/>
    <mergeCell ref="N654"/>
    <mergeCell ref="M655"/>
    <mergeCell ref="Z682"/>
    <mergeCell ref="Q682"/>
    <mergeCell ref="S682"/>
    <mergeCell ref="U682"/>
    <mergeCell ref="T682"/>
    <mergeCell ref="R682"/>
    <mergeCell ref="W682"/>
    <mergeCell ref="L652"/>
    <mergeCell ref="Y657"/>
    <mergeCell ref="Z676"/>
    <mergeCell ref="Z658"/>
    <mergeCell ref="S657"/>
    <mergeCell ref="M658"/>
    <mergeCell ref="Y655"/>
    <mergeCell ref="Z655"/>
    <mergeCell ref="P652"/>
    <mergeCell ref="R652"/>
    <mergeCell ref="Y662"/>
    <mergeCell ref="X672"/>
    <mergeCell ref="X667"/>
    <mergeCell ref="Y665"/>
    <mergeCell ref="X668"/>
    <mergeCell ref="Y668"/>
    <mergeCell ref="X669"/>
    <mergeCell ref="Y667"/>
    <mergeCell ref="X662"/>
    <mergeCell ref="H663"/>
    <mergeCell ref="Y658"/>
    <mergeCell ref="P659"/>
    <mergeCell ref="F657"/>
    <mergeCell ref="R657"/>
    <mergeCell ref="B658"/>
    <mergeCell ref="C658"/>
    <mergeCell ref="L659"/>
    <mergeCell ref="X658"/>
    <mergeCell ref="X681"/>
    <mergeCell ref="Y652"/>
    <mergeCell ref="A658"/>
    <mergeCell ref="N651"/>
    <mergeCell ref="T651"/>
    <mergeCell ref="S651"/>
    <mergeCell ref="G655"/>
    <mergeCell ref="A636"/>
    <mergeCell ref="B636"/>
    <mergeCell ref="W635"/>
    <mergeCell ref="J635"/>
    <mergeCell ref="U635"/>
    <mergeCell ref="Q635"/>
    <mergeCell ref="B632"/>
    <mergeCell ref="W631"/>
    <mergeCell ref="C632"/>
    <mergeCell ref="G650"/>
    <mergeCell ref="A633"/>
    <mergeCell ref="I635"/>
    <mergeCell ref="N638"/>
    <mergeCell ref="Y638"/>
    <mergeCell ref="K637"/>
    <mergeCell ref="V637"/>
    <mergeCell ref="I638"/>
    <mergeCell ref="A631"/>
    <mergeCell ref="B631"/>
    <mergeCell ref="C631"/>
    <mergeCell ref="D632"/>
    <mergeCell ref="E632"/>
    <mergeCell ref="F632"/>
    <mergeCell ref="Q650"/>
    <mergeCell ref="W650"/>
    <mergeCell ref="F650"/>
    <mergeCell ref="C650"/>
    <mergeCell ref="L650"/>
    <mergeCell ref="D650"/>
    <mergeCell ref="P650"/>
    <mergeCell ref="L635"/>
    <mergeCell ref="Q636"/>
    <mergeCell ref="I636"/>
    <mergeCell ref="A649"/>
    <mergeCell ref="A650"/>
    <mergeCell ref="A640"/>
    <mergeCell ref="A642"/>
    <mergeCell ref="A643"/>
    <mergeCell ref="A645"/>
    <mergeCell ref="A646"/>
    <mergeCell ref="A648"/>
    <mergeCell ref="B648"/>
    <mergeCell ref="L631"/>
    <mergeCell ref="N650"/>
    <mergeCell ref="K650"/>
    <mergeCell ref="U644"/>
    <mergeCell ref="S644"/>
    <mergeCell ref="E645"/>
    <mergeCell ref="F645"/>
    <mergeCell ref="N645"/>
    <mergeCell ref="Y636"/>
    <mergeCell ref="I649"/>
    <mergeCell ref="O649"/>
    <mergeCell ref="T639"/>
    <mergeCell ref="T631"/>
    <mergeCell ref="V633"/>
    <mergeCell ref="E628"/>
    <mergeCell ref="F628"/>
    <mergeCell ref="K628"/>
    <mergeCell ref="W627"/>
    <mergeCell ref="K623"/>
    <mergeCell ref="Z616"/>
    <mergeCell ref="Y615"/>
    <mergeCell ref="U620"/>
    <mergeCell ref="W624"/>
    <mergeCell ref="I623"/>
    <mergeCell ref="L624"/>
    <mergeCell ref="I622"/>
    <mergeCell ref="J622"/>
    <mergeCell ref="K622"/>
    <mergeCell ref="S592"/>
    <mergeCell ref="L592"/>
    <mergeCell ref="Y586"/>
    <mergeCell ref="T596"/>
    <mergeCell ref="M596"/>
    <mergeCell ref="Q596"/>
    <mergeCell ref="L593"/>
    <mergeCell ref="W593"/>
    <mergeCell ref="M594"/>
    <mergeCell ref="X630"/>
    <mergeCell ref="Q631"/>
    <mergeCell ref="P630"/>
    <mergeCell ref="X631"/>
    <mergeCell ref="T627"/>
    <mergeCell ref="Q628"/>
    <mergeCell ref="X628"/>
    <mergeCell ref="V627"/>
    <mergeCell ref="O628"/>
    <mergeCell ref="M589"/>
    <mergeCell ref="H594"/>
    <mergeCell ref="M628"/>
    <mergeCell ref="T628"/>
    <mergeCell ref="O627"/>
    <mergeCell ref="X627"/>
    <mergeCell ref="N628"/>
    <mergeCell ref="Z624"/>
    <mergeCell ref="Y623"/>
    <mergeCell ref="Z623"/>
    <mergeCell ref="P598"/>
    <mergeCell ref="Z593"/>
    <mergeCell ref="T600"/>
    <mergeCell ref="N601"/>
    <mergeCell ref="L604"/>
    <mergeCell ref="M604"/>
    <mergeCell ref="N604"/>
    <mergeCell ref="T623"/>
    <mergeCell ref="N623"/>
    <mergeCell ref="F620"/>
    <mergeCell ref="U619"/>
    <mergeCell ref="R623"/>
    <mergeCell ref="M625"/>
    <mergeCell ref="E615"/>
    <mergeCell ref="K624"/>
    <mergeCell ref="I621"/>
    <mergeCell ref="U622"/>
    <mergeCell ref="P621"/>
    <mergeCell ref="O622"/>
    <mergeCell ref="P617"/>
    <mergeCell ref="Z613"/>
    <mergeCell ref="L614"/>
    <mergeCell ref="V624"/>
    <mergeCell ref="X624"/>
    <mergeCell ref="Y625"/>
    <mergeCell ref="Z625"/>
    <mergeCell ref="Y632"/>
    <mergeCell ref="Y624"/>
    <mergeCell ref="L622"/>
    <mergeCell ref="M622"/>
    <mergeCell ref="R615"/>
    <mergeCell ref="M624"/>
    <mergeCell ref="N624"/>
    <mergeCell ref="O624"/>
    <mergeCell ref="H623"/>
    <mergeCell ref="S623"/>
    <mergeCell ref="P624"/>
    <mergeCell ref="Q624"/>
    <mergeCell ref="K615"/>
    <mergeCell ref="T615"/>
    <mergeCell ref="O615"/>
    <mergeCell ref="Q615"/>
    <mergeCell ref="Z615"/>
    <mergeCell ref="N616"/>
    <mergeCell ref="V623"/>
    <mergeCell ref="U616"/>
    <mergeCell ref="T616"/>
    <mergeCell ref="R625"/>
    <mergeCell ref="H626"/>
    <mergeCell ref="Z628"/>
    <mergeCell ref="P628"/>
    <mergeCell ref="U628"/>
    <mergeCell ref="R628"/>
    <mergeCell ref="V628"/>
    <mergeCell ref="W628"/>
    <mergeCell ref="S628"/>
    <mergeCell ref="H627"/>
    <mergeCell ref="S627"/>
    <mergeCell ref="Y593"/>
    <mergeCell ref="Y595"/>
    <mergeCell ref="O595"/>
    <mergeCell ref="U595"/>
    <mergeCell ref="P595"/>
    <mergeCell ref="W595"/>
    <mergeCell ref="D588"/>
    <mergeCell ref="L589"/>
    <mergeCell ref="K589"/>
    <mergeCell ref="H589"/>
    <mergeCell ref="A595"/>
    <mergeCell ref="F595"/>
    <mergeCell ref="A591"/>
    <mergeCell ref="F591"/>
    <mergeCell ref="B589"/>
    <mergeCell ref="D591"/>
    <mergeCell ref="I591"/>
    <mergeCell ref="V595"/>
    <mergeCell ref="L594"/>
    <mergeCell ref="T595"/>
    <mergeCell ref="F594"/>
    <mergeCell ref="Q594"/>
    <mergeCell ref="C588"/>
    <mergeCell ref="W589"/>
    <mergeCell ref="R589"/>
    <mergeCell ref="Q589"/>
    <mergeCell ref="X595"/>
    <mergeCell ref="Y590"/>
    <mergeCell ref="B590"/>
    <mergeCell ref="I595"/>
    <mergeCell ref="H595"/>
    <mergeCell ref="A593"/>
    <mergeCell ref="L591"/>
    <mergeCell ref="Y594"/>
    <mergeCell ref="C594"/>
    <mergeCell ref="L595"/>
    <mergeCell ref="M595"/>
    <mergeCell ref="C589"/>
    <mergeCell ref="C593"/>
    <mergeCell ref="I588"/>
    <mergeCell ref="J588"/>
    <mergeCell ref="K588"/>
    <mergeCell ref="L588"/>
    <mergeCell ref="X592"/>
    <mergeCell ref="Y592"/>
    <mergeCell ref="B594"/>
    <mergeCell ref="B591"/>
    <mergeCell ref="P590"/>
    <mergeCell ref="C592"/>
    <mergeCell ref="I592"/>
    <mergeCell ref="N588"/>
    <mergeCell ref="F588"/>
    <mergeCell ref="J592"/>
    <mergeCell ref="O594"/>
    <mergeCell ref="B592"/>
    <mergeCell ref="B588"/>
    <mergeCell ref="Q592"/>
    <mergeCell ref="P592"/>
    <mergeCell ref="N592"/>
    <mergeCell ref="H592"/>
    <mergeCell ref="O591"/>
    <mergeCell ref="M592"/>
    <mergeCell ref="K592"/>
    <mergeCell ref="O592"/>
    <mergeCell ref="G591"/>
    <mergeCell ref="R591"/>
    <mergeCell ref="T592"/>
    <mergeCell ref="T589"/>
    <mergeCell ref="X593"/>
    <mergeCell ref="Q593"/>
    <mergeCell ref="X596"/>
    <mergeCell ref="D596"/>
    <mergeCell ref="G596"/>
    <mergeCell ref="C591"/>
    <mergeCell ref="U590"/>
    <mergeCell ref="V588"/>
    <mergeCell ref="B587"/>
    <mergeCell ref="Q588"/>
    <mergeCell ref="M591"/>
    <mergeCell ref="N589"/>
    <mergeCell ref="O589"/>
    <mergeCell ref="V585"/>
    <mergeCell ref="G593"/>
    <mergeCell ref="A585"/>
    <mergeCell ref="E583"/>
    <mergeCell ref="C585"/>
    <mergeCell ref="D583"/>
    <mergeCell ref="D584"/>
    <mergeCell ref="A594"/>
    <mergeCell ref="P591"/>
    <mergeCell ref="B593"/>
    <mergeCell ref="A592"/>
    <mergeCell ref="I593"/>
    <mergeCell ref="U593"/>
    <mergeCell ref="J583"/>
    <mergeCell ref="A587"/>
    <mergeCell ref="E585"/>
    <mergeCell ref="H585"/>
    <mergeCell ref="E586"/>
    <mergeCell ref="R585"/>
    <mergeCell ref="F585"/>
    <mergeCell ref="L488"/>
    <mergeCell ref="Z489"/>
    <mergeCell ref="E490"/>
    <mergeCell ref="D490"/>
    <mergeCell ref="W489"/>
    <mergeCell ref="N485"/>
    <mergeCell ref="F597"/>
    <mergeCell ref="Q598"/>
    <mergeCell ref="R598"/>
    <mergeCell ref="L597"/>
    <mergeCell ref="G595"/>
    <mergeCell ref="C596"/>
    <mergeCell ref="J596"/>
    <mergeCell ref="H597"/>
    <mergeCell ref="R597"/>
    <mergeCell ref="M597"/>
    <mergeCell ref="O597"/>
    <mergeCell ref="H596"/>
    <mergeCell ref="N595"/>
    <mergeCell ref="S595"/>
    <mergeCell ref="R595"/>
    <mergeCell ref="K594"/>
    <mergeCell ref="B595"/>
    <mergeCell ref="N594"/>
    <mergeCell ref="D592"/>
    <mergeCell ref="E592"/>
    <mergeCell ref="F592"/>
    <mergeCell ref="G592"/>
    <mergeCell ref="R588"/>
    <mergeCell ref="I585"/>
    <mergeCell ref="L586"/>
    <mergeCell ref="A588"/>
    <mergeCell ref="A589"/>
    <mergeCell ref="J591"/>
    <mergeCell ref="C590"/>
    <mergeCell ref="H591"/>
    <mergeCell ref="E591"/>
    <mergeCell ref="G589"/>
    <mergeCell ref="M588"/>
    <mergeCell ref="A597"/>
    <mergeCell ref="B597"/>
    <mergeCell ref="A596"/>
    <mergeCell ref="L596"/>
    <mergeCell ref="M593"/>
    <mergeCell ref="D593"/>
    <mergeCell ref="H593"/>
    <mergeCell ref="E593"/>
    <mergeCell ref="K593"/>
    <mergeCell ref="W592"/>
    <mergeCell ref="S591"/>
    <mergeCell ref="U592"/>
    <mergeCell ref="X591"/>
    <mergeCell ref="Y589"/>
    <mergeCell ref="T591"/>
    <mergeCell ref="I589"/>
    <mergeCell ref="U589"/>
    <mergeCell ref="G588"/>
    <mergeCell ref="P589"/>
    <mergeCell ref="E589"/>
    <mergeCell ref="A590"/>
    <mergeCell ref="E595"/>
    <mergeCell ref="D595"/>
    <mergeCell ref="K591"/>
    <mergeCell ref="R592"/>
    <mergeCell ref="Q581"/>
    <mergeCell ref="R581"/>
    <mergeCell ref="L584"/>
    <mergeCell ref="E412"/>
    <mergeCell ref="F412"/>
    <mergeCell ref="P416"/>
    <mergeCell ref="L416"/>
    <mergeCell ref="W416"/>
    <mergeCell ref="K416"/>
    <mergeCell ref="H415"/>
    <mergeCell ref="D452"/>
    <mergeCell ref="H452"/>
    <mergeCell ref="G452"/>
    <mergeCell ref="F452"/>
    <mergeCell ref="J584"/>
    <mergeCell ref="B569"/>
    <mergeCell ref="N567"/>
    <mergeCell ref="X566"/>
    <mergeCell ref="K567"/>
    <mergeCell ref="L567"/>
    <mergeCell ref="T566"/>
    <mergeCell ref="U566"/>
    <mergeCell ref="V566"/>
    <mergeCell ref="Q567"/>
    <mergeCell ref="X567"/>
    <mergeCell ref="A567"/>
    <mergeCell ref="B567"/>
    <mergeCell ref="C567"/>
    <mergeCell ref="A543"/>
    <mergeCell ref="F542"/>
    <mergeCell ref="R542"/>
    <mergeCell ref="C542"/>
    <mergeCell ref="N542"/>
    <mergeCell ref="H544"/>
    <mergeCell ref="Q560"/>
    <mergeCell ref="X561"/>
    <mergeCell ref="I568"/>
    <mergeCell ref="X568"/>
    <mergeCell ref="W569"/>
    <mergeCell ref="X569"/>
    <mergeCell ref="A575"/>
    <mergeCell ref="A576"/>
    <mergeCell ref="A582"/>
    <mergeCell ref="A581"/>
    <mergeCell ref="A580"/>
    <mergeCell ref="O577"/>
    <mergeCell ref="R577"/>
    <mergeCell ref="H577"/>
    <mergeCell ref="S577"/>
    <mergeCell ref="S483"/>
    <mergeCell ref="U483"/>
    <mergeCell ref="G483"/>
    <mergeCell ref="J483"/>
    <mergeCell ref="S473"/>
    <mergeCell ref="I473"/>
    <mergeCell ref="E584"/>
    <mergeCell ref="O582"/>
    <mergeCell ref="K583"/>
    <mergeCell ref="A501"/>
    <mergeCell ref="H502"/>
    <mergeCell ref="P494"/>
    <mergeCell ref="X494"/>
    <mergeCell ref="N496"/>
    <mergeCell ref="W496"/>
    <mergeCell ref="A489"/>
    <mergeCell ref="P488"/>
    <mergeCell ref="Q488"/>
    <mergeCell ref="R488"/>
    <mergeCell ref="S488"/>
    <mergeCell ref="O488"/>
    <mergeCell ref="K487"/>
    <mergeCell ref="X486"/>
    <mergeCell ref="D488"/>
    <mergeCell ref="Y487"/>
    <mergeCell ref="E488"/>
    <mergeCell ref="F488"/>
    <mergeCell ref="A490"/>
    <mergeCell ref="U488"/>
    <mergeCell ref="V486"/>
    <mergeCell ref="P487"/>
    <mergeCell ref="X487"/>
    <mergeCell ref="A486"/>
    <mergeCell ref="Z482"/>
    <mergeCell ref="R483"/>
    <mergeCell ref="H484"/>
    <mergeCell ref="F484"/>
    <mergeCell ref="Z487"/>
    <mergeCell ref="Z476"/>
    <mergeCell ref="H475"/>
    <mergeCell ref="S475"/>
    <mergeCell ref="V475"/>
    <mergeCell ref="Z475"/>
    <mergeCell ref="D476"/>
    <mergeCell ref="E476"/>
    <mergeCell ref="F476"/>
    <mergeCell ref="H474"/>
    <mergeCell ref="Q474"/>
    <mergeCell ref="L474"/>
    <mergeCell ref="N474"/>
    <mergeCell ref="K483"/>
    <mergeCell ref="L483"/>
    <mergeCell ref="M483"/>
    <mergeCell ref="N483"/>
    <mergeCell ref="A484"/>
    <mergeCell ref="Z488"/>
    <mergeCell ref="Z486"/>
    <mergeCell ref="L487"/>
    <mergeCell ref="Q486"/>
    <mergeCell ref="O486"/>
    <mergeCell ref="M487"/>
    <mergeCell ref="T486"/>
    <mergeCell ref="S487"/>
    <mergeCell ref="Q487"/>
    <mergeCell ref="B485"/>
    <mergeCell ref="S484"/>
    <mergeCell ref="Y486"/>
    <mergeCell ref="X488"/>
    <mergeCell ref="Y488"/>
    <mergeCell ref="B489"/>
    <mergeCell ref="C489"/>
    <mergeCell ref="D489"/>
    <mergeCell ref="R485"/>
    <mergeCell ref="W485"/>
    <mergeCell ref="C484"/>
    <mergeCell ref="D484"/>
    <mergeCell ref="M485"/>
    <mergeCell ref="L484"/>
    <mergeCell ref="H486"/>
    <mergeCell ref="A422"/>
    <mergeCell ref="K420"/>
    <mergeCell ref="J420"/>
    <mergeCell ref="V418"/>
    <mergeCell ref="B419"/>
    <mergeCell ref="X418"/>
    <mergeCell ref="Y418"/>
    <mergeCell ref="U464"/>
    <mergeCell ref="V464"/>
    <mergeCell ref="W464"/>
    <mergeCell ref="X464"/>
    <mergeCell ref="Y464"/>
    <mergeCell ref="U451"/>
    <mergeCell ref="V451"/>
    <mergeCell ref="X451"/>
    <mergeCell ref="B451"/>
    <mergeCell ref="G451"/>
    <mergeCell ref="P451"/>
    <mergeCell ref="T451"/>
    <mergeCell ref="R451"/>
    <mergeCell ref="E452"/>
    <mergeCell ref="D451"/>
    <mergeCell ref="R469"/>
    <mergeCell ref="D470"/>
    <mergeCell ref="E470"/>
    <mergeCell ref="F470"/>
    <mergeCell ref="W457"/>
    <mergeCell ref="T459"/>
    <mergeCell ref="X459"/>
    <mergeCell ref="B421"/>
    <mergeCell ref="A469"/>
    <mergeCell ref="K463"/>
    <mergeCell ref="L463"/>
    <mergeCell ref="A464"/>
    <mergeCell ref="L465"/>
    <mergeCell ref="Y465"/>
    <mergeCell ref="I465"/>
    <mergeCell ref="Q464"/>
    <mergeCell ref="R464"/>
    <mergeCell ref="W465"/>
    <mergeCell ref="A455"/>
    <mergeCell ref="A467"/>
    <mergeCell ref="B467"/>
    <mergeCell ref="Q462"/>
    <mergeCell ref="S462"/>
    <mergeCell ref="B455"/>
    <mergeCell ref="B453"/>
    <mergeCell ref="A457"/>
    <mergeCell ref="J451"/>
    <mergeCell ref="L451"/>
    <mergeCell ref="A452"/>
    <mergeCell ref="B452"/>
    <mergeCell ref="Y419"/>
    <mergeCell ref="W453"/>
    <mergeCell ref="A451"/>
    <mergeCell ref="W451"/>
    <mergeCell ref="W406"/>
    <mergeCell ref="J399"/>
    <mergeCell ref="S400"/>
    <mergeCell ref="R400"/>
    <mergeCell ref="Y403"/>
    <mergeCell ref="K404"/>
    <mergeCell ref="H406"/>
    <mergeCell ref="X400"/>
    <mergeCell ref="W400"/>
    <mergeCell ref="O398"/>
    <mergeCell ref="L397"/>
    <mergeCell ref="T396"/>
    <mergeCell ref="P397"/>
    <mergeCell ref="N397"/>
    <mergeCell ref="I398"/>
    <mergeCell ref="H397"/>
    <mergeCell ref="X396"/>
    <mergeCell ref="V395"/>
    <mergeCell ref="F406"/>
    <mergeCell ref="G406"/>
    <mergeCell ref="K406"/>
    <mergeCell ref="E475"/>
    <mergeCell ref="B476"/>
    <mergeCell ref="C476"/>
    <mergeCell ref="L476"/>
    <mergeCell ref="N476"/>
    <mergeCell ref="U475"/>
    <mergeCell ref="T475"/>
    <mergeCell ref="R475"/>
    <mergeCell ref="Q475"/>
    <mergeCell ref="C421"/>
    <mergeCell ref="K421"/>
    <mergeCell ref="G421"/>
    <mergeCell ref="E473"/>
    <mergeCell ref="K473"/>
    <mergeCell ref="F473"/>
    <mergeCell ref="O473"/>
    <mergeCell ref="H473"/>
    <mergeCell ref="L473"/>
    <mergeCell ref="G473"/>
    <mergeCell ref="C475"/>
    <mergeCell ref="K414"/>
    <mergeCell ref="M411"/>
    <mergeCell ref="T413"/>
    <mergeCell ref="F413"/>
    <mergeCell ref="P417"/>
    <mergeCell ref="Y417"/>
    <mergeCell ref="F395"/>
    <mergeCell ref="I403"/>
    <mergeCell ref="P345"/>
    <mergeCell ref="Q345"/>
    <mergeCell ref="S345"/>
    <mergeCell ref="R345"/>
    <mergeCell ref="L411"/>
    <mergeCell ref="U411"/>
    <mergeCell ref="A412"/>
    <mergeCell ref="B412"/>
    <mergeCell ref="R409"/>
    <mergeCell ref="M410"/>
    <mergeCell ref="S410"/>
    <mergeCell ref="G411"/>
    <mergeCell ref="H412"/>
    <mergeCell ref="Y411"/>
    <mergeCell ref="V411"/>
    <mergeCell ref="T411"/>
    <mergeCell ref="A348"/>
    <mergeCell ref="B348"/>
    <mergeCell ref="E348"/>
    <mergeCell ref="L345"/>
    <mergeCell ref="B386"/>
    <mergeCell ref="F386"/>
    <mergeCell ref="A370"/>
    <mergeCell ref="T346"/>
    <mergeCell ref="Y346"/>
    <mergeCell ref="J398"/>
    <mergeCell ref="K398"/>
    <mergeCell ref="R391"/>
    <mergeCell ref="T348"/>
    <mergeCell ref="K348"/>
    <mergeCell ref="N348"/>
    <mergeCell ref="L348"/>
    <mergeCell ref="O348"/>
    <mergeCell ref="D348"/>
    <mergeCell ref="M346"/>
    <mergeCell ref="R347"/>
    <mergeCell ref="V352"/>
    <mergeCell ref="R349"/>
    <mergeCell ref="Q352"/>
    <mergeCell ref="T352"/>
    <mergeCell ref="S352"/>
    <mergeCell ref="R352"/>
    <mergeCell ref="A397"/>
    <mergeCell ref="B397"/>
    <mergeCell ref="A406"/>
    <mergeCell ref="B406"/>
    <mergeCell ref="X405"/>
    <mergeCell ref="Q392"/>
    <mergeCell ref="I391"/>
    <mergeCell ref="N390"/>
    <mergeCell ref="R406"/>
    <mergeCell ref="N409"/>
    <mergeCell ref="W409"/>
    <mergeCell ref="P409"/>
    <mergeCell ref="T409"/>
    <mergeCell ref="E406"/>
    <mergeCell ref="Q397"/>
    <mergeCell ref="W397"/>
    <mergeCell ref="R397"/>
    <mergeCell ref="S397"/>
    <mergeCell ref="T397"/>
    <mergeCell ref="U397"/>
    <mergeCell ref="H398"/>
    <mergeCell ref="S399"/>
    <mergeCell ref="Z404"/>
    <mergeCell ref="E405"/>
    <mergeCell ref="H405"/>
    <mergeCell ref="I405"/>
    <mergeCell ref="Q398"/>
    <mergeCell ref="Y386"/>
    <mergeCell ref="M387"/>
    <mergeCell ref="Z394"/>
    <mergeCell ref="Y405"/>
    <mergeCell ref="K395"/>
    <mergeCell ref="J396"/>
    <mergeCell ref="K396"/>
    <mergeCell ref="L396"/>
    <mergeCell ref="P395"/>
    <mergeCell ref="F396"/>
    <mergeCell ref="H396"/>
    <mergeCell ref="I396"/>
    <mergeCell ref="J403"/>
    <mergeCell ref="Y402"/>
    <mergeCell ref="L403"/>
    <mergeCell ref="R402"/>
    <mergeCell ref="P392"/>
    <mergeCell ref="V397"/>
    <mergeCell ref="E400"/>
    <mergeCell ref="E402"/>
    <mergeCell ref="Z398"/>
    <mergeCell ref="X392"/>
    <mergeCell ref="F393"/>
    <mergeCell ref="P391"/>
    <mergeCell ref="T389"/>
    <mergeCell ref="J393"/>
    <mergeCell ref="B396"/>
    <mergeCell ref="D391"/>
    <mergeCell ref="U390"/>
    <mergeCell ref="G391"/>
    <mergeCell ref="F391"/>
    <mergeCell ref="O390"/>
    <mergeCell ref="Q390"/>
    <mergeCell ref="L390"/>
    <mergeCell ref="J401"/>
    <mergeCell ref="L402"/>
    <mergeCell ref="T399"/>
    <mergeCell ref="G401"/>
    <mergeCell ref="Y400"/>
    <mergeCell ref="V400"/>
    <mergeCell ref="T400"/>
    <mergeCell ref="T398"/>
    <mergeCell ref="F400"/>
    <mergeCell ref="J397"/>
    <mergeCell ref="U392"/>
    <mergeCell ref="S392"/>
    <mergeCell ref="M390"/>
    <mergeCell ref="X390"/>
    <mergeCell ref="A274"/>
    <mergeCell ref="B274"/>
    <mergeCell ref="C274"/>
    <mergeCell ref="Z274"/>
    <mergeCell ref="M275"/>
    <mergeCell ref="U274"/>
    <mergeCell ref="W274"/>
    <mergeCell ref="O283"/>
    <mergeCell ref="X284"/>
    <mergeCell ref="R283"/>
    <mergeCell ref="U283"/>
    <mergeCell ref="J283"/>
    <mergeCell ref="B283"/>
    <mergeCell ref="F281"/>
    <mergeCell ref="L284"/>
    <mergeCell ref="D283"/>
    <mergeCell ref="J284"/>
    <mergeCell ref="D284"/>
    <mergeCell ref="I284"/>
    <mergeCell ref="M284"/>
    <mergeCell ref="A282"/>
    <mergeCell ref="Y280"/>
    <mergeCell ref="Z280"/>
    <mergeCell ref="Y274"/>
    <mergeCell ref="M274"/>
    <mergeCell ref="X274"/>
    <mergeCell ref="V274"/>
    <mergeCell ref="Q274"/>
    <mergeCell ref="I275"/>
    <mergeCell ref="J275"/>
    <mergeCell ref="K275"/>
    <mergeCell ref="L275"/>
    <mergeCell ref="S275"/>
    <mergeCell ref="N274"/>
    <mergeCell ref="I274"/>
    <mergeCell ref="A275"/>
    <mergeCell ref="B275"/>
    <mergeCell ref="B277"/>
    <mergeCell ref="X275"/>
    <mergeCell ref="M276"/>
    <mergeCell ref="T276"/>
    <mergeCell ref="N275"/>
    <mergeCell ref="N276"/>
    <mergeCell ref="W280"/>
    <mergeCell ref="S279"/>
    <mergeCell ref="P280"/>
    <mergeCell ref="Q280"/>
    <mergeCell ref="S280"/>
    <mergeCell ref="H280"/>
    <mergeCell ref="A280"/>
    <mergeCell ref="B279"/>
    <mergeCell ref="U279"/>
    <mergeCell ref="O280"/>
    <mergeCell ref="N279"/>
    <mergeCell ref="M280"/>
    <mergeCell ref="Q279"/>
    <mergeCell ref="T280"/>
    <mergeCell ref="C279"/>
    <mergeCell ref="C280"/>
    <mergeCell ref="A277"/>
    <mergeCell ref="G276"/>
    <mergeCell ref="A278"/>
    <mergeCell ref="U668"/>
    <mergeCell ref="Q667"/>
    <mergeCell ref="Q757"/>
    <mergeCell ref="M758"/>
    <mergeCell ref="S757"/>
    <mergeCell ref="N757"/>
    <mergeCell ref="R760"/>
    <mergeCell ref="L761"/>
    <mergeCell ref="E762"/>
    <mergeCell ref="C763"/>
    <mergeCell ref="M761"/>
    <mergeCell ref="A762"/>
    <mergeCell ref="P761"/>
    <mergeCell ref="V761"/>
    <mergeCell ref="W761"/>
    <mergeCell ref="S761"/>
    <mergeCell ref="T761"/>
    <mergeCell ref="U761"/>
    <mergeCell ref="V760"/>
    <mergeCell ref="R761"/>
    <mergeCell ref="X761"/>
    <mergeCell ref="I762"/>
    <mergeCell ref="W762"/>
    <mergeCell ref="A764"/>
    <mergeCell ref="F762"/>
    <mergeCell ref="K763"/>
    <mergeCell ref="D763"/>
    <mergeCell ref="Q763"/>
    <mergeCell ref="D762"/>
    <mergeCell ref="M757"/>
    <mergeCell ref="C761"/>
    <mergeCell ref="D761"/>
    <mergeCell ref="N759"/>
    <mergeCell ref="W759"/>
    <mergeCell ref="A760"/>
    <mergeCell ref="B760"/>
    <mergeCell ref="C760"/>
    <mergeCell ref="A761"/>
    <mergeCell ref="L758"/>
    <mergeCell ref="U757"/>
    <mergeCell ref="H759"/>
    <mergeCell ref="I759"/>
    <mergeCell ref="J759"/>
    <mergeCell ref="K759"/>
    <mergeCell ref="L759"/>
    <mergeCell ref="G758"/>
    <mergeCell ref="H758"/>
    <mergeCell ref="G761"/>
    <mergeCell ref="O762"/>
    <mergeCell ref="V758"/>
    <mergeCell ref="U758"/>
    <mergeCell ref="X763"/>
    <mergeCell ref="N760"/>
    <mergeCell ref="L760"/>
    <mergeCell ref="J760"/>
    <mergeCell ref="N761"/>
    <mergeCell ref="O761"/>
    <mergeCell ref="C764"/>
    <mergeCell ref="D764"/>
    <mergeCell ref="P763"/>
    <mergeCell ref="I760"/>
    <mergeCell ref="A700"/>
    <mergeCell ref="A682"/>
    <mergeCell ref="A691"/>
    <mergeCell ref="D782"/>
    <mergeCell ref="E782"/>
    <mergeCell ref="F782"/>
    <mergeCell ref="N782"/>
    <mergeCell ref="W782"/>
    <mergeCell ref="P782"/>
    <mergeCell ref="T782"/>
    <mergeCell ref="T791"/>
    <mergeCell ref="P791"/>
    <mergeCell ref="W792"/>
    <mergeCell ref="Z764"/>
    <mergeCell ref="N763"/>
    <mergeCell ref="B765"/>
    <mergeCell ref="E774"/>
    <mergeCell ref="E769"/>
    <mergeCell ref="B772"/>
    <mergeCell ref="I771"/>
    <mergeCell ref="F772"/>
    <mergeCell ref="G772"/>
    <mergeCell ref="H772"/>
    <mergeCell ref="I772"/>
    <mergeCell ref="J772"/>
    <mergeCell ref="Q772"/>
    <mergeCell ref="Y772"/>
    <mergeCell ref="U772"/>
    <mergeCell ref="T772"/>
    <mergeCell ref="O773"/>
    <mergeCell ref="U773"/>
    <mergeCell ref="O772"/>
    <mergeCell ref="T773"/>
    <mergeCell ref="S773"/>
    <mergeCell ref="R773"/>
    <mergeCell ref="Q773"/>
    <mergeCell ref="N772"/>
    <mergeCell ref="W772"/>
    <mergeCell ref="R764"/>
    <mergeCell ref="U763"/>
    <mergeCell ref="W764"/>
    <mergeCell ref="S763"/>
    <mergeCell ref="U764"/>
    <mergeCell ref="P764"/>
    <mergeCell ref="E767"/>
    <mergeCell ref="I779"/>
    <mergeCell ref="B781"/>
    <mergeCell ref="B780"/>
    <mergeCell ref="C779"/>
    <mergeCell ref="C782"/>
    <mergeCell ref="F788"/>
    <mergeCell ref="X779"/>
    <mergeCell ref="E784"/>
    <mergeCell ref="F784"/>
    <mergeCell ref="D792"/>
    <mergeCell ref="Z792"/>
    <mergeCell ref="W786"/>
    <mergeCell ref="Y789"/>
    <mergeCell ref="Q791"/>
    <mergeCell ref="O789"/>
    <mergeCell ref="W789"/>
    <mergeCell ref="Z789"/>
    <mergeCell ref="Z790"/>
    <mergeCell ref="M791"/>
    <mergeCell ref="V786"/>
    <mergeCell ref="S787"/>
    <mergeCell ref="X787"/>
    <mergeCell ref="X730"/>
    <mergeCell ref="V730"/>
    <mergeCell ref="U730"/>
    <mergeCell ref="T730"/>
    <mergeCell ref="S730"/>
    <mergeCell ref="R730"/>
    <mergeCell ref="G730"/>
    <mergeCell ref="W730"/>
    <mergeCell ref="C731"/>
    <mergeCell ref="D731"/>
    <mergeCell ref="E731"/>
    <mergeCell ref="W712"/>
    <mergeCell ref="J713"/>
    <mergeCell ref="Z747"/>
    <mergeCell ref="Y743"/>
    <mergeCell ref="A735"/>
    <mergeCell ref="B735"/>
    <mergeCell ref="C735"/>
    <mergeCell ref="D735"/>
    <mergeCell ref="D734"/>
    <mergeCell ref="O733"/>
    <mergeCell ref="W652"/>
    <mergeCell ref="G653"/>
    <mergeCell ref="H653"/>
    <mergeCell ref="K654"/>
    <mergeCell ref="S654"/>
    <mergeCell ref="W654"/>
    <mergeCell ref="V654"/>
    <mergeCell ref="U654"/>
    <mergeCell ref="T654"/>
    <mergeCell ref="U652"/>
    <mergeCell ref="E653"/>
    <mergeCell ref="F653"/>
    <mergeCell ref="S653"/>
    <mergeCell ref="S659"/>
    <mergeCell ref="Q659"/>
    <mergeCell ref="E683"/>
    <mergeCell ref="M682"/>
    <mergeCell ref="M681"/>
    <mergeCell ref="T681"/>
    <mergeCell ref="N681"/>
    <mergeCell ref="R681"/>
    <mergeCell ref="P681"/>
    <mergeCell ref="V681"/>
    <mergeCell ref="I682"/>
    <mergeCell ref="E681"/>
    <mergeCell ref="L680"/>
    <mergeCell ref="O681"/>
    <mergeCell ref="E682"/>
    <mergeCell ref="N682"/>
    <mergeCell ref="S683"/>
    <mergeCell ref="M683"/>
    <mergeCell ref="H682"/>
    <mergeCell ref="W681"/>
    <mergeCell ref="J653"/>
    <mergeCell ref="R653"/>
    <mergeCell ref="R660"/>
    <mergeCell ref="L655"/>
    <mergeCell ref="H655"/>
    <mergeCell ref="T680"/>
    <mergeCell ref="T678"/>
    <mergeCell ref="G680"/>
    <mergeCell ref="K683"/>
    <mergeCell ref="P679"/>
    <mergeCell ref="M672"/>
    <mergeCell ref="J672"/>
    <mergeCell ref="O667"/>
    <mergeCell ref="V668"/>
    <mergeCell ref="W668"/>
    <mergeCell ref="P671"/>
    <mergeCell ref="E664"/>
    <mergeCell ref="I666"/>
    <mergeCell ref="R665"/>
    <mergeCell ref="E666"/>
    <mergeCell ref="J666"/>
    <mergeCell ref="S665"/>
    <mergeCell ref="L666"/>
    <mergeCell ref="E662"/>
    <mergeCell ref="U659"/>
    <mergeCell ref="U665"/>
    <mergeCell ref="B654"/>
    <mergeCell ref="Q666"/>
    <mergeCell ref="P666"/>
    <mergeCell ref="S667"/>
    <mergeCell ref="C667"/>
    <mergeCell ref="D673"/>
    <mergeCell ref="E673"/>
    <mergeCell ref="J662"/>
    <mergeCell ref="G662"/>
    <mergeCell ref="J661"/>
    <mergeCell ref="S661"/>
    <mergeCell ref="M661"/>
    <mergeCell ref="P661"/>
    <mergeCell ref="Y651"/>
    <mergeCell ref="P655"/>
    <mergeCell ref="K655"/>
    <mergeCell ref="E656"/>
    <mergeCell ref="F656"/>
    <mergeCell ref="I656"/>
    <mergeCell ref="T656"/>
    <mergeCell ref="P654"/>
    <mergeCell ref="J656"/>
    <mergeCell ref="R656"/>
    <mergeCell ref="U653"/>
    <mergeCell ref="J654"/>
    <mergeCell ref="I654"/>
    <mergeCell ref="Q655"/>
    <mergeCell ref="W657"/>
    <mergeCell ref="X657"/>
    <mergeCell ref="Y659"/>
    <mergeCell ref="B660"/>
    <mergeCell ref="U658"/>
    <mergeCell ref="Q657"/>
    <mergeCell ref="C659"/>
    <mergeCell ref="D659"/>
    <mergeCell ref="O658"/>
    <mergeCell ref="E659"/>
    <mergeCell ref="K656"/>
    <mergeCell ref="P657"/>
    <mergeCell ref="I657"/>
    <mergeCell ref="N660"/>
    <mergeCell ref="M660"/>
    <mergeCell ref="D655"/>
    <mergeCell ref="Q654"/>
    <mergeCell ref="T660"/>
    <mergeCell ref="L660"/>
    <mergeCell ref="K660"/>
    <mergeCell ref="J660"/>
    <mergeCell ref="I660"/>
    <mergeCell ref="K653"/>
    <mergeCell ref="V653"/>
    <mergeCell ref="D654"/>
    <mergeCell ref="Q653"/>
    <mergeCell ref="P653"/>
    <mergeCell ref="X653"/>
    <mergeCell ref="H654"/>
    <mergeCell ref="L654"/>
    <mergeCell ref="N655"/>
    <mergeCell ref="V657"/>
    <mergeCell ref="K658"/>
    <mergeCell ref="M656"/>
    <mergeCell ref="H657"/>
    <mergeCell ref="A654"/>
    <mergeCell ref="F654"/>
    <mergeCell ref="L669"/>
    <mergeCell ref="N669"/>
    <mergeCell ref="D669"/>
    <mergeCell ref="S668"/>
    <mergeCell ref="L667"/>
    <mergeCell ref="J668"/>
    <mergeCell ref="K668"/>
    <mergeCell ref="T668"/>
    <mergeCell ref="G669"/>
    <mergeCell ref="L668"/>
    <mergeCell ref="T667"/>
    <mergeCell ref="E669"/>
    <mergeCell ref="S662"/>
    <mergeCell ref="Q660"/>
    <mergeCell ref="F661"/>
    <mergeCell ref="P660"/>
    <mergeCell ref="O652"/>
    <mergeCell ref="G652"/>
    <mergeCell ref="M652"/>
    <mergeCell ref="L653"/>
    <mergeCell ref="N653"/>
    <mergeCell ref="I653"/>
    <mergeCell ref="D652"/>
    <mergeCell ref="B663"/>
    <mergeCell ref="A662"/>
    <mergeCell ref="N664"/>
    <mergeCell ref="O664"/>
    <mergeCell ref="Q663"/>
    <mergeCell ref="T663"/>
    <mergeCell ref="N663"/>
    <mergeCell ref="R668"/>
    <mergeCell ref="I669"/>
    <mergeCell ref="C656"/>
    <mergeCell ref="T662"/>
    <mergeCell ref="R662"/>
    <mergeCell ref="N659"/>
    <mergeCell ref="M659"/>
    <mergeCell ref="G660"/>
    <mergeCell ref="K657"/>
    <mergeCell ref="H656"/>
    <mergeCell ref="I655"/>
    <mergeCell ref="F658"/>
    <mergeCell ref="J658"/>
    <mergeCell ref="O660"/>
    <mergeCell ref="R655"/>
    <mergeCell ref="M654"/>
    <mergeCell ref="J655"/>
    <mergeCell ref="O655"/>
    <mergeCell ref="O654"/>
    <mergeCell ref="S655"/>
    <mergeCell ref="G656"/>
    <mergeCell ref="N652"/>
    <mergeCell ref="D664"/>
    <mergeCell ref="C664"/>
    <mergeCell ref="H662"/>
    <mergeCell ref="O662"/>
    <mergeCell ref="P662"/>
    <mergeCell ref="N662"/>
    <mergeCell ref="Q662"/>
    <mergeCell ref="F662"/>
    <mergeCell ref="M662"/>
    <mergeCell ref="H668"/>
    <mergeCell ref="A659"/>
    <mergeCell ref="N657"/>
    <mergeCell ref="C669"/>
    <mergeCell ref="P667"/>
    <mergeCell ref="Q658"/>
    <mergeCell ref="C648"/>
    <mergeCell ref="Y645"/>
    <mergeCell ref="H647"/>
    <mergeCell ref="K647"/>
    <mergeCell ref="R646"/>
    <mergeCell ref="I647"/>
    <mergeCell ref="N648"/>
    <mergeCell ref="M648"/>
    <mergeCell ref="X648"/>
    <mergeCell ref="V648"/>
    <mergeCell ref="A641"/>
    <mergeCell ref="Y640"/>
    <mergeCell ref="A647"/>
    <mergeCell ref="H646"/>
    <mergeCell ref="R645"/>
    <mergeCell ref="G646"/>
    <mergeCell ref="P646"/>
    <mergeCell ref="V647"/>
    <mergeCell ref="X646"/>
    <mergeCell ref="B647"/>
    <mergeCell ref="C647"/>
    <mergeCell ref="F646"/>
    <mergeCell ref="N646"/>
    <mergeCell ref="U643"/>
    <mergeCell ref="S645"/>
    <mergeCell ref="W645"/>
    <mergeCell ref="V644"/>
    <mergeCell ref="E644"/>
    <mergeCell ref="F644"/>
    <mergeCell ref="Q646"/>
    <mergeCell ref="L645"/>
    <mergeCell ref="R644"/>
    <mergeCell ref="J645"/>
    <mergeCell ref="J643"/>
    <mergeCell ref="W641"/>
    <mergeCell ref="P645"/>
    <mergeCell ref="V645"/>
    <mergeCell ref="X644"/>
    <mergeCell ref="Y647"/>
    <mergeCell ref="X645"/>
    <mergeCell ref="E650"/>
    <mergeCell ref="T650"/>
    <mergeCell ref="D656"/>
    <mergeCell ref="G654"/>
    <mergeCell ref="T653"/>
    <mergeCell ref="Y583"/>
    <mergeCell ref="M585"/>
    <mergeCell ref="Y654"/>
    <mergeCell ref="E655"/>
    <mergeCell ref="F655"/>
    <mergeCell ref="F669"/>
    <mergeCell ref="Q668"/>
    <mergeCell ref="K662"/>
    <mergeCell ref="L662"/>
    <mergeCell ref="C661"/>
    <mergeCell ref="C662"/>
    <mergeCell ref="K661"/>
    <mergeCell ref="U661"/>
    <mergeCell ref="N661"/>
    <mergeCell ref="E652"/>
    <mergeCell ref="A653"/>
    <mergeCell ref="A644"/>
    <mergeCell ref="K648"/>
    <mergeCell ref="L647"/>
    <mergeCell ref="M647"/>
    <mergeCell ref="N647"/>
    <mergeCell ref="D648"/>
    <mergeCell ref="Y641"/>
    <mergeCell ref="J650"/>
    <mergeCell ref="V650"/>
    <mergeCell ref="D647"/>
    <mergeCell ref="E647"/>
    <mergeCell ref="O646"/>
    <mergeCell ref="W646"/>
    <mergeCell ref="M568"/>
    <mergeCell ref="V569"/>
    <mergeCell ref="M570"/>
    <mergeCell ref="E596"/>
    <mergeCell ref="R596"/>
    <mergeCell ref="W583"/>
    <mergeCell ref="N584"/>
    <mergeCell ref="U584"/>
    <mergeCell ref="V584"/>
    <mergeCell ref="W584"/>
    <mergeCell ref="X584"/>
    <mergeCell ref="Y584"/>
    <mergeCell ref="F583"/>
    <mergeCell ref="K585"/>
    <mergeCell ref="D585"/>
    <mergeCell ref="R582"/>
    <mergeCell ref="M583"/>
    <mergeCell ref="T583"/>
    <mergeCell ref="I584"/>
    <mergeCell ref="L583"/>
    <mergeCell ref="R590"/>
    <mergeCell ref="I590"/>
    <mergeCell ref="T590"/>
    <mergeCell ref="M590"/>
    <mergeCell ref="Q590"/>
    <mergeCell ref="J590"/>
    <mergeCell ref="X590"/>
    <mergeCell ref="O590"/>
    <mergeCell ref="W590"/>
    <mergeCell ref="I650"/>
    <mergeCell ref="X598"/>
    <mergeCell ref="N599"/>
    <mergeCell ref="F598"/>
    <mergeCell ref="N597"/>
    <mergeCell ref="M598"/>
    <mergeCell ref="B627"/>
    <mergeCell ref="C627"/>
    <mergeCell ref="Y649"/>
    <mergeCell ref="Z649"/>
    <mergeCell ref="M634"/>
    <mergeCell ref="C635"/>
    <mergeCell ref="F635"/>
    <mergeCell ref="G634"/>
    <mergeCell ref="D635"/>
    <mergeCell ref="B637"/>
    <mergeCell ref="E637"/>
    <mergeCell ref="X636"/>
    <mergeCell ref="T636"/>
    <mergeCell ref="P636"/>
    <mergeCell ref="V636"/>
    <mergeCell ref="W636"/>
    <mergeCell ref="N636"/>
    <mergeCell ref="G637"/>
    <mergeCell ref="L636"/>
    <mergeCell ref="Y622"/>
    <mergeCell ref="V621"/>
    <mergeCell ref="W622"/>
    <mergeCell ref="W621"/>
    <mergeCell ref="X621"/>
    <mergeCell ref="V622"/>
    <mergeCell ref="Z622"/>
    <mergeCell ref="H622"/>
    <mergeCell ref="Q640"/>
    <mergeCell ref="F641"/>
    <mergeCell ref="P641"/>
    <mergeCell ref="D643"/>
    <mergeCell ref="C642"/>
    <mergeCell ref="I644"/>
    <mergeCell ref="Y643"/>
    <mergeCell ref="V643"/>
    <mergeCell ref="T643"/>
    <mergeCell ref="X643"/>
    <mergeCell ref="J627"/>
    <mergeCell ref="E626"/>
    <mergeCell ref="G626"/>
    <mergeCell ref="Q626"/>
    <mergeCell ref="V629"/>
    <mergeCell ref="O631"/>
    <mergeCell ref="L626"/>
    <mergeCell ref="V626"/>
    <mergeCell ref="R626"/>
    <mergeCell ref="T626"/>
    <mergeCell ref="Y626"/>
    <mergeCell ref="Z626"/>
    <mergeCell ref="F627"/>
    <mergeCell ref="M627"/>
    <mergeCell ref="B649"/>
    <mergeCell ref="C649"/>
    <mergeCell ref="Z645"/>
    <mergeCell ref="M639"/>
    <mergeCell ref="W640"/>
    <mergeCell ref="I628"/>
    <mergeCell ref="N629"/>
    <mergeCell ref="G629"/>
    <mergeCell ref="D630"/>
    <mergeCell ref="E630"/>
    <mergeCell ref="W623"/>
    <mergeCell ref="T624"/>
    <mergeCell ref="U624"/>
    <mergeCell ref="A627"/>
    <mergeCell ref="Z646"/>
    <mergeCell ref="Z647"/>
    <mergeCell ref="P647"/>
    <mergeCell ref="X589"/>
    <mergeCell ref="V589"/>
    <mergeCell ref="W588"/>
    <mergeCell ref="X588"/>
    <mergeCell ref="K590"/>
    <mergeCell ref="F590"/>
    <mergeCell ref="C577"/>
    <mergeCell ref="N570"/>
    <mergeCell ref="V570"/>
    <mergeCell ref="R570"/>
    <mergeCell ref="P570"/>
    <mergeCell ref="I586"/>
    <mergeCell ref="H586"/>
    <mergeCell ref="U587"/>
    <mergeCell ref="G586"/>
    <mergeCell ref="K586"/>
    <mergeCell ref="P583"/>
    <mergeCell ref="O583"/>
    <mergeCell ref="O586"/>
    <mergeCell ref="W586"/>
    <mergeCell ref="F589"/>
    <mergeCell ref="S589"/>
    <mergeCell ref="J577"/>
    <mergeCell ref="H578"/>
    <mergeCell ref="S581"/>
    <mergeCell ref="Z591"/>
    <mergeCell ref="C584"/>
    <mergeCell ref="M584"/>
    <mergeCell ref="U580"/>
    <mergeCell ref="P581"/>
    <mergeCell ref="N580"/>
    <mergeCell ref="D581"/>
    <mergeCell ref="G580"/>
    <mergeCell ref="K580"/>
    <mergeCell ref="R586"/>
    <mergeCell ref="O588"/>
    <mergeCell ref="P588"/>
    <mergeCell ref="Z589"/>
    <mergeCell ref="Z586"/>
    <mergeCell ref="Z588"/>
    <mergeCell ref="V591"/>
    <mergeCell ref="Q591"/>
    <mergeCell ref="S588"/>
    <mergeCell ref="E588"/>
    <mergeCell ref="H590"/>
    <mergeCell ref="J589"/>
    <mergeCell ref="D590"/>
    <mergeCell ref="D589"/>
    <mergeCell ref="L590"/>
    <mergeCell ref="X570"/>
    <mergeCell ref="Q574"/>
    <mergeCell ref="L575"/>
    <mergeCell ref="E575"/>
    <mergeCell ref="D573"/>
    <mergeCell ref="J573"/>
    <mergeCell ref="E573"/>
    <mergeCell ref="C571"/>
    <mergeCell ref="Z585"/>
    <mergeCell ref="E576"/>
    <mergeCell ref="K578"/>
    <mergeCell ref="Z554"/>
    <mergeCell ref="Z558"/>
    <mergeCell ref="Z555"/>
    <mergeCell ref="I558"/>
    <mergeCell ref="L558"/>
    <mergeCell ref="N557"/>
    <mergeCell ref="J558"/>
    <mergeCell ref="V557"/>
    <mergeCell ref="H558"/>
    <mergeCell ref="I557"/>
    <mergeCell ref="W557"/>
    <mergeCell ref="Y557"/>
    <mergeCell ref="H557"/>
    <mergeCell ref="S557"/>
    <mergeCell ref="Q557"/>
    <mergeCell ref="L557"/>
    <mergeCell ref="Z559"/>
    <mergeCell ref="Z546"/>
    <mergeCell ref="Z547"/>
    <mergeCell ref="Y551"/>
    <mergeCell ref="Z548"/>
    <mergeCell ref="Z545"/>
    <mergeCell ref="L549"/>
    <mergeCell ref="T554"/>
    <mergeCell ref="L556"/>
    <mergeCell ref="J553"/>
    <mergeCell ref="K555"/>
    <mergeCell ref="O554"/>
    <mergeCell ref="R555"/>
    <mergeCell ref="P555"/>
    <mergeCell ref="T555"/>
    <mergeCell ref="Q555"/>
    <mergeCell ref="X555"/>
    <mergeCell ref="Z553"/>
    <mergeCell ref="Y555"/>
    <mergeCell ref="Y556"/>
    <mergeCell ref="Z556"/>
    <mergeCell ref="M547"/>
    <mergeCell ref="H554"/>
    <mergeCell ref="I554"/>
    <mergeCell ref="N554"/>
    <mergeCell ref="W555"/>
    <mergeCell ref="W556"/>
    <mergeCell ref="X547"/>
    <mergeCell ref="U555"/>
    <mergeCell ref="P554"/>
    <mergeCell ref="N555"/>
    <mergeCell ref="O555"/>
    <mergeCell ref="S555"/>
    <mergeCell ref="V555"/>
    <mergeCell ref="X556"/>
    <mergeCell ref="N550"/>
    <mergeCell ref="O550"/>
    <mergeCell ref="X550"/>
    <mergeCell ref="Q550"/>
    <mergeCell ref="S550"/>
    <mergeCell ref="H551"/>
    <mergeCell ref="P553"/>
    <mergeCell ref="X553"/>
    <mergeCell ref="T553"/>
    <mergeCell ref="S553"/>
    <mergeCell ref="X558"/>
    <mergeCell ref="W558"/>
    <mergeCell ref="Y558"/>
    <mergeCell ref="E538"/>
    <mergeCell ref="F538"/>
    <mergeCell ref="B543"/>
    <mergeCell ref="F543"/>
    <mergeCell ref="I546"/>
    <mergeCell ref="Z540"/>
    <mergeCell ref="R537"/>
    <mergeCell ref="H540"/>
    <mergeCell ref="S540"/>
    <mergeCell ref="L550"/>
    <mergeCell ref="M552"/>
    <mergeCell ref="Y552"/>
    <mergeCell ref="W552"/>
    <mergeCell ref="O552"/>
    <mergeCell ref="Z549"/>
    <mergeCell ref="M550"/>
    <mergeCell ref="V550"/>
    <mergeCell ref="Z552"/>
    <mergeCell ref="N549"/>
    <mergeCell ref="G549"/>
    <mergeCell ref="I549"/>
    <mergeCell ref="J549"/>
    <mergeCell ref="H552"/>
    <mergeCell ref="S552"/>
    <mergeCell ref="Z543"/>
    <mergeCell ref="G550"/>
    <mergeCell ref="H550"/>
    <mergeCell ref="I550"/>
    <mergeCell ref="S542"/>
    <mergeCell ref="V542"/>
    <mergeCell ref="I542"/>
    <mergeCell ref="Y537"/>
    <mergeCell ref="M538"/>
    <mergeCell ref="Q537"/>
    <mergeCell ref="O537"/>
    <mergeCell ref="Q540"/>
    <mergeCell ref="I541"/>
    <mergeCell ref="L541"/>
    <mergeCell ref="T541"/>
    <mergeCell ref="J541"/>
    <mergeCell ref="Q541"/>
    <mergeCell ref="K541"/>
    <mergeCell ref="V541"/>
    <mergeCell ref="P541"/>
    <mergeCell ref="Z539"/>
    <mergeCell ref="Y542"/>
    <mergeCell ref="U542"/>
    <mergeCell ref="X546"/>
    <mergeCell ref="S546"/>
    <mergeCell ref="O546"/>
    <mergeCell ref="Q546"/>
    <mergeCell ref="V546"/>
    <mergeCell ref="W546"/>
    <mergeCell ref="Y538"/>
    <mergeCell ref="M537"/>
    <mergeCell ref="W537"/>
    <mergeCell ref="P537"/>
    <mergeCell ref="T537"/>
    <mergeCell ref="H538"/>
    <mergeCell ref="I538"/>
    <mergeCell ref="J538"/>
    <mergeCell ref="N538"/>
    <mergeCell ref="G537"/>
    <mergeCell ref="N539"/>
    <mergeCell ref="D542"/>
    <mergeCell ref="F549"/>
    <mergeCell ref="E543"/>
    <mergeCell ref="B538"/>
    <mergeCell ref="C538"/>
    <mergeCell ref="D538"/>
    <mergeCell ref="B537"/>
    <mergeCell ref="C559"/>
    <mergeCell ref="U559"/>
    <mergeCell ref="P566"/>
    <mergeCell ref="A511"/>
    <mergeCell ref="A512"/>
    <mergeCell ref="P510"/>
    <mergeCell ref="T509"/>
    <mergeCell ref="W510"/>
    <mergeCell ref="A540"/>
    <mergeCell ref="A541"/>
    <mergeCell ref="A538"/>
    <mergeCell ref="R544"/>
    <mergeCell ref="T551"/>
    <mergeCell ref="V551"/>
    <mergeCell ref="F545"/>
    <mergeCell ref="M545"/>
    <mergeCell ref="U545"/>
    <mergeCell ref="Q544"/>
    <mergeCell ref="O544"/>
    <mergeCell ref="W545"/>
    <mergeCell ref="T545"/>
    <mergeCell ref="R545"/>
    <mergeCell ref="S545"/>
    <mergeCell ref="L547"/>
    <mergeCell ref="W548"/>
    <mergeCell ref="S547"/>
    <mergeCell ref="P548"/>
    <mergeCell ref="Q548"/>
    <mergeCell ref="M541"/>
    <mergeCell ref="W542"/>
    <mergeCell ref="C546"/>
    <mergeCell ref="B547"/>
    <mergeCell ref="C547"/>
    <mergeCell ref="B548"/>
    <mergeCell ref="G543"/>
    <mergeCell ref="N544"/>
    <mergeCell ref="C543"/>
    <mergeCell ref="W541"/>
    <mergeCell ref="E544"/>
    <mergeCell ref="F544"/>
    <mergeCell ref="K543"/>
    <mergeCell ref="A544"/>
    <mergeCell ref="G558"/>
    <mergeCell ref="P557"/>
    <mergeCell ref="Q558"/>
    <mergeCell ref="A535"/>
    <mergeCell ref="E542"/>
    <mergeCell ref="D549"/>
    <mergeCell ref="D557"/>
    <mergeCell ref="C557"/>
    <mergeCell ref="C556"/>
    <mergeCell ref="G554"/>
    <mergeCell ref="D553"/>
    <mergeCell ref="E553"/>
    <mergeCell ref="D536"/>
    <mergeCell ref="E554"/>
    <mergeCell ref="F554"/>
    <mergeCell ref="A539"/>
    <mergeCell ref="B539"/>
    <mergeCell ref="V547"/>
    <mergeCell ref="J546"/>
    <mergeCell ref="E548"/>
    <mergeCell ref="D547"/>
    <mergeCell ref="W547"/>
    <mergeCell ref="H537"/>
    <mergeCell ref="A542"/>
    <mergeCell ref="L540"/>
    <mergeCell ref="K540"/>
    <mergeCell ref="J539"/>
    <mergeCell ref="V537"/>
    <mergeCell ref="M539"/>
    <mergeCell ref="P538"/>
    <mergeCell ref="T539"/>
    <mergeCell ref="L539"/>
    <mergeCell ref="B540"/>
    <mergeCell ref="C540"/>
    <mergeCell ref="D540"/>
    <mergeCell ref="E540"/>
    <mergeCell ref="F540"/>
    <mergeCell ref="M544"/>
    <mergeCell ref="U544"/>
    <mergeCell ref="Y545"/>
    <mergeCell ref="Q545"/>
    <mergeCell ref="N548"/>
    <mergeCell ref="J547"/>
    <mergeCell ref="F546"/>
    <mergeCell ref="A549"/>
    <mergeCell ref="B549"/>
    <mergeCell ref="G547"/>
    <mergeCell ref="M548"/>
    <mergeCell ref="L548"/>
    <mergeCell ref="I548"/>
    <mergeCell ref="H548"/>
    <mergeCell ref="J548"/>
    <mergeCell ref="C539"/>
    <mergeCell ref="V538"/>
    <mergeCell ref="Q538"/>
    <mergeCell ref="R538"/>
    <mergeCell ref="G539"/>
    <mergeCell ref="L545"/>
    <mergeCell ref="Y544"/>
    <mergeCell ref="Y546"/>
    <mergeCell ref="O548"/>
    <mergeCell ref="B544"/>
    <mergeCell ref="C544"/>
    <mergeCell ref="G548"/>
    <mergeCell ref="D546"/>
    <mergeCell ref="P547"/>
    <mergeCell ref="Y548"/>
    <mergeCell ref="P546"/>
    <mergeCell ref="V545"/>
    <mergeCell ref="X545"/>
    <mergeCell ref="X548"/>
    <mergeCell ref="T548"/>
    <mergeCell ref="R548"/>
    <mergeCell ref="U548"/>
    <mergeCell ref="V548"/>
    <mergeCell ref="N546"/>
    <mergeCell ref="H549"/>
    <mergeCell ref="T549"/>
    <mergeCell ref="D537"/>
    <mergeCell ref="O541"/>
    <mergeCell ref="X564"/>
    <mergeCell ref="Y540"/>
    <mergeCell ref="X541"/>
    <mergeCell ref="Y547"/>
    <mergeCell ref="N543"/>
    <mergeCell ref="W538"/>
    <mergeCell ref="B529"/>
    <mergeCell ref="K538"/>
    <mergeCell ref="C519"/>
    <mergeCell ref="D519"/>
    <mergeCell ref="B528"/>
    <mergeCell ref="H529"/>
    <mergeCell ref="V519"/>
    <mergeCell ref="Q519"/>
    <mergeCell ref="P519"/>
    <mergeCell ref="N519"/>
    <mergeCell ref="C536"/>
    <mergeCell ref="H531"/>
    <mergeCell ref="T531"/>
    <mergeCell ref="V531"/>
    <mergeCell ref="W531"/>
    <mergeCell ref="L528"/>
    <mergeCell ref="E519"/>
    <mergeCell ref="F519"/>
    <mergeCell ref="N526"/>
    <mergeCell ref="E527"/>
    <mergeCell ref="O528"/>
    <mergeCell ref="S528"/>
    <mergeCell ref="B542"/>
    <mergeCell ref="G541"/>
    <mergeCell ref="C537"/>
    <mergeCell ref="Y549"/>
    <mergeCell ref="O549"/>
    <mergeCell ref="E547"/>
    <mergeCell ref="D539"/>
    <mergeCell ref="G544"/>
    <mergeCell ref="P544"/>
    <mergeCell ref="U539"/>
    <mergeCell ref="P539"/>
    <mergeCell ref="O539"/>
    <mergeCell ref="Q539"/>
    <mergeCell ref="R539"/>
    <mergeCell ref="S539"/>
    <mergeCell ref="V543"/>
    <mergeCell ref="B546"/>
    <mergeCell ref="M546"/>
    <mergeCell ref="R547"/>
    <mergeCell ref="C541"/>
    <mergeCell ref="B541"/>
    <mergeCell ref="E541"/>
    <mergeCell ref="D541"/>
    <mergeCell ref="P540"/>
    <mergeCell ref="M540"/>
    <mergeCell ref="J540"/>
    <mergeCell ref="G540"/>
    <mergeCell ref="K539"/>
    <mergeCell ref="K532"/>
    <mergeCell ref="P543"/>
    <mergeCell ref="L543"/>
    <mergeCell ref="D551"/>
    <mergeCell ref="E551"/>
    <mergeCell ref="F551"/>
    <mergeCell ref="E549"/>
    <mergeCell ref="G986"/>
    <mergeCell ref="S984"/>
    <mergeCell ref="I985"/>
    <mergeCell ref="G985"/>
    <mergeCell ref="L985"/>
    <mergeCell ref="O985"/>
    <mergeCell ref="Z957"/>
    <mergeCell ref="P957"/>
    <mergeCell ref="V957"/>
    <mergeCell ref="Q957"/>
    <mergeCell ref="R957"/>
    <mergeCell ref="T957"/>
    <mergeCell ref="X957"/>
    <mergeCell ref="Y967"/>
    <mergeCell ref="Z967"/>
    <mergeCell ref="K967"/>
    <mergeCell ref="P966"/>
    <mergeCell ref="T967"/>
    <mergeCell ref="N967"/>
    <mergeCell ref="D543"/>
    <mergeCell ref="G542"/>
    <mergeCell ref="I488"/>
    <mergeCell ref="J488"/>
    <mergeCell ref="Y529"/>
    <mergeCell ref="Y528"/>
    <mergeCell ref="T528"/>
    <mergeCell ref="U528"/>
    <mergeCell ref="W528"/>
    <mergeCell ref="L555"/>
    <mergeCell ref="F557"/>
    <mergeCell ref="G557"/>
    <mergeCell ref="O557"/>
    <mergeCell ref="K557"/>
    <mergeCell ref="J557"/>
    <mergeCell ref="Q553"/>
    <mergeCell ref="U553"/>
    <mergeCell ref="R553"/>
    <mergeCell ref="W553"/>
    <mergeCell ref="W570"/>
    <mergeCell ref="O570"/>
    <mergeCell ref="Z542"/>
    <mergeCell ref="Z544"/>
    <mergeCell ref="K542"/>
    <mergeCell ref="U540"/>
    <mergeCell ref="X540"/>
    <mergeCell ref="L544"/>
    <mergeCell ref="X544"/>
    <mergeCell ref="H543"/>
    <mergeCell ref="X542"/>
    <mergeCell ref="K537"/>
    <mergeCell ref="U537"/>
    <mergeCell ref="G538"/>
    <mergeCell ref="G551"/>
    <mergeCell ref="I544"/>
    <mergeCell ref="R565"/>
    <mergeCell ref="X565"/>
    <mergeCell ref="O564"/>
    <mergeCell ref="W565"/>
    <mergeCell ref="V565"/>
    <mergeCell ref="U565"/>
    <mergeCell ref="T565"/>
    <mergeCell ref="E508"/>
    <mergeCell ref="M516"/>
    <mergeCell ref="U515"/>
    <mergeCell ref="B958"/>
    <mergeCell ref="Y971"/>
    <mergeCell ref="C963"/>
    <mergeCell ref="J964"/>
    <mergeCell ref="I964"/>
    <mergeCell ref="H964"/>
    <mergeCell ref="E964"/>
    <mergeCell ref="F964"/>
    <mergeCell ref="L964"/>
    <mergeCell ref="M964"/>
    <mergeCell ref="A984"/>
    <mergeCell ref="A985"/>
    <mergeCell ref="A988"/>
    <mergeCell ref="A990"/>
    <mergeCell ref="D989"/>
    <mergeCell ref="J984"/>
    <mergeCell ref="U984"/>
    <mergeCell ref="W984"/>
    <mergeCell ref="T984"/>
    <mergeCell ref="Q984"/>
    <mergeCell ref="A986"/>
    <mergeCell ref="U986"/>
    <mergeCell ref="F983"/>
    <mergeCell ref="G983"/>
    <mergeCell ref="J966"/>
    <mergeCell ref="M967"/>
    <mergeCell ref="E965"/>
    <mergeCell ref="A981"/>
    <mergeCell ref="I980"/>
    <mergeCell ref="G980"/>
    <mergeCell ref="H980"/>
    <mergeCell ref="C980"/>
    <mergeCell ref="Q979"/>
    <mergeCell ref="X980"/>
    <mergeCell ref="U980"/>
    <mergeCell ref="S980"/>
    <mergeCell ref="R980"/>
    <mergeCell ref="W980"/>
    <mergeCell ref="I978"/>
    <mergeCell ref="C979"/>
    <mergeCell ref="J979"/>
    <mergeCell ref="Y983"/>
    <mergeCell ref="R975"/>
    <mergeCell ref="B984"/>
    <mergeCell ref="B982"/>
    <mergeCell ref="A983"/>
    <mergeCell ref="B983"/>
    <mergeCell ref="B959"/>
    <mergeCell ref="F987"/>
    <mergeCell ref="P961"/>
    <mergeCell ref="O960"/>
    <mergeCell ref="R988"/>
    <mergeCell ref="B989"/>
    <mergeCell ref="B988"/>
    <mergeCell ref="D985"/>
    <mergeCell ref="C985"/>
    <mergeCell ref="E984"/>
    <mergeCell ref="B990"/>
    <mergeCell ref="L984"/>
    <mergeCell ref="U985"/>
    <mergeCell ref="R983"/>
    <mergeCell ref="G984"/>
    <mergeCell ref="K984"/>
    <mergeCell ref="B986"/>
    <mergeCell ref="F992"/>
    <mergeCell ref="N991"/>
    <mergeCell ref="S990"/>
    <mergeCell ref="V991"/>
    <mergeCell ref="K990"/>
    <mergeCell ref="W990"/>
    <mergeCell ref="J991"/>
    <mergeCell ref="K991"/>
    <mergeCell ref="S992"/>
    <mergeCell ref="I992"/>
    <mergeCell ref="M992"/>
    <mergeCell ref="K992"/>
    <mergeCell ref="N992"/>
    <mergeCell ref="O992"/>
    <mergeCell ref="Q992"/>
    <mergeCell ref="G992"/>
    <mergeCell ref="R992"/>
    <mergeCell ref="I990"/>
    <mergeCell ref="U990"/>
    <mergeCell ref="H991"/>
    <mergeCell ref="Y986"/>
    <mergeCell ref="X986"/>
    <mergeCell ref="M981"/>
    <mergeCell ref="E989"/>
    <mergeCell ref="P988"/>
    <mergeCell ref="J992"/>
    <mergeCell ref="N990"/>
    <mergeCell ref="Y990"/>
    <mergeCell ref="L991"/>
    <mergeCell ref="M991"/>
    <mergeCell ref="F989"/>
    <mergeCell ref="M989"/>
    <mergeCell ref="D990"/>
    <mergeCell ref="E990"/>
    <mergeCell ref="Y981"/>
    <mergeCell ref="O981"/>
    <mergeCell ref="S981"/>
    <mergeCell ref="Q981"/>
    <mergeCell ref="E982"/>
    <mergeCell ref="D982"/>
    <mergeCell ref="Y989"/>
    <mergeCell ref="V984"/>
    <mergeCell ref="Q982"/>
    <mergeCell ref="F984"/>
    <mergeCell ref="T983"/>
    <mergeCell ref="X983"/>
    <mergeCell ref="S983"/>
    <mergeCell ref="V983"/>
    <mergeCell ref="W983"/>
    <mergeCell ref="U983"/>
    <mergeCell ref="O983"/>
    <mergeCell ref="X985"/>
    <mergeCell ref="P985"/>
    <mergeCell ref="Q985"/>
    <mergeCell ref="R985"/>
    <mergeCell ref="S985"/>
    <mergeCell ref="T985"/>
    <mergeCell ref="V985"/>
    <mergeCell ref="Y985"/>
    <mergeCell ref="P984"/>
    <mergeCell ref="J983"/>
    <mergeCell ref="S982"/>
    <mergeCell ref="D984"/>
    <mergeCell ref="E988"/>
    <mergeCell ref="E986"/>
    <mergeCell ref="D986"/>
    <mergeCell ref="F986"/>
    <mergeCell ref="Y984"/>
    <mergeCell ref="F985"/>
    <mergeCell ref="K985"/>
    <mergeCell ref="M985"/>
    <mergeCell ref="N985"/>
    <mergeCell ref="H986"/>
    <mergeCell ref="P986"/>
    <mergeCell ref="L986"/>
    <mergeCell ref="N983"/>
    <mergeCell ref="V986"/>
    <mergeCell ref="I986"/>
    <mergeCell ref="D988"/>
    <mergeCell ref="W986"/>
    <mergeCell ref="B987"/>
    <mergeCell ref="C988"/>
    <mergeCell ref="T981"/>
    <mergeCell ref="U981"/>
    <mergeCell ref="W981"/>
    <mergeCell ref="D981"/>
    <mergeCell ref="J981"/>
    <mergeCell ref="K982"/>
    <mergeCell ref="I982"/>
    <mergeCell ref="P982"/>
    <mergeCell ref="H982"/>
    <mergeCell ref="L982"/>
    <mergeCell ref="J982"/>
    <mergeCell ref="N982"/>
    <mergeCell ref="F982"/>
    <mergeCell ref="A982"/>
    <mergeCell ref="G982"/>
    <mergeCell ref="W982"/>
    <mergeCell ref="Y982"/>
    <mergeCell ref="I984"/>
    <mergeCell ref="H984"/>
    <mergeCell ref="E985"/>
    <mergeCell ref="C986"/>
    <mergeCell ref="B985"/>
    <mergeCell ref="C984"/>
    <mergeCell ref="D987"/>
    <mergeCell ref="E987"/>
    <mergeCell ref="O982"/>
    <mergeCell ref="T986"/>
    <mergeCell ref="Q987"/>
    <mergeCell ref="J987"/>
    <mergeCell ref="M987"/>
    <mergeCell ref="V988"/>
    <mergeCell ref="N987"/>
    <mergeCell ref="F988"/>
    <mergeCell ref="O988"/>
    <mergeCell ref="N988"/>
    <mergeCell ref="M988"/>
    <mergeCell ref="J988"/>
    <mergeCell ref="M982"/>
    <mergeCell ref="I983"/>
    <mergeCell ref="C982"/>
    <mergeCell ref="U988"/>
    <mergeCell ref="W988"/>
    <mergeCell ref="X987"/>
    <mergeCell ref="K986"/>
    <mergeCell ref="S986"/>
    <mergeCell ref="R986"/>
    <mergeCell ref="E958"/>
    <mergeCell ref="M957"/>
    <mergeCell ref="S970"/>
    <mergeCell ref="J970"/>
    <mergeCell ref="T955"/>
    <mergeCell ref="V955"/>
    <mergeCell ref="L973"/>
    <mergeCell ref="H972"/>
    <mergeCell ref="E973"/>
    <mergeCell ref="M973"/>
    <mergeCell ref="L972"/>
    <mergeCell ref="O972"/>
    <mergeCell ref="N972"/>
    <mergeCell ref="I963"/>
    <mergeCell ref="M972"/>
    <mergeCell ref="I974"/>
    <mergeCell ref="G973"/>
    <mergeCell ref="Y973"/>
    <mergeCell ref="T974"/>
    <mergeCell ref="W974"/>
    <mergeCell ref="V974"/>
    <mergeCell ref="U974"/>
    <mergeCell ref="B981"/>
    <mergeCell ref="L981"/>
    <mergeCell ref="Y968"/>
    <mergeCell ref="X974"/>
    <mergeCell ref="F975"/>
    <mergeCell ref="Q975"/>
    <mergeCell ref="A980"/>
    <mergeCell ref="N973"/>
    <mergeCell ref="O973"/>
    <mergeCell ref="P973"/>
    <mergeCell ref="L975"/>
    <mergeCell ref="Y975"/>
    <mergeCell ref="W975"/>
    <mergeCell ref="B969"/>
    <mergeCell ref="C969"/>
    <mergeCell ref="V973"/>
    <mergeCell ref="A970"/>
    <mergeCell ref="R968"/>
    <mergeCell ref="D976"/>
    <mergeCell ref="I975"/>
    <mergeCell ref="H976"/>
    <mergeCell ref="X976"/>
    <mergeCell ref="S966"/>
    <mergeCell ref="G967"/>
    <mergeCell ref="U971"/>
    <mergeCell ref="T970"/>
    <mergeCell ref="K971"/>
    <mergeCell ref="I971"/>
    <mergeCell ref="G970"/>
    <mergeCell ref="D972"/>
    <mergeCell ref="H960"/>
    <mergeCell ref="I976"/>
    <mergeCell ref="O977"/>
    <mergeCell ref="Q978"/>
    <mergeCell ref="F978"/>
    <mergeCell ref="K978"/>
    <mergeCell ref="J978"/>
    <mergeCell ref="O978"/>
    <mergeCell ref="E978"/>
    <mergeCell ref="P978"/>
    <mergeCell ref="F977"/>
    <mergeCell ref="Y964"/>
    <mergeCell ref="I993"/>
    <mergeCell ref="Y993"/>
    <mergeCell ref="N993"/>
    <mergeCell ref="L993"/>
    <mergeCell ref="Q993"/>
    <mergeCell ref="O993"/>
    <mergeCell ref="K993"/>
    <mergeCell ref="G993"/>
    <mergeCell ref="X992"/>
    <mergeCell ref="S991"/>
    <mergeCell ref="V992"/>
    <mergeCell ref="T991"/>
    <mergeCell ref="U992"/>
    <mergeCell ref="Y992"/>
    <mergeCell ref="Z988"/>
    <mergeCell ref="J985"/>
    <mergeCell ref="W985"/>
    <mergeCell ref="P991"/>
    <mergeCell ref="Q991"/>
    <mergeCell ref="T990"/>
    <mergeCell ref="R990"/>
    <mergeCell ref="X991"/>
    <mergeCell ref="Y991"/>
    <mergeCell ref="T993"/>
    <mergeCell ref="H983"/>
    <mergeCell ref="N984"/>
    <mergeCell ref="O984"/>
    <mergeCell ref="M984"/>
    <mergeCell ref="S989"/>
    <mergeCell ref="I989"/>
    <mergeCell ref="L987"/>
    <mergeCell ref="T987"/>
    <mergeCell ref="V989"/>
    <mergeCell ref="P989"/>
    <mergeCell ref="R989"/>
    <mergeCell ref="W989"/>
    <mergeCell ref="L989"/>
    <mergeCell ref="U989"/>
    <mergeCell ref="Q989"/>
    <mergeCell ref="T989"/>
    <mergeCell ref="X989"/>
    <mergeCell ref="I988"/>
    <mergeCell ref="K988"/>
    <mergeCell ref="Q983"/>
    <mergeCell ref="H987"/>
    <mergeCell ref="I987"/>
    <mergeCell ref="Q988"/>
    <mergeCell ref="X988"/>
    <mergeCell ref="S988"/>
    <mergeCell ref="T988"/>
    <mergeCell ref="Y988"/>
    <mergeCell ref="G987"/>
    <mergeCell ref="L988"/>
    <mergeCell ref="H988"/>
    <mergeCell ref="L992"/>
    <mergeCell ref="H992"/>
    <mergeCell ref="Z989"/>
    <mergeCell ref="Z986"/>
    <mergeCell ref="G989"/>
    <mergeCell ref="Z987"/>
    <mergeCell ref="N986"/>
    <mergeCell ref="O986"/>
    <mergeCell ref="Q986"/>
    <mergeCell ref="P983"/>
    <mergeCell ref="T996"/>
    <mergeCell ref="Y995"/>
    <mergeCell ref="P995"/>
    <mergeCell ref="U995"/>
    <mergeCell ref="R995"/>
    <mergeCell ref="W995"/>
    <mergeCell ref="I991"/>
    <mergeCell ref="Z992"/>
    <mergeCell ref="Z993"/>
    <mergeCell ref="J993"/>
    <mergeCell ref="P993"/>
    <mergeCell ref="M993"/>
    <mergeCell ref="R993"/>
    <mergeCell ref="E992"/>
    <mergeCell ref="P992"/>
    <mergeCell ref="F993"/>
    <mergeCell ref="E993"/>
    <mergeCell ref="A959"/>
    <mergeCell ref="A961"/>
    <mergeCell ref="E959"/>
    <mergeCell ref="F961"/>
    <mergeCell ref="Y960"/>
    <mergeCell ref="D962"/>
    <mergeCell ref="P969"/>
    <mergeCell ref="X968"/>
    <mergeCell ref="Y963"/>
    <mergeCell ref="P964"/>
    <mergeCell ref="A968"/>
    <mergeCell ref="C966"/>
    <mergeCell ref="L965"/>
    <mergeCell ref="N965"/>
    <mergeCell ref="D966"/>
    <mergeCell ref="A974"/>
    <mergeCell ref="B974"/>
    <mergeCell ref="Q973"/>
    <mergeCell ref="W971"/>
    <mergeCell ref="X972"/>
    <mergeCell ref="W972"/>
    <mergeCell ref="T972"/>
    <mergeCell ref="C975"/>
    <mergeCell ref="K974"/>
    <mergeCell ref="E975"/>
    <mergeCell ref="A972"/>
    <mergeCell ref="C972"/>
    <mergeCell ref="A967"/>
    <mergeCell ref="B967"/>
    <mergeCell ref="B968"/>
    <mergeCell ref="Z966"/>
    <mergeCell ref="Z965"/>
    <mergeCell ref="B972"/>
    <mergeCell ref="L990"/>
    <mergeCell ref="Z980"/>
    <mergeCell ref="Z983"/>
    <mergeCell ref="Z985"/>
    <mergeCell ref="Z984"/>
    <mergeCell ref="J986"/>
    <mergeCell ref="H985"/>
    <mergeCell ref="M986"/>
    <mergeCell ref="X984"/>
    <mergeCell ref="X982"/>
    <mergeCell ref="L983"/>
    <mergeCell ref="M983"/>
    <mergeCell ref="T982"/>
    <mergeCell ref="R982"/>
    <mergeCell ref="D956"/>
    <mergeCell ref="I953"/>
    <mergeCell ref="V953"/>
    <mergeCell ref="F954"/>
    <mergeCell ref="P954"/>
    <mergeCell ref="D955"/>
    <mergeCell ref="E955"/>
    <mergeCell ref="C956"/>
    <mergeCell ref="B951"/>
    <mergeCell ref="F953"/>
    <mergeCell ref="A953"/>
    <mergeCell ref="A954"/>
    <mergeCell ref="B954"/>
    <mergeCell ref="C954"/>
    <mergeCell ref="M953"/>
    <mergeCell ref="X953"/>
    <mergeCell ref="G953"/>
    <mergeCell ref="T953"/>
    <mergeCell ref="O957"/>
    <mergeCell ref="S958"/>
    <mergeCell ref="Q958"/>
    <mergeCell ref="V958"/>
    <mergeCell ref="J956"/>
    <mergeCell ref="P956"/>
    <mergeCell ref="K956"/>
    <mergeCell ref="U958"/>
    <mergeCell ref="M954"/>
    <mergeCell ref="O954"/>
    <mergeCell ref="O933"/>
    <mergeCell ref="P933"/>
    <mergeCell ref="Q933"/>
    <mergeCell ref="O930"/>
    <mergeCell ref="R930"/>
    <mergeCell ref="Q934"/>
    <mergeCell ref="L930"/>
    <mergeCell ref="U934"/>
    <mergeCell ref="R934"/>
    <mergeCell ref="B934"/>
    <mergeCell ref="M936"/>
    <mergeCell ref="K935"/>
    <mergeCell ref="I935"/>
    <mergeCell ref="U930"/>
    <mergeCell ref="A932"/>
    <mergeCell ref="B932"/>
    <mergeCell ref="C932"/>
    <mergeCell ref="D932"/>
    <mergeCell ref="R936"/>
    <mergeCell ref="I936"/>
    <mergeCell ref="U935"/>
    <mergeCell ref="D936"/>
    <mergeCell ref="B935"/>
    <mergeCell ref="C935"/>
    <mergeCell ref="D935"/>
    <mergeCell ref="E935"/>
    <mergeCell ref="R933"/>
    <mergeCell ref="U933"/>
    <mergeCell ref="F935"/>
    <mergeCell ref="N935"/>
    <mergeCell ref="J934"/>
    <mergeCell ref="H935"/>
    <mergeCell ref="S935"/>
    <mergeCell ref="A936"/>
    <mergeCell ref="B936"/>
    <mergeCell ref="B930"/>
    <mergeCell ref="A934"/>
    <mergeCell ref="B931"/>
    <mergeCell ref="A935"/>
    <mergeCell ref="D929"/>
    <mergeCell ref="O932"/>
    <mergeCell ref="E933"/>
    <mergeCell ref="L932"/>
    <mergeCell ref="A931"/>
    <mergeCell ref="J930"/>
    <mergeCell ref="E929"/>
    <mergeCell ref="A929"/>
    <mergeCell ref="Z912"/>
    <mergeCell ref="Z908"/>
    <mergeCell ref="M908"/>
    <mergeCell ref="X908"/>
    <mergeCell ref="T908"/>
    <mergeCell ref="V908"/>
    <mergeCell ref="I909"/>
    <mergeCell ref="Q908"/>
    <mergeCell ref="N909"/>
    <mergeCell ref="N911"/>
    <mergeCell ref="D908"/>
    <mergeCell ref="N908"/>
    <mergeCell ref="Q911"/>
    <mergeCell ref="O911"/>
    <mergeCell ref="Y911"/>
    <mergeCell ref="P911"/>
    <mergeCell ref="S911"/>
    <mergeCell ref="R911"/>
    <mergeCell ref="W911"/>
    <mergeCell ref="D912"/>
    <mergeCell ref="L908"/>
    <mergeCell ref="W912"/>
    <mergeCell ref="Y910"/>
    <mergeCell ref="A909"/>
    <mergeCell ref="Z911"/>
    <mergeCell ref="Z910"/>
    <mergeCell ref="L909"/>
    <mergeCell ref="J908"/>
    <mergeCell ref="H908"/>
    <mergeCell ref="I908"/>
    <mergeCell ref="S908"/>
    <mergeCell ref="E909"/>
    <mergeCell ref="F909"/>
    <mergeCell ref="Q909"/>
    <mergeCell ref="I910"/>
    <mergeCell ref="K910"/>
    <mergeCell ref="X909"/>
    <mergeCell ref="C908"/>
    <mergeCell ref="H910"/>
    <mergeCell ref="P910"/>
    <mergeCell ref="Y908"/>
    <mergeCell ref="L911"/>
    <mergeCell ref="V910"/>
    <mergeCell ref="Y912"/>
    <mergeCell ref="X912"/>
    <mergeCell ref="C934"/>
    <mergeCell ref="K934"/>
    <mergeCell ref="B888"/>
    <mergeCell ref="C888"/>
    <mergeCell ref="Q887"/>
    <mergeCell ref="O887"/>
    <mergeCell ref="B889"/>
    <mergeCell ref="L887"/>
    <mergeCell ref="Y888"/>
    <mergeCell ref="V892"/>
    <mergeCell ref="S893"/>
    <mergeCell ref="R892"/>
    <mergeCell ref="U893"/>
    <mergeCell ref="T892"/>
    <mergeCell ref="T893"/>
    <mergeCell ref="W893"/>
    <mergeCell ref="A889"/>
    <mergeCell ref="Y889"/>
    <mergeCell ref="L952"/>
    <mergeCell ref="D952"/>
    <mergeCell ref="H952"/>
    <mergeCell ref="G952"/>
    <mergeCell ref="E952"/>
    <mergeCell ref="F952"/>
    <mergeCell ref="J952"/>
    <mergeCell ref="V951"/>
    <mergeCell ref="B952"/>
    <mergeCell ref="A951"/>
    <mergeCell ref="O950"/>
    <mergeCell ref="C951"/>
    <mergeCell ref="K950"/>
    <mergeCell ref="L950"/>
    <mergeCell ref="N950"/>
    <mergeCell ref="J950"/>
    <mergeCell ref="Q950"/>
    <mergeCell ref="W951"/>
    <mergeCell ref="U951"/>
    <mergeCell ref="T951"/>
    <mergeCell ref="S951"/>
    <mergeCell ref="R951"/>
    <mergeCell ref="A913"/>
    <mergeCell ref="W907"/>
    <mergeCell ref="Q907"/>
    <mergeCell ref="C907"/>
    <mergeCell ref="D907"/>
    <mergeCell ref="E907"/>
    <mergeCell ref="Y907"/>
    <mergeCell ref="K909"/>
    <mergeCell ref="U911"/>
    <mergeCell ref="C912"/>
    <mergeCell ref="B912"/>
    <mergeCell ref="B911"/>
    <mergeCell ref="T907"/>
    <mergeCell ref="A933"/>
    <mergeCell ref="B933"/>
    <mergeCell ref="C933"/>
    <mergeCell ref="L929"/>
    <mergeCell ref="F932"/>
    <mergeCell ref="R931"/>
    <mergeCell ref="N933"/>
    <mergeCell ref="H933"/>
    <mergeCell ref="F933"/>
    <mergeCell ref="G932"/>
    <mergeCell ref="M933"/>
    <mergeCell ref="L933"/>
    <mergeCell ref="K933"/>
    <mergeCell ref="H994"/>
    <mergeCell ref="C996"/>
    <mergeCell ref="L996"/>
    <mergeCell ref="W996"/>
    <mergeCell ref="J996"/>
    <mergeCell ref="U996"/>
    <mergeCell ref="G996"/>
    <mergeCell ref="S996"/>
    <mergeCell ref="E996"/>
    <mergeCell ref="Q996"/>
    <mergeCell ref="D996"/>
    <mergeCell ref="M996"/>
    <mergeCell ref="F996"/>
    <mergeCell ref="H996"/>
    <mergeCell ref="N996"/>
    <mergeCell ref="Y996"/>
    <mergeCell ref="R996"/>
    <mergeCell ref="P958"/>
    <mergeCell ref="R958"/>
    <mergeCell ref="G972"/>
    <mergeCell ref="D974"/>
    <mergeCell ref="H973"/>
    <mergeCell ref="J974"/>
    <mergeCell ref="F973"/>
    <mergeCell ref="E972"/>
    <mergeCell ref="D969"/>
    <mergeCell ref="D970"/>
    <mergeCell ref="F970"/>
    <mergeCell ref="N966"/>
    <mergeCell ref="A963"/>
    <mergeCell ref="R963"/>
    <mergeCell ref="S963"/>
    <mergeCell ref="U963"/>
    <mergeCell ref="B963"/>
    <mergeCell ref="K963"/>
    <mergeCell ref="V963"/>
    <mergeCell ref="J967"/>
    <mergeCell ref="F969"/>
    <mergeCell ref="L969"/>
    <mergeCell ref="F968"/>
    <mergeCell ref="I967"/>
    <mergeCell ref="J968"/>
    <mergeCell ref="L963"/>
    <mergeCell ref="B964"/>
    <mergeCell ref="A962"/>
    <mergeCell ref="C974"/>
    <mergeCell ref="J973"/>
    <mergeCell ref="E974"/>
    <mergeCell ref="H958"/>
    <mergeCell ref="K958"/>
    <mergeCell ref="I958"/>
    <mergeCell ref="J958"/>
    <mergeCell ref="A993"/>
    <mergeCell ref="A987"/>
    <mergeCell ref="C987"/>
    <mergeCell ref="D992"/>
    <mergeCell ref="B993"/>
    <mergeCell ref="D993"/>
    <mergeCell ref="C993"/>
    <mergeCell ref="A989"/>
    <mergeCell ref="B992"/>
    <mergeCell ref="C989"/>
    <mergeCell ref="C990"/>
    <mergeCell ref="M990"/>
    <mergeCell ref="B946"/>
    <mergeCell ref="H945"/>
    <mergeCell ref="U945"/>
    <mergeCell ref="R944"/>
    <mergeCell ref="J944"/>
    <mergeCell ref="V944"/>
    <mergeCell ref="T944"/>
    <mergeCell ref="M944"/>
    <mergeCell ref="O944"/>
    <mergeCell ref="Z996"/>
    <mergeCell ref="O996"/>
    <mergeCell ref="V996"/>
    <mergeCell ref="P996"/>
    <mergeCell ref="X996"/>
    <mergeCell ref="E995"/>
    <mergeCell ref="G994"/>
    <mergeCell ref="X994"/>
    <mergeCell ref="K994"/>
    <mergeCell ref="V994"/>
    <mergeCell ref="R994"/>
    <mergeCell ref="T994"/>
    <mergeCell ref="Y994"/>
    <mergeCell ref="Z994"/>
    <mergeCell ref="H969"/>
    <mergeCell ref="J969"/>
    <mergeCell ref="K962"/>
    <mergeCell ref="V959"/>
    <mergeCell ref="I960"/>
    <mergeCell ref="S959"/>
    <mergeCell ref="K960"/>
    <mergeCell ref="L960"/>
    <mergeCell ref="M960"/>
    <mergeCell ref="B976"/>
    <mergeCell ref="U967"/>
    <mergeCell ref="S975"/>
    <mergeCell ref="U959"/>
    <mergeCell ref="F974"/>
    <mergeCell ref="H975"/>
    <mergeCell ref="D975"/>
    <mergeCell ref="E976"/>
    <mergeCell ref="F976"/>
    <mergeCell ref="X959"/>
    <mergeCell ref="G971"/>
    <mergeCell ref="N971"/>
    <mergeCell ref="Z962"/>
    <mergeCell ref="X970"/>
    <mergeCell ref="W970"/>
    <mergeCell ref="V970"/>
    <mergeCell ref="U970"/>
    <mergeCell ref="B965"/>
    <mergeCell ref="Q964"/>
    <mergeCell ref="U964"/>
    <mergeCell ref="F965"/>
    <mergeCell ref="G965"/>
    <mergeCell ref="H965"/>
    <mergeCell ref="E963"/>
    <mergeCell ref="N975"/>
    <mergeCell ref="R974"/>
    <mergeCell ref="G976"/>
    <mergeCell ref="B961"/>
    <mergeCell ref="N962"/>
    <mergeCell ref="H962"/>
    <mergeCell ref="O995"/>
    <mergeCell ref="X995"/>
    <mergeCell ref="T992"/>
    <mergeCell ref="W991"/>
    <mergeCell ref="G978"/>
    <mergeCell ref="B977"/>
    <mergeCell ref="B978"/>
    <mergeCell ref="Z976"/>
    <mergeCell ref="O976"/>
    <mergeCell ref="F959"/>
    <mergeCell ref="N969"/>
    <mergeCell ref="O969"/>
    <mergeCell ref="Z958"/>
    <mergeCell ref="O958"/>
    <mergeCell ref="X958"/>
    <mergeCell ref="W958"/>
    <mergeCell ref="G959"/>
    <mergeCell ref="A958"/>
    <mergeCell ref="A976"/>
    <mergeCell ref="A969"/>
    <mergeCell ref="A965"/>
    <mergeCell ref="B971"/>
    <mergeCell ref="A971"/>
    <mergeCell ref="J965"/>
    <mergeCell ref="I965"/>
    <mergeCell ref="B970"/>
    <mergeCell ref="D965"/>
    <mergeCell ref="C964"/>
    <mergeCell ref="A966"/>
    <mergeCell ref="B966"/>
    <mergeCell ref="Z968"/>
    <mergeCell ref="R969"/>
    <mergeCell ref="Q968"/>
    <mergeCell ref="L967"/>
    <mergeCell ref="E968"/>
    <mergeCell ref="T965"/>
    <mergeCell ref="O964"/>
    <mergeCell ref="A975"/>
    <mergeCell ref="B975"/>
    <mergeCell ref="X971"/>
    <mergeCell ref="S973"/>
    <mergeCell ref="Q972"/>
    <mergeCell ref="D973"/>
    <mergeCell ref="F972"/>
    <mergeCell ref="I973"/>
    <mergeCell ref="Z991"/>
    <mergeCell ref="R991"/>
    <mergeCell ref="V982"/>
    <mergeCell ref="R984"/>
    <mergeCell ref="W992"/>
    <mergeCell ref="U991"/>
    <mergeCell ref="V990"/>
    <mergeCell ref="O989"/>
    <mergeCell ref="N989"/>
    <mergeCell ref="J989"/>
    <mergeCell ref="H989"/>
    <mergeCell ref="G988"/>
    <mergeCell ref="K989"/>
    <mergeCell ref="U982"/>
    <mergeCell ref="U965"/>
    <mergeCell ref="K964"/>
    <mergeCell ref="M965"/>
    <mergeCell ref="G960"/>
    <mergeCell ref="J960"/>
    <mergeCell ref="Q959"/>
    <mergeCell ref="K972"/>
    <mergeCell ref="J997"/>
    <mergeCell ref="B998"/>
    <mergeCell ref="I998"/>
    <mergeCell ref="J998"/>
    <mergeCell ref="K998"/>
    <mergeCell ref="L998"/>
    <mergeCell ref="Z997"/>
    <mergeCell ref="Z998"/>
    <mergeCell ref="Z995"/>
    <mergeCell ref="B994"/>
    <mergeCell ref="O994"/>
    <mergeCell ref="A996"/>
    <mergeCell ref="K995"/>
    <mergeCell ref="J994"/>
    <mergeCell ref="W994"/>
    <mergeCell ref="U994"/>
    <mergeCell ref="P994"/>
    <mergeCell ref="N995"/>
    <mergeCell ref="D995"/>
    <mergeCell ref="L995"/>
    <mergeCell ref="G995"/>
    <mergeCell ref="A964"/>
    <mergeCell ref="C968"/>
    <mergeCell ref="P968"/>
    <mergeCell ref="N968"/>
    <mergeCell ref="Z969"/>
    <mergeCell ref="G998"/>
    <mergeCell ref="C998"/>
    <mergeCell ref="D998"/>
    <mergeCell ref="E998"/>
    <mergeCell ref="F998"/>
    <mergeCell ref="A998"/>
    <mergeCell ref="S998"/>
    <mergeCell ref="N997"/>
    <mergeCell ref="Q998"/>
    <mergeCell ref="P998"/>
    <mergeCell ref="O998"/>
    <mergeCell ref="B995"/>
    <mergeCell ref="X981"/>
    <mergeCell ref="P975"/>
    <mergeCell ref="C976"/>
    <mergeCell ref="U975"/>
    <mergeCell ref="K976"/>
    <mergeCell ref="N976"/>
    <mergeCell ref="Y976"/>
    <mergeCell ref="S976"/>
    <mergeCell ref="U976"/>
    <mergeCell ref="L976"/>
    <mergeCell ref="Z981"/>
    <mergeCell ref="V972"/>
    <mergeCell ref="T973"/>
    <mergeCell ref="Z974"/>
    <mergeCell ref="Q969"/>
    <mergeCell ref="A973"/>
    <mergeCell ref="I972"/>
    <mergeCell ref="E971"/>
    <mergeCell ref="Z971"/>
    <mergeCell ref="S972"/>
    <mergeCell ref="U972"/>
    <mergeCell ref="R970"/>
    <mergeCell ref="X969"/>
    <mergeCell ref="S968"/>
    <mergeCell ref="Y969"/>
    <mergeCell ref="T969"/>
    <mergeCell ref="A991"/>
    <mergeCell ref="B991"/>
    <mergeCell ref="C991"/>
    <mergeCell ref="A992"/>
    <mergeCell ref="P987"/>
    <mergeCell ref="G990"/>
    <mergeCell ref="Z990"/>
    <mergeCell ref="O991"/>
    <mergeCell ref="F1000"/>
    <mergeCell ref="G1000"/>
    <mergeCell ref="H1000"/>
    <mergeCell ref="L999"/>
    <mergeCell ref="P1000"/>
    <mergeCell ref="I1000"/>
    <mergeCell ref="I999"/>
    <mergeCell ref="R999"/>
    <mergeCell ref="C1000"/>
    <mergeCell ref="D1000"/>
    <mergeCell ref="X999"/>
    <mergeCell ref="J1000"/>
    <mergeCell ref="Y1000"/>
    <mergeCell ref="M1000"/>
    <mergeCell ref="W1000"/>
    <mergeCell ref="V1000"/>
    <mergeCell ref="U1000"/>
    <mergeCell ref="O1000"/>
    <mergeCell ref="S1000"/>
    <mergeCell ref="E994"/>
    <mergeCell ref="Q994"/>
    <mergeCell ref="J999"/>
    <mergeCell ref="C999"/>
    <mergeCell ref="D999"/>
    <mergeCell ref="E999"/>
    <mergeCell ref="F999"/>
    <mergeCell ref="T1000"/>
    <mergeCell ref="L1000"/>
    <mergeCell ref="R1000"/>
    <mergeCell ref="N1000"/>
    <mergeCell ref="Z1000"/>
    <mergeCell ref="Q999"/>
    <mergeCell ref="X993"/>
    <mergeCell ref="S993"/>
    <mergeCell ref="V993"/>
    <mergeCell ref="U993"/>
    <mergeCell ref="K987"/>
    <mergeCell ref="Q1000"/>
    <mergeCell ref="K997"/>
    <mergeCell ref="R998"/>
    <mergeCell ref="S997"/>
    <mergeCell ref="A999"/>
    <mergeCell ref="F995"/>
    <mergeCell ref="J995"/>
    <mergeCell ref="I995"/>
    <mergeCell ref="H993"/>
    <mergeCell ref="C994"/>
    <mergeCell ref="M994"/>
    <mergeCell ref="A995"/>
    <mergeCell ref="H995"/>
    <mergeCell ref="D994"/>
    <mergeCell ref="P990"/>
    <mergeCell ref="W993"/>
    <mergeCell ref="A994"/>
    <mergeCell ref="F994"/>
    <mergeCell ref="C992"/>
    <mergeCell ref="D957"/>
    <mergeCell ref="N954"/>
    <mergeCell ref="D954"/>
    <mergeCell ref="K954"/>
    <mergeCell ref="S955"/>
    <mergeCell ref="Y956"/>
    <mergeCell ref="Q956"/>
    <mergeCell ref="W956"/>
    <mergeCell ref="V956"/>
    <mergeCell ref="U956"/>
    <mergeCell ref="T956"/>
    <mergeCell ref="S956"/>
    <mergeCell ref="Y961"/>
    <mergeCell ref="Y962"/>
    <mergeCell ref="L956"/>
    <mergeCell ref="M956"/>
    <mergeCell ref="N956"/>
    <mergeCell ref="R956"/>
    <mergeCell ref="H954"/>
    <mergeCell ref="K1000"/>
    <mergeCell ref="X1000"/>
    <mergeCell ref="K999"/>
    <mergeCell ref="T999"/>
    <mergeCell ref="O999"/>
    <mergeCell ref="M999"/>
    <mergeCell ref="E1000"/>
    <mergeCell ref="C983"/>
    <mergeCell ref="D983"/>
    <mergeCell ref="E983"/>
    <mergeCell ref="Z982"/>
    <mergeCell ref="K983"/>
    <mergeCell ref="F990"/>
    <mergeCell ref="O990"/>
    <mergeCell ref="W968"/>
    <mergeCell ref="O970"/>
    <mergeCell ref="P970"/>
    <mergeCell ref="Q970"/>
    <mergeCell ref="Y987"/>
    <mergeCell ref="O987"/>
    <mergeCell ref="W987"/>
    <mergeCell ref="V987"/>
    <mergeCell ref="R987"/>
    <mergeCell ref="S987"/>
    <mergeCell ref="U987"/>
    <mergeCell ref="Q990"/>
    <mergeCell ref="D991"/>
    <mergeCell ref="G991"/>
    <mergeCell ref="F991"/>
    <mergeCell ref="E991"/>
    <mergeCell ref="J990"/>
    <mergeCell ref="H990"/>
    <mergeCell ref="X990"/>
    <mergeCell ref="Y997"/>
    <mergeCell ref="Y998"/>
    <mergeCell ref="N998"/>
    <mergeCell ref="S995"/>
    <mergeCell ref="Q995"/>
    <mergeCell ref="C995"/>
    <mergeCell ref="I996"/>
    <mergeCell ref="I994"/>
    <mergeCell ref="S994"/>
    <mergeCell ref="N994"/>
    <mergeCell ref="L994"/>
    <mergeCell ref="T995"/>
    <mergeCell ref="P999"/>
    <mergeCell ref="A1000"/>
    <mergeCell ref="B1000"/>
    <mergeCell ref="M995"/>
    <mergeCell ref="V995"/>
    <mergeCell ref="C997"/>
    <mergeCell ref="L997"/>
    <mergeCell ref="E997"/>
    <mergeCell ref="G997"/>
    <mergeCell ref="B996"/>
    <mergeCell ref="H997"/>
    <mergeCell ref="O949"/>
    <mergeCell ref="N948"/>
    <mergeCell ref="T948"/>
    <mergeCell ref="R948"/>
    <mergeCell ref="V948"/>
    <mergeCell ref="L948"/>
    <mergeCell ref="Y948"/>
    <mergeCell ref="K949"/>
    <mergeCell ref="W944"/>
    <mergeCell ref="K944"/>
    <mergeCell ref="U944"/>
    <mergeCell ref="Q944"/>
    <mergeCell ref="S944"/>
    <mergeCell ref="X944"/>
    <mergeCell ref="Y944"/>
    <mergeCell ref="O947"/>
    <mergeCell ref="D948"/>
    <mergeCell ref="G948"/>
    <mergeCell ref="O948"/>
    <mergeCell ref="F949"/>
    <mergeCell ref="Q949"/>
    <mergeCell ref="Y949"/>
    <mergeCell ref="U949"/>
    <mergeCell ref="S949"/>
    <mergeCell ref="E948"/>
    <mergeCell ref="L946"/>
    <mergeCell ref="N946"/>
    <mergeCell ref="Y947"/>
    <mergeCell ref="P946"/>
    <mergeCell ref="B980"/>
    <mergeCell ref="V978"/>
    <mergeCell ref="A997"/>
    <mergeCell ref="Y951"/>
    <mergeCell ref="W950"/>
    <mergeCell ref="V950"/>
    <mergeCell ref="U950"/>
    <mergeCell ref="T950"/>
    <mergeCell ref="M977"/>
    <mergeCell ref="S977"/>
    <mergeCell ref="J977"/>
    <mergeCell ref="V977"/>
    <mergeCell ref="J976"/>
    <mergeCell ref="N977"/>
    <mergeCell ref="H977"/>
    <mergeCell ref="P976"/>
    <mergeCell ref="G977"/>
    <mergeCell ref="C967"/>
    <mergeCell ref="D967"/>
    <mergeCell ref="E967"/>
    <mergeCell ref="M966"/>
    <mergeCell ref="X967"/>
    <mergeCell ref="O967"/>
    <mergeCell ref="F967"/>
    <mergeCell ref="Z999"/>
    <mergeCell ref="U999"/>
    <mergeCell ref="S999"/>
    <mergeCell ref="V999"/>
    <mergeCell ref="W999"/>
    <mergeCell ref="Y999"/>
    <mergeCell ref="M998"/>
    <mergeCell ref="Q997"/>
    <mergeCell ref="I997"/>
    <mergeCell ref="O997"/>
    <mergeCell ref="M997"/>
    <mergeCell ref="H998"/>
    <mergeCell ref="B999"/>
    <mergeCell ref="F997"/>
    <mergeCell ref="D997"/>
    <mergeCell ref="P997"/>
    <mergeCell ref="K996"/>
    <mergeCell ref="B997"/>
    <mergeCell ref="U998"/>
    <mergeCell ref="T997"/>
    <mergeCell ref="V998"/>
    <mergeCell ref="W998"/>
    <mergeCell ref="X998"/>
    <mergeCell ref="T998"/>
    <mergeCell ref="X997"/>
    <mergeCell ref="U997"/>
    <mergeCell ref="V997"/>
    <mergeCell ref="W997"/>
    <mergeCell ref="R997"/>
    <mergeCell ref="N999"/>
    <mergeCell ref="G999"/>
    <mergeCell ref="H999"/>
    <mergeCell ref="C943"/>
    <mergeCell ref="N944"/>
    <mergeCell ref="H943"/>
    <mergeCell ref="M947"/>
    <mergeCell ref="M949"/>
    <mergeCell ref="C949"/>
    <mergeCell ref="F945"/>
    <mergeCell ref="L944"/>
    <mergeCell ref="Z945"/>
    <mergeCell ref="X945"/>
    <mergeCell ref="V945"/>
    <mergeCell ref="G950"/>
    <mergeCell ref="D951"/>
    <mergeCell ref="E951"/>
    <mergeCell ref="H949"/>
    <mergeCell ref="M950"/>
    <mergeCell ref="L951"/>
    <mergeCell ref="M951"/>
    <mergeCell ref="D944"/>
    <mergeCell ref="P944"/>
    <mergeCell ref="D945"/>
    <mergeCell ref="W952"/>
    <mergeCell ref="U952"/>
    <mergeCell ref="X952"/>
    <mergeCell ref="Y952"/>
    <mergeCell ref="Z952"/>
    <mergeCell ref="X951"/>
    <mergeCell ref="Y950"/>
    <mergeCell ref="Z949"/>
    <mergeCell ref="V949"/>
    <mergeCell ref="T949"/>
    <mergeCell ref="X949"/>
    <mergeCell ref="G934"/>
    <mergeCell ref="E934"/>
    <mergeCell ref="I934"/>
    <mergeCell ref="S934"/>
    <mergeCell ref="N934"/>
    <mergeCell ref="L934"/>
    <mergeCell ref="D934"/>
    <mergeCell ref="O934"/>
    <mergeCell ref="F934"/>
    <mergeCell ref="C930"/>
    <mergeCell ref="Y933"/>
    <mergeCell ref="Z917"/>
    <mergeCell ref="N918"/>
    <mergeCell ref="P934"/>
    <mergeCell ref="G945"/>
    <mergeCell ref="Q936"/>
    <mergeCell ref="S936"/>
    <mergeCell ref="U936"/>
    <mergeCell ref="Z936"/>
    <mergeCell ref="E940"/>
    <mergeCell ref="H942"/>
    <mergeCell ref="D942"/>
    <mergeCell ref="Y926"/>
    <mergeCell ref="E936"/>
    <mergeCell ref="N936"/>
    <mergeCell ref="G935"/>
    <mergeCell ref="Y934"/>
    <mergeCell ref="Z935"/>
    <mergeCell ref="T935"/>
    <mergeCell ref="V935"/>
    <mergeCell ref="N937"/>
    <mergeCell ref="Q930"/>
    <mergeCell ref="V933"/>
    <mergeCell ref="Z944"/>
    <mergeCell ref="Q923"/>
    <mergeCell ref="U923"/>
    <mergeCell ref="K924"/>
    <mergeCell ref="U924"/>
    <mergeCell ref="C925"/>
    <mergeCell ref="Y940"/>
    <mergeCell ref="P941"/>
    <mergeCell ref="Y941"/>
    <mergeCell ref="Z921"/>
    <mergeCell ref="C922"/>
    <mergeCell ref="O923"/>
    <mergeCell ref="H924"/>
    <mergeCell ref="L924"/>
    <mergeCell ref="K923"/>
    <mergeCell ref="J924"/>
    <mergeCell ref="F944"/>
    <mergeCell ref="W945"/>
    <mergeCell ref="W932"/>
    <mergeCell ref="Y931"/>
    <mergeCell ref="C936"/>
    <mergeCell ref="P935"/>
    <mergeCell ref="O935"/>
    <mergeCell ref="X935"/>
    <mergeCell ref="J933"/>
    <mergeCell ref="K937"/>
    <mergeCell ref="M937"/>
    <mergeCell ref="P937"/>
    <mergeCell ref="Q937"/>
    <mergeCell ref="H944"/>
    <mergeCell ref="K936"/>
    <mergeCell ref="B902"/>
    <mergeCell ref="C906"/>
    <mergeCell ref="Y935"/>
    <mergeCell ref="W935"/>
    <mergeCell ref="R935"/>
    <mergeCell ref="Z934"/>
    <mergeCell ref="J935"/>
    <mergeCell ref="E939"/>
    <mergeCell ref="K940"/>
    <mergeCell ref="Y943"/>
    <mergeCell ref="N939"/>
    <mergeCell ref="O939"/>
    <mergeCell ref="P939"/>
    <mergeCell ref="Q939"/>
    <mergeCell ref="R939"/>
    <mergeCell ref="V921"/>
    <mergeCell ref="N921"/>
    <mergeCell ref="X921"/>
    <mergeCell ref="K925"/>
    <mergeCell ref="O926"/>
    <mergeCell ref="R929"/>
    <mergeCell ref="X934"/>
    <mergeCell ref="M934"/>
    <mergeCell ref="V934"/>
    <mergeCell ref="Y936"/>
    <mergeCell ref="O936"/>
    <mergeCell ref="W936"/>
    <mergeCell ref="V936"/>
    <mergeCell ref="D933"/>
    <mergeCell ref="J932"/>
    <mergeCell ref="I933"/>
    <mergeCell ref="G933"/>
    <mergeCell ref="I932"/>
    <mergeCell ref="W933"/>
    <mergeCell ref="X933"/>
    <mergeCell ref="S932"/>
    <mergeCell ref="Y923"/>
    <mergeCell ref="N923"/>
    <mergeCell ref="W923"/>
    <mergeCell ref="Z941"/>
    <mergeCell ref="Z942"/>
    <mergeCell ref="Z943"/>
    <mergeCell ref="W942"/>
    <mergeCell ref="Z939"/>
    <mergeCell ref="N940"/>
    <mergeCell ref="F940"/>
    <mergeCell ref="J940"/>
    <mergeCell ref="I940"/>
    <mergeCell ref="G940"/>
    <mergeCell ref="H940"/>
    <mergeCell ref="L940"/>
    <mergeCell ref="S941"/>
    <mergeCell ref="T941"/>
    <mergeCell ref="W941"/>
    <mergeCell ref="X941"/>
    <mergeCell ref="E941"/>
    <mergeCell ref="H929"/>
    <mergeCell ref="G929"/>
    <mergeCell ref="F929"/>
    <mergeCell ref="M930"/>
    <mergeCell ref="I938"/>
    <mergeCell ref="K938"/>
    <mergeCell ref="E942"/>
    <mergeCell ref="D941"/>
    <mergeCell ref="A891"/>
    <mergeCell ref="H892"/>
    <mergeCell ref="D892"/>
    <mergeCell ref="P892"/>
    <mergeCell ref="G895"/>
    <mergeCell ref="L895"/>
    <mergeCell ref="M895"/>
    <mergeCell ref="B899"/>
    <mergeCell ref="Y900"/>
    <mergeCell ref="X900"/>
    <mergeCell ref="R906"/>
    <mergeCell ref="N907"/>
    <mergeCell ref="U907"/>
    <mergeCell ref="C914"/>
    <mergeCell ref="P913"/>
    <mergeCell ref="H914"/>
    <mergeCell ref="F914"/>
    <mergeCell ref="S910"/>
    <mergeCell ref="I913"/>
    <mergeCell ref="W913"/>
    <mergeCell ref="O913"/>
    <mergeCell ref="U913"/>
    <mergeCell ref="Q913"/>
    <mergeCell ref="T913"/>
    <mergeCell ref="X913"/>
    <mergeCell ref="Y913"/>
    <mergeCell ref="Z913"/>
    <mergeCell ref="G913"/>
    <mergeCell ref="P909"/>
    <mergeCell ref="M907"/>
    <mergeCell ref="Q899"/>
    <mergeCell ref="A910"/>
    <mergeCell ref="A911"/>
    <mergeCell ref="D909"/>
    <mergeCell ref="C911"/>
    <mergeCell ref="C909"/>
    <mergeCell ref="B909"/>
    <mergeCell ref="C910"/>
    <mergeCell ref="D910"/>
    <mergeCell ref="D911"/>
    <mergeCell ref="G908"/>
    <mergeCell ref="F911"/>
    <mergeCell ref="X910"/>
    <mergeCell ref="Q910"/>
    <mergeCell ref="F901"/>
    <mergeCell ref="Z909"/>
    <mergeCell ref="S909"/>
    <mergeCell ref="Z907"/>
    <mergeCell ref="W906"/>
    <mergeCell ref="S906"/>
    <mergeCell ref="Q906"/>
    <mergeCell ref="F907"/>
    <mergeCell ref="G907"/>
    <mergeCell ref="H907"/>
    <mergeCell ref="T905"/>
    <mergeCell ref="N906"/>
    <mergeCell ref="I907"/>
    <mergeCell ref="K907"/>
    <mergeCell ref="P906"/>
    <mergeCell ref="R907"/>
    <mergeCell ref="F908"/>
    <mergeCell ref="M910"/>
    <mergeCell ref="W910"/>
    <mergeCell ref="R910"/>
    <mergeCell ref="A900"/>
    <mergeCell ref="L900"/>
    <mergeCell ref="T899"/>
    <mergeCell ref="K899"/>
    <mergeCell ref="Z898"/>
    <mergeCell ref="P898"/>
    <mergeCell ref="V898"/>
    <mergeCell ref="T898"/>
    <mergeCell ref="S898"/>
    <mergeCell ref="R898"/>
    <mergeCell ref="X898"/>
    <mergeCell ref="Z899"/>
    <mergeCell ref="M897"/>
    <mergeCell ref="P896"/>
    <mergeCell ref="U897"/>
    <mergeCell ref="I897"/>
    <mergeCell ref="F898"/>
    <mergeCell ref="M898"/>
    <mergeCell ref="G898"/>
    <mergeCell ref="Q898"/>
    <mergeCell ref="K898"/>
    <mergeCell ref="N898"/>
    <mergeCell ref="J898"/>
    <mergeCell ref="W898"/>
    <mergeCell ref="A892"/>
    <mergeCell ref="F893"/>
    <mergeCell ref="E893"/>
    <mergeCell ref="D893"/>
    <mergeCell ref="C893"/>
    <mergeCell ref="H893"/>
    <mergeCell ref="O893"/>
    <mergeCell ref="W892"/>
    <mergeCell ref="B892"/>
    <mergeCell ref="Z892"/>
    <mergeCell ref="P893"/>
    <mergeCell ref="C892"/>
    <mergeCell ref="L892"/>
    <mergeCell ref="E892"/>
    <mergeCell ref="G892"/>
    <mergeCell ref="S892"/>
    <mergeCell ref="I892"/>
    <mergeCell ref="M892"/>
    <mergeCell ref="K892"/>
    <mergeCell ref="N892"/>
    <mergeCell ref="O892"/>
    <mergeCell ref="Q892"/>
    <mergeCell ref="A893"/>
    <mergeCell ref="G893"/>
    <mergeCell ref="B898"/>
    <mergeCell ref="B893"/>
    <mergeCell ref="Z894"/>
    <mergeCell ref="Z893"/>
    <mergeCell ref="A894"/>
    <mergeCell ref="A895"/>
    <mergeCell ref="Q893"/>
    <mergeCell ref="U892"/>
    <mergeCell ref="V893"/>
    <mergeCell ref="F892"/>
    <mergeCell ref="Y892"/>
    <mergeCell ref="J897"/>
    <mergeCell ref="C902"/>
    <mergeCell ref="V899"/>
    <mergeCell ref="D900"/>
    <mergeCell ref="F899"/>
    <mergeCell ref="M909"/>
    <mergeCell ref="O909"/>
    <mergeCell ref="J915"/>
    <mergeCell ref="K901"/>
    <mergeCell ref="G901"/>
    <mergeCell ref="P904"/>
    <mergeCell ref="K897"/>
    <mergeCell ref="Q896"/>
    <mergeCell ref="L898"/>
    <mergeCell ref="V900"/>
    <mergeCell ref="I896"/>
    <mergeCell ref="H897"/>
    <mergeCell ref="G897"/>
    <mergeCell ref="F897"/>
    <mergeCell ref="P895"/>
    <mergeCell ref="M894"/>
    <mergeCell ref="V897"/>
    <mergeCell ref="N896"/>
    <mergeCell ref="E897"/>
    <mergeCell ref="K895"/>
    <mergeCell ref="G894"/>
    <mergeCell ref="X891"/>
    <mergeCell ref="Y891"/>
    <mergeCell ref="G890"/>
    <mergeCell ref="C891"/>
    <mergeCell ref="J891"/>
    <mergeCell ref="E891"/>
    <mergeCell ref="R891"/>
    <mergeCell ref="C897"/>
    <mergeCell ref="E899"/>
    <mergeCell ref="Y896"/>
    <mergeCell ref="C901"/>
    <mergeCell ref="T910"/>
    <mergeCell ref="E911"/>
    <mergeCell ref="W902"/>
    <mergeCell ref="D901"/>
    <mergeCell ref="O901"/>
    <mergeCell ref="M893"/>
    <mergeCell ref="L893"/>
    <mergeCell ref="K893"/>
    <mergeCell ref="J893"/>
    <mergeCell ref="I893"/>
    <mergeCell ref="L894"/>
    <mergeCell ref="W894"/>
    <mergeCell ref="P894"/>
    <mergeCell ref="R894"/>
    <mergeCell ref="T894"/>
    <mergeCell ref="X892"/>
    <mergeCell ref="X893"/>
    <mergeCell ref="Y893"/>
    <mergeCell ref="F910"/>
    <mergeCell ref="O908"/>
    <mergeCell ref="T891"/>
    <mergeCell ref="M891"/>
    <mergeCell ref="I904"/>
    <mergeCell ref="J905"/>
    <mergeCell ref="R905"/>
    <mergeCell ref="N905"/>
    <mergeCell ref="M905"/>
    <mergeCell ref="I894"/>
    <mergeCell ref="B891"/>
    <mergeCell ref="K902"/>
    <mergeCell ref="V902"/>
    <mergeCell ref="F903"/>
    <mergeCell ref="G903"/>
    <mergeCell ref="H903"/>
    <mergeCell ref="L903"/>
    <mergeCell ref="S902"/>
    <mergeCell ref="O903"/>
    <mergeCell ref="B901"/>
    <mergeCell ref="I895"/>
    <mergeCell ref="Q901"/>
    <mergeCell ref="F900"/>
    <mergeCell ref="I898"/>
    <mergeCell ref="D899"/>
    <mergeCell ref="O899"/>
    <mergeCell ref="R903"/>
    <mergeCell ref="D903"/>
    <mergeCell ref="E903"/>
    <mergeCell ref="F891"/>
    <mergeCell ref="D894"/>
    <mergeCell ref="O894"/>
    <mergeCell ref="J892"/>
    <mergeCell ref="C896"/>
    <mergeCell ref="S896"/>
    <mergeCell ref="R897"/>
    <mergeCell ref="O896"/>
    <mergeCell ref="K894"/>
    <mergeCell ref="D896"/>
    <mergeCell ref="U894"/>
    <mergeCell ref="V895"/>
    <mergeCell ref="V896"/>
    <mergeCell ref="W896"/>
    <mergeCell ref="T895"/>
    <mergeCell ref="Q891"/>
    <mergeCell ref="V891"/>
    <mergeCell ref="M899"/>
    <mergeCell ref="B894"/>
    <mergeCell ref="G899"/>
    <mergeCell ref="D895"/>
    <mergeCell ref="F895"/>
    <mergeCell ref="G900"/>
    <mergeCell ref="C899"/>
    <mergeCell ref="B900"/>
    <mergeCell ref="N895"/>
    <mergeCell ref="F896"/>
    <mergeCell ref="R896"/>
    <mergeCell ref="L891"/>
    <mergeCell ref="W891"/>
    <mergeCell ref="W895"/>
    <mergeCell ref="D891"/>
    <mergeCell ref="N891"/>
    <mergeCell ref="C895"/>
    <mergeCell ref="J896"/>
    <mergeCell ref="U891"/>
    <mergeCell ref="H891"/>
    <mergeCell ref="O891"/>
    <mergeCell ref="P891"/>
    <mergeCell ref="S891"/>
    <mergeCell ref="N893"/>
    <mergeCell ref="R893"/>
    <mergeCell ref="I891"/>
    <mergeCell ref="K891"/>
    <mergeCell ref="G891"/>
    <mergeCell ref="B918"/>
    <mergeCell ref="Z919"/>
    <mergeCell ref="Y919"/>
    <mergeCell ref="D917"/>
    <mergeCell ref="N916"/>
    <mergeCell ref="R915"/>
    <mergeCell ref="V916"/>
    <mergeCell ref="H915"/>
    <mergeCell ref="S915"/>
    <mergeCell ref="F916"/>
    <mergeCell ref="G916"/>
    <mergeCell ref="F917"/>
    <mergeCell ref="G917"/>
    <mergeCell ref="U915"/>
    <mergeCell ref="H916"/>
    <mergeCell ref="W915"/>
    <mergeCell ref="R916"/>
    <mergeCell ref="Y916"/>
    <mergeCell ref="E914"/>
    <mergeCell ref="Q914"/>
    <mergeCell ref="A915"/>
    <mergeCell ref="K914"/>
    <mergeCell ref="Y914"/>
    <mergeCell ref="T918"/>
    <mergeCell ref="E915"/>
    <mergeCell ref="M915"/>
    <mergeCell ref="I915"/>
    <mergeCell ref="G915"/>
    <mergeCell ref="E917"/>
    <mergeCell ref="F915"/>
    <mergeCell ref="Q915"/>
    <mergeCell ref="D916"/>
    <mergeCell ref="Z915"/>
    <mergeCell ref="O916"/>
    <mergeCell ref="X914"/>
    <mergeCell ref="W914"/>
    <mergeCell ref="J914"/>
    <mergeCell ref="S914"/>
    <mergeCell ref="L914"/>
    <mergeCell ref="P914"/>
    <mergeCell ref="I914"/>
    <mergeCell ref="D919"/>
    <mergeCell ref="E919"/>
    <mergeCell ref="P915"/>
    <mergeCell ref="K917"/>
    <mergeCell ref="Q917"/>
    <mergeCell ref="J918"/>
    <mergeCell ref="Z918"/>
    <mergeCell ref="Z914"/>
    <mergeCell ref="D915"/>
    <mergeCell ref="M918"/>
    <mergeCell ref="T917"/>
    <mergeCell ref="U918"/>
    <mergeCell ref="C919"/>
    <mergeCell ref="A917"/>
    <mergeCell ref="W918"/>
    <mergeCell ref="V918"/>
    <mergeCell ref="I917"/>
    <mergeCell ref="P918"/>
    <mergeCell ref="C918"/>
    <mergeCell ref="D918"/>
    <mergeCell ref="E918"/>
    <mergeCell ref="S918"/>
    <mergeCell ref="R918"/>
    <mergeCell ref="U883"/>
    <mergeCell ref="O883"/>
    <mergeCell ref="W883"/>
    <mergeCell ref="I881"/>
    <mergeCell ref="R881"/>
    <mergeCell ref="T881"/>
    <mergeCell ref="U881"/>
    <mergeCell ref="V881"/>
    <mergeCell ref="W881"/>
    <mergeCell ref="X881"/>
    <mergeCell ref="A882"/>
    <mergeCell ref="K882"/>
    <mergeCell ref="B883"/>
    <mergeCell ref="K883"/>
    <mergeCell ref="S884"/>
    <mergeCell ref="R884"/>
    <mergeCell ref="P884"/>
    <mergeCell ref="M883"/>
    <mergeCell ref="X883"/>
    <mergeCell ref="Q883"/>
    <mergeCell ref="S883"/>
    <mergeCell ref="A884"/>
    <mergeCell ref="G884"/>
    <mergeCell ref="A883"/>
    <mergeCell ref="F884"/>
    <mergeCell ref="E884"/>
    <mergeCell ref="D884"/>
    <mergeCell ref="C884"/>
    <mergeCell ref="H884"/>
    <mergeCell ref="D883"/>
    <mergeCell ref="P883"/>
    <mergeCell ref="K881"/>
    <mergeCell ref="Y881"/>
    <mergeCell ref="M881"/>
    <mergeCell ref="O881"/>
    <mergeCell ref="Y882"/>
    <mergeCell ref="P881"/>
    <mergeCell ref="C882"/>
    <mergeCell ref="X882"/>
    <mergeCell ref="N882"/>
    <mergeCell ref="R882"/>
    <mergeCell ref="P882"/>
    <mergeCell ref="S882"/>
    <mergeCell ref="T882"/>
    <mergeCell ref="V882"/>
    <mergeCell ref="E882"/>
    <mergeCell ref="A881"/>
    <mergeCell ref="B881"/>
    <mergeCell ref="L882"/>
    <mergeCell ref="W882"/>
    <mergeCell ref="G882"/>
    <mergeCell ref="U882"/>
    <mergeCell ref="D882"/>
    <mergeCell ref="H881"/>
    <mergeCell ref="K884"/>
    <mergeCell ref="N881"/>
    <mergeCell ref="S881"/>
    <mergeCell ref="I882"/>
    <mergeCell ref="H882"/>
    <mergeCell ref="A944"/>
    <mergeCell ref="G942"/>
    <mergeCell ref="K943"/>
    <mergeCell ref="D943"/>
    <mergeCell ref="M943"/>
    <mergeCell ref="S943"/>
    <mergeCell ref="P943"/>
    <mergeCell ref="R942"/>
    <mergeCell ref="P942"/>
    <mergeCell ref="T942"/>
    <mergeCell ref="O945"/>
    <mergeCell ref="J939"/>
    <mergeCell ref="K939"/>
    <mergeCell ref="U940"/>
    <mergeCell ref="C940"/>
    <mergeCell ref="O940"/>
    <mergeCell ref="X940"/>
    <mergeCell ref="S940"/>
    <mergeCell ref="Q940"/>
    <mergeCell ref="K941"/>
    <mergeCell ref="L941"/>
    <mergeCell ref="M941"/>
    <mergeCell ref="Y939"/>
    <mergeCell ref="U939"/>
    <mergeCell ref="W939"/>
    <mergeCell ref="V939"/>
    <mergeCell ref="V938"/>
    <mergeCell ref="U938"/>
    <mergeCell ref="G939"/>
    <mergeCell ref="H938"/>
    <mergeCell ref="N938"/>
    <mergeCell ref="Y938"/>
    <mergeCell ref="J938"/>
    <mergeCell ref="W938"/>
    <mergeCell ref="F938"/>
    <mergeCell ref="V941"/>
    <mergeCell ref="R940"/>
    <mergeCell ref="N941"/>
    <mergeCell ref="G941"/>
    <mergeCell ref="D940"/>
    <mergeCell ref="T940"/>
    <mergeCell ref="C941"/>
    <mergeCell ref="F939"/>
    <mergeCell ref="J941"/>
    <mergeCell ref="J942"/>
    <mergeCell ref="B938"/>
    <mergeCell ref="A938"/>
    <mergeCell ref="R945"/>
    <mergeCell ref="P945"/>
    <mergeCell ref="B940"/>
    <mergeCell ref="A940"/>
    <mergeCell ref="S938"/>
    <mergeCell ref="P938"/>
    <mergeCell ref="R938"/>
    <mergeCell ref="Q938"/>
    <mergeCell ref="L938"/>
    <mergeCell ref="M938"/>
    <mergeCell ref="O938"/>
    <mergeCell ref="O941"/>
    <mergeCell ref="A941"/>
    <mergeCell ref="F951"/>
    <mergeCell ref="I951"/>
    <mergeCell ref="H951"/>
    <mergeCell ref="G951"/>
    <mergeCell ref="I950"/>
    <mergeCell ref="J951"/>
    <mergeCell ref="K951"/>
    <mergeCell ref="R949"/>
    <mergeCell ref="D950"/>
    <mergeCell ref="E950"/>
    <mergeCell ref="F950"/>
    <mergeCell ref="R950"/>
    <mergeCell ref="H953"/>
    <mergeCell ref="A946"/>
    <mergeCell ref="A947"/>
    <mergeCell ref="B947"/>
    <mergeCell ref="A948"/>
    <mergeCell ref="B948"/>
    <mergeCell ref="R946"/>
    <mergeCell ref="A939"/>
    <mergeCell ref="B939"/>
    <mergeCell ref="S945"/>
    <mergeCell ref="M945"/>
    <mergeCell ref="P940"/>
    <mergeCell ref="U941"/>
    <mergeCell ref="Q941"/>
    <mergeCell ref="R941"/>
    <mergeCell ref="I942"/>
    <mergeCell ref="S942"/>
    <mergeCell ref="N942"/>
    <mergeCell ref="L942"/>
    <mergeCell ref="F941"/>
    <mergeCell ref="O942"/>
    <mergeCell ref="F942"/>
    <mergeCell ref="Q942"/>
    <mergeCell ref="M942"/>
    <mergeCell ref="U942"/>
    <mergeCell ref="C939"/>
    <mergeCell ref="M939"/>
    <mergeCell ref="H939"/>
    <mergeCell ref="A942"/>
    <mergeCell ref="B942"/>
    <mergeCell ref="C942"/>
    <mergeCell ref="S939"/>
    <mergeCell ref="D939"/>
    <mergeCell ref="L943"/>
    <mergeCell ref="Q943"/>
    <mergeCell ref="O943"/>
    <mergeCell ref="J943"/>
    <mergeCell ref="T943"/>
    <mergeCell ref="F943"/>
    <mergeCell ref="R943"/>
    <mergeCell ref="E943"/>
    <mergeCell ref="N943"/>
    <mergeCell ref="I943"/>
    <mergeCell ref="G943"/>
    <mergeCell ref="A943"/>
    <mergeCell ref="M940"/>
    <mergeCell ref="H941"/>
    <mergeCell ref="I941"/>
    <mergeCell ref="B943"/>
    <mergeCell ref="B944"/>
    <mergeCell ref="A945"/>
    <mergeCell ref="B945"/>
    <mergeCell ref="B941"/>
    <mergeCell ref="N953"/>
    <mergeCell ref="D953"/>
    <mergeCell ref="A937"/>
    <mergeCell ref="B937"/>
    <mergeCell ref="E953"/>
    <mergeCell ref="C970"/>
    <mergeCell ref="Z951"/>
    <mergeCell ref="C948"/>
    <mergeCell ref="J948"/>
    <mergeCell ref="H948"/>
    <mergeCell ref="M952"/>
    <mergeCell ref="Z948"/>
    <mergeCell ref="Q952"/>
    <mergeCell ref="O952"/>
    <mergeCell ref="Q951"/>
    <mergeCell ref="C952"/>
    <mergeCell ref="A952"/>
    <mergeCell ref="R952"/>
    <mergeCell ref="Z950"/>
    <mergeCell ref="Q948"/>
    <mergeCell ref="A949"/>
    <mergeCell ref="P951"/>
    <mergeCell ref="P948"/>
    <mergeCell ref="H950"/>
    <mergeCell ref="J949"/>
    <mergeCell ref="P950"/>
    <mergeCell ref="K952"/>
    <mergeCell ref="E947"/>
    <mergeCell ref="H947"/>
    <mergeCell ref="M946"/>
    <mergeCell ref="Y945"/>
    <mergeCell ref="O946"/>
    <mergeCell ref="Q945"/>
    <mergeCell ref="N945"/>
    <mergeCell ref="C944"/>
    <mergeCell ref="J946"/>
    <mergeCell ref="I946"/>
    <mergeCell ref="E946"/>
    <mergeCell ref="Q946"/>
    <mergeCell ref="W946"/>
    <mergeCell ref="X946"/>
    <mergeCell ref="T946"/>
    <mergeCell ref="S946"/>
    <mergeCell ref="U946"/>
    <mergeCell ref="C946"/>
    <mergeCell ref="N947"/>
    <mergeCell ref="F948"/>
    <mergeCell ref="X948"/>
    <mergeCell ref="N949"/>
    <mergeCell ref="C955"/>
    <mergeCell ref="B957"/>
    <mergeCell ref="A956"/>
    <mergeCell ref="A957"/>
    <mergeCell ref="E954"/>
    <mergeCell ref="B956"/>
    <mergeCell ref="B955"/>
    <mergeCell ref="A955"/>
    <mergeCell ref="C957"/>
    <mergeCell ref="K955"/>
    <mergeCell ref="W955"/>
    <mergeCell ref="Y955"/>
    <mergeCell ref="Z955"/>
    <mergeCell ref="N951"/>
    <mergeCell ref="A979"/>
    <mergeCell ref="B979"/>
    <mergeCell ref="F981"/>
    <mergeCell ref="R981"/>
    <mergeCell ref="P981"/>
    <mergeCell ref="I981"/>
    <mergeCell ref="G981"/>
    <mergeCell ref="V981"/>
    <mergeCell ref="N981"/>
    <mergeCell ref="C971"/>
    <mergeCell ref="E977"/>
    <mergeCell ref="P977"/>
    <mergeCell ref="L974"/>
    <mergeCell ref="G975"/>
    <mergeCell ref="O975"/>
    <mergeCell ref="O980"/>
    <mergeCell ref="L977"/>
    <mergeCell ref="U977"/>
    <mergeCell ref="T977"/>
    <mergeCell ref="Q977"/>
    <mergeCell ref="K981"/>
    <mergeCell ref="H981"/>
    <mergeCell ref="E981"/>
    <mergeCell ref="O971"/>
    <mergeCell ref="P971"/>
    <mergeCell ref="Q971"/>
    <mergeCell ref="R971"/>
    <mergeCell ref="Q974"/>
    <mergeCell ref="S974"/>
    <mergeCell ref="U973"/>
    <mergeCell ref="R973"/>
    <mergeCell ref="J980"/>
    <mergeCell ref="C981"/>
    <mergeCell ref="F979"/>
    <mergeCell ref="E980"/>
    <mergeCell ref="D979"/>
    <mergeCell ref="K980"/>
    <mergeCell ref="L980"/>
    <mergeCell ref="M980"/>
    <mergeCell ref="A977"/>
    <mergeCell ref="H978"/>
    <mergeCell ref="M978"/>
    <mergeCell ref="L978"/>
    <mergeCell ref="D977"/>
    <mergeCell ref="C978"/>
    <mergeCell ref="C977"/>
    <mergeCell ref="N978"/>
    <mergeCell ref="L971"/>
    <mergeCell ref="P972"/>
    <mergeCell ref="J972"/>
    <mergeCell ref="I979"/>
    <mergeCell ref="B949"/>
    <mergeCell ref="A950"/>
    <mergeCell ref="B950"/>
    <mergeCell ref="C950"/>
    <mergeCell ref="C973"/>
    <mergeCell ref="F971"/>
    <mergeCell ref="J971"/>
    <mergeCell ref="H974"/>
    <mergeCell ref="T976"/>
    <mergeCell ref="T971"/>
    <mergeCell ref="V971"/>
    <mergeCell ref="S971"/>
    <mergeCell ref="D971"/>
    <mergeCell ref="A978"/>
    <mergeCell ref="B973"/>
    <mergeCell ref="I977"/>
    <mergeCell ref="R977"/>
    <mergeCell ref="K977"/>
    <mergeCell ref="B953"/>
    <mergeCell ref="L953"/>
    <mergeCell ref="X960"/>
    <mergeCell ref="R961"/>
    <mergeCell ref="V961"/>
    <mergeCell ref="T961"/>
    <mergeCell ref="X961"/>
    <mergeCell ref="J962"/>
    <mergeCell ref="C962"/>
    <mergeCell ref="I961"/>
    <mergeCell ref="W962"/>
    <mergeCell ref="M962"/>
    <mergeCell ref="U962"/>
    <mergeCell ref="T962"/>
    <mergeCell ref="O962"/>
    <mergeCell ref="Q962"/>
    <mergeCell ref="S962"/>
    <mergeCell ref="F962"/>
    <mergeCell ref="R964"/>
    <mergeCell ref="V964"/>
    <mergeCell ref="T964"/>
    <mergeCell ref="X964"/>
    <mergeCell ref="C965"/>
    <mergeCell ref="K965"/>
    <mergeCell ref="T963"/>
    <mergeCell ref="G963"/>
    <mergeCell ref="M963"/>
    <mergeCell ref="X963"/>
    <mergeCell ref="D963"/>
    <mergeCell ref="U953"/>
    <mergeCell ref="P953"/>
    <mergeCell ref="Q961"/>
    <mergeCell ref="V960"/>
    <mergeCell ref="W961"/>
    <mergeCell ref="S961"/>
    <mergeCell ref="U961"/>
    <mergeCell ref="X962"/>
    <mergeCell ref="H957"/>
    <mergeCell ref="S957"/>
    <mergeCell ref="H959"/>
    <mergeCell ref="I959"/>
    <mergeCell ref="J959"/>
    <mergeCell ref="K959"/>
    <mergeCell ref="A960"/>
    <mergeCell ref="D949"/>
    <mergeCell ref="E949"/>
    <mergeCell ref="C953"/>
    <mergeCell ref="J953"/>
    <mergeCell ref="B960"/>
    <mergeCell ref="F960"/>
    <mergeCell ref="I956"/>
    <mergeCell ref="H956"/>
    <mergeCell ref="C961"/>
    <mergeCell ref="L962"/>
    <mergeCell ref="D959"/>
    <mergeCell ref="G962"/>
    <mergeCell ref="B962"/>
    <mergeCell ref="J957"/>
    <mergeCell ref="U957"/>
    <mergeCell ref="N959"/>
    <mergeCell ref="W959"/>
    <mergeCell ref="J963"/>
    <mergeCell ref="D961"/>
    <mergeCell ref="E961"/>
    <mergeCell ref="H961"/>
    <mergeCell ref="W964"/>
    <mergeCell ref="O965"/>
    <mergeCell ref="V965"/>
    <mergeCell ref="W965"/>
    <mergeCell ref="X965"/>
    <mergeCell ref="F963"/>
    <mergeCell ref="G964"/>
    <mergeCell ref="D964"/>
    <mergeCell ref="Z979"/>
    <mergeCell ref="H979"/>
    <mergeCell ref="T980"/>
    <mergeCell ref="Z973"/>
    <mergeCell ref="N963"/>
    <mergeCell ref="H963"/>
    <mergeCell ref="K966"/>
    <mergeCell ref="W966"/>
    <mergeCell ref="U966"/>
    <mergeCell ref="O966"/>
    <mergeCell ref="F966"/>
    <mergeCell ref="Q966"/>
    <mergeCell ref="Y970"/>
    <mergeCell ref="Y980"/>
    <mergeCell ref="T979"/>
    <mergeCell ref="Q980"/>
    <mergeCell ref="F980"/>
    <mergeCell ref="D968"/>
    <mergeCell ref="X979"/>
    <mergeCell ref="N980"/>
    <mergeCell ref="P980"/>
    <mergeCell ref="X978"/>
    <mergeCell ref="G979"/>
    <mergeCell ref="D978"/>
    <mergeCell ref="L979"/>
    <mergeCell ref="M979"/>
    <mergeCell ref="V980"/>
    <mergeCell ref="N979"/>
    <mergeCell ref="D980"/>
    <mergeCell ref="N960"/>
    <mergeCell ref="U960"/>
    <mergeCell ref="P960"/>
    <mergeCell ref="Q960"/>
    <mergeCell ref="R960"/>
    <mergeCell ref="T960"/>
    <mergeCell ref="D960"/>
    <mergeCell ref="M971"/>
    <mergeCell ref="Y979"/>
    <mergeCell ref="O979"/>
    <mergeCell ref="W979"/>
    <mergeCell ref="V979"/>
    <mergeCell ref="S979"/>
    <mergeCell ref="P979"/>
    <mergeCell ref="U979"/>
    <mergeCell ref="E979"/>
    <mergeCell ref="R979"/>
    <mergeCell ref="Y978"/>
    <mergeCell ref="V976"/>
    <mergeCell ref="R978"/>
    <mergeCell ref="S978"/>
    <mergeCell ref="T978"/>
    <mergeCell ref="U978"/>
    <mergeCell ref="W978"/>
    <mergeCell ref="Z978"/>
    <mergeCell ref="K979"/>
    <mergeCell ref="S964"/>
    <mergeCell ref="G955"/>
    <mergeCell ref="K953"/>
    <mergeCell ref="L955"/>
    <mergeCell ref="F956"/>
    <mergeCell ref="G956"/>
    <mergeCell ref="U955"/>
    <mergeCell ref="W977"/>
    <mergeCell ref="R954"/>
    <mergeCell ref="F955"/>
    <mergeCell ref="M961"/>
    <mergeCell ref="N961"/>
    <mergeCell ref="K961"/>
    <mergeCell ref="J961"/>
    <mergeCell ref="O959"/>
    <mergeCell ref="K975"/>
    <mergeCell ref="R976"/>
    <mergeCell ref="Q976"/>
    <mergeCell ref="M976"/>
    <mergeCell ref="R972"/>
    <mergeCell ref="H971"/>
    <mergeCell ref="Z959"/>
    <mergeCell ref="Z960"/>
    <mergeCell ref="Z961"/>
    <mergeCell ref="Y959"/>
    <mergeCell ref="Z956"/>
    <mergeCell ref="X956"/>
    <mergeCell ref="H955"/>
    <mergeCell ref="O956"/>
    <mergeCell ref="K957"/>
    <mergeCell ref="G957"/>
    <mergeCell ref="W954"/>
    <mergeCell ref="J954"/>
    <mergeCell ref="U954"/>
    <mergeCell ref="Q954"/>
    <mergeCell ref="S954"/>
    <mergeCell ref="X955"/>
    <mergeCell ref="O955"/>
    <mergeCell ref="R955"/>
    <mergeCell ref="Q955"/>
    <mergeCell ref="P955"/>
    <mergeCell ref="X977"/>
    <mergeCell ref="Y977"/>
    <mergeCell ref="Z977"/>
    <mergeCell ref="E970"/>
    <mergeCell ref="K968"/>
    <mergeCell ref="W976"/>
    <mergeCell ref="Z964"/>
    <mergeCell ref="Y965"/>
    <mergeCell ref="Y972"/>
    <mergeCell ref="Z972"/>
    <mergeCell ref="Z970"/>
    <mergeCell ref="H968"/>
    <mergeCell ref="I970"/>
    <mergeCell ref="K970"/>
    <mergeCell ref="E969"/>
    <mergeCell ref="S969"/>
    <mergeCell ref="U968"/>
    <mergeCell ref="W969"/>
    <mergeCell ref="V969"/>
    <mergeCell ref="T968"/>
    <mergeCell ref="U969"/>
    <mergeCell ref="M968"/>
    <mergeCell ref="G969"/>
    <mergeCell ref="K969"/>
    <mergeCell ref="I969"/>
    <mergeCell ref="N964"/>
    <mergeCell ref="Z963"/>
    <mergeCell ref="O963"/>
    <mergeCell ref="W963"/>
    <mergeCell ref="Y974"/>
    <mergeCell ref="P963"/>
    <mergeCell ref="X973"/>
    <mergeCell ref="Q953"/>
    <mergeCell ref="S953"/>
    <mergeCell ref="Q963"/>
    <mergeCell ref="T952"/>
    <mergeCell ref="W973"/>
    <mergeCell ref="I968"/>
    <mergeCell ref="H967"/>
    <mergeCell ref="V967"/>
    <mergeCell ref="J975"/>
    <mergeCell ref="L968"/>
    <mergeCell ref="H970"/>
    <mergeCell ref="G968"/>
    <mergeCell ref="L970"/>
    <mergeCell ref="M970"/>
    <mergeCell ref="N970"/>
    <mergeCell ref="O968"/>
    <mergeCell ref="V968"/>
    <mergeCell ref="I955"/>
    <mergeCell ref="E966"/>
    <mergeCell ref="I966"/>
    <mergeCell ref="H966"/>
    <mergeCell ref="G966"/>
    <mergeCell ref="P967"/>
    <mergeCell ref="S967"/>
    <mergeCell ref="Q967"/>
    <mergeCell ref="W967"/>
    <mergeCell ref="N955"/>
    <mergeCell ref="M955"/>
    <mergeCell ref="J955"/>
    <mergeCell ref="E956"/>
    <mergeCell ref="X966"/>
    <mergeCell ref="L966"/>
    <mergeCell ref="V966"/>
    <mergeCell ref="R966"/>
    <mergeCell ref="T966"/>
    <mergeCell ref="Y966"/>
    <mergeCell ref="E957"/>
    <mergeCell ref="I949"/>
    <mergeCell ref="M948"/>
    <mergeCell ref="L945"/>
    <mergeCell ref="K945"/>
    <mergeCell ref="I944"/>
    <mergeCell ref="I945"/>
    <mergeCell ref="J945"/>
    <mergeCell ref="I952"/>
    <mergeCell ref="N952"/>
    <mergeCell ref="S952"/>
    <mergeCell ref="P952"/>
    <mergeCell ref="I948"/>
    <mergeCell ref="S948"/>
    <mergeCell ref="Y946"/>
    <mergeCell ref="U948"/>
    <mergeCell ref="T975"/>
    <mergeCell ref="V975"/>
    <mergeCell ref="M974"/>
    <mergeCell ref="G974"/>
    <mergeCell ref="K973"/>
    <mergeCell ref="N974"/>
    <mergeCell ref="O974"/>
    <mergeCell ref="P974"/>
    <mergeCell ref="S965"/>
    <mergeCell ref="R965"/>
    <mergeCell ref="Q965"/>
    <mergeCell ref="P965"/>
    <mergeCell ref="Z954"/>
    <mergeCell ref="G954"/>
    <mergeCell ref="R953"/>
    <mergeCell ref="Z975"/>
    <mergeCell ref="M975"/>
    <mergeCell ref="X975"/>
    <mergeCell ref="R967"/>
    <mergeCell ref="V952"/>
    <mergeCell ref="O951"/>
    <mergeCell ref="S950"/>
    <mergeCell ref="P949"/>
    <mergeCell ref="K948"/>
    <mergeCell ref="L961"/>
    <mergeCell ref="E916"/>
    <mergeCell ref="J925"/>
    <mergeCell ref="E908"/>
    <mergeCell ref="E910"/>
    <mergeCell ref="D958"/>
    <mergeCell ref="C958"/>
    <mergeCell ref="G961"/>
    <mergeCell ref="N957"/>
    <mergeCell ref="S960"/>
    <mergeCell ref="E960"/>
    <mergeCell ref="F957"/>
    <mergeCell ref="F958"/>
    <mergeCell ref="I957"/>
    <mergeCell ref="L958"/>
    <mergeCell ref="M958"/>
    <mergeCell ref="N958"/>
    <mergeCell ref="G958"/>
    <mergeCell ref="Y958"/>
    <mergeCell ref="L957"/>
    <mergeCell ref="W957"/>
    <mergeCell ref="L959"/>
    <mergeCell ref="M959"/>
    <mergeCell ref="P959"/>
    <mergeCell ref="R959"/>
    <mergeCell ref="T959"/>
    <mergeCell ref="Y957"/>
    <mergeCell ref="M969"/>
    <mergeCell ref="T933"/>
    <mergeCell ref="S933"/>
    <mergeCell ref="H934"/>
    <mergeCell ref="Y905"/>
    <mergeCell ref="Z905"/>
    <mergeCell ref="X902"/>
    <mergeCell ref="O904"/>
    <mergeCell ref="D905"/>
    <mergeCell ref="Y904"/>
    <mergeCell ref="F905"/>
    <mergeCell ref="S904"/>
    <mergeCell ref="Q904"/>
    <mergeCell ref="Z904"/>
    <mergeCell ref="G905"/>
    <mergeCell ref="Q903"/>
    <mergeCell ref="Y903"/>
    <mergeCell ref="U903"/>
    <mergeCell ref="S903"/>
    <mergeCell ref="D904"/>
    <mergeCell ref="L905"/>
    <mergeCell ref="U905"/>
    <mergeCell ref="Q905"/>
    <mergeCell ref="S905"/>
    <mergeCell ref="Z927"/>
    <mergeCell ref="Z933"/>
    <mergeCell ref="Y930"/>
    <mergeCell ref="W953"/>
    <mergeCell ref="Z953"/>
    <mergeCell ref="L949"/>
    <mergeCell ref="W949"/>
    <mergeCell ref="W934"/>
    <mergeCell ref="L935"/>
    <mergeCell ref="M935"/>
    <mergeCell ref="G936"/>
    <mergeCell ref="E937"/>
    <mergeCell ref="F937"/>
    <mergeCell ref="G938"/>
    <mergeCell ref="W943"/>
    <mergeCell ref="U943"/>
    <mergeCell ref="X943"/>
    <mergeCell ref="Z938"/>
    <mergeCell ref="T939"/>
    <mergeCell ref="V937"/>
    <mergeCell ref="X937"/>
    <mergeCell ref="T938"/>
    <mergeCell ref="Y937"/>
    <mergeCell ref="W937"/>
    <mergeCell ref="Z937"/>
    <mergeCell ref="T937"/>
    <mergeCell ref="Z940"/>
    <mergeCell ref="W940"/>
    <mergeCell ref="V962"/>
    <mergeCell ref="E962"/>
    <mergeCell ref="R962"/>
    <mergeCell ref="P962"/>
    <mergeCell ref="I962"/>
    <mergeCell ref="O961"/>
    <mergeCell ref="W960"/>
    <mergeCell ref="Y953"/>
    <mergeCell ref="O953"/>
    <mergeCell ref="C945"/>
    <mergeCell ref="E945"/>
    <mergeCell ref="Z946"/>
    <mergeCell ref="E944"/>
    <mergeCell ref="G947"/>
    <mergeCell ref="C947"/>
    <mergeCell ref="H946"/>
    <mergeCell ref="K947"/>
    <mergeCell ref="U947"/>
    <mergeCell ref="P947"/>
    <mergeCell ref="T945"/>
    <mergeCell ref="S947"/>
    <mergeCell ref="Q947"/>
    <mergeCell ref="Z947"/>
    <mergeCell ref="V946"/>
    <mergeCell ref="R947"/>
    <mergeCell ref="X947"/>
    <mergeCell ref="W947"/>
    <mergeCell ref="V947"/>
    <mergeCell ref="T947"/>
    <mergeCell ref="K946"/>
    <mergeCell ref="G944"/>
    <mergeCell ref="D946"/>
    <mergeCell ref="F946"/>
    <mergeCell ref="G946"/>
    <mergeCell ref="C959"/>
    <mergeCell ref="C960"/>
    <mergeCell ref="T958"/>
    <mergeCell ref="I954"/>
    <mergeCell ref="V954"/>
    <mergeCell ref="T954"/>
    <mergeCell ref="L954"/>
    <mergeCell ref="X954"/>
    <mergeCell ref="Y954"/>
    <mergeCell ref="H937"/>
    <mergeCell ref="C938"/>
    <mergeCell ref="D937"/>
    <mergeCell ref="C937"/>
    <mergeCell ref="W948"/>
    <mergeCell ref="X950"/>
    <mergeCell ref="G949"/>
    <mergeCell ref="Z916"/>
    <mergeCell ref="Y909"/>
    <mergeCell ref="V909"/>
    <mergeCell ref="Z906"/>
    <mergeCell ref="Y906"/>
    <mergeCell ref="Q935"/>
    <mergeCell ref="F936"/>
    <mergeCell ref="T936"/>
    <mergeCell ref="I937"/>
    <mergeCell ref="P936"/>
    <mergeCell ref="J936"/>
    <mergeCell ref="X936"/>
    <mergeCell ref="L936"/>
    <mergeCell ref="S937"/>
    <mergeCell ref="J937"/>
    <mergeCell ref="L937"/>
    <mergeCell ref="U937"/>
    <mergeCell ref="O937"/>
    <mergeCell ref="R937"/>
    <mergeCell ref="G937"/>
    <mergeCell ref="W897"/>
    <mergeCell ref="L896"/>
    <mergeCell ref="D906"/>
    <mergeCell ref="O912"/>
    <mergeCell ref="O914"/>
    <mergeCell ref="G914"/>
    <mergeCell ref="J913"/>
    <mergeCell ref="R913"/>
    <mergeCell ref="M914"/>
    <mergeCell ref="V914"/>
    <mergeCell ref="U914"/>
    <mergeCell ref="R914"/>
    <mergeCell ref="C917"/>
    <mergeCell ref="D913"/>
    <mergeCell ref="S916"/>
    <mergeCell ref="T916"/>
    <mergeCell ref="U916"/>
    <mergeCell ref="K908"/>
    <mergeCell ref="U908"/>
    <mergeCell ref="G920"/>
    <mergeCell ref="R919"/>
    <mergeCell ref="K919"/>
    <mergeCell ref="X918"/>
    <mergeCell ref="O919"/>
    <mergeCell ref="Q919"/>
    <mergeCell ref="T920"/>
    <mergeCell ref="V919"/>
    <mergeCell ref="W919"/>
    <mergeCell ref="Y899"/>
    <mergeCell ref="W901"/>
    <mergeCell ref="J901"/>
    <mergeCell ref="S901"/>
    <mergeCell ref="X901"/>
    <mergeCell ref="M901"/>
    <mergeCell ref="T901"/>
    <mergeCell ref="N901"/>
    <mergeCell ref="V901"/>
    <mergeCell ref="Y901"/>
    <mergeCell ref="I923"/>
    <mergeCell ref="R923"/>
    <mergeCell ref="D924"/>
    <mergeCell ref="E924"/>
    <mergeCell ref="H925"/>
    <mergeCell ref="K920"/>
    <mergeCell ref="L947"/>
    <mergeCell ref="D947"/>
    <mergeCell ref="J947"/>
    <mergeCell ref="I947"/>
    <mergeCell ref="F947"/>
    <mergeCell ref="D938"/>
    <mergeCell ref="E938"/>
    <mergeCell ref="L939"/>
    <mergeCell ref="I939"/>
    <mergeCell ref="K942"/>
    <mergeCell ref="X942"/>
    <mergeCell ref="V942"/>
    <mergeCell ref="X939"/>
    <mergeCell ref="Y942"/>
    <mergeCell ref="V943"/>
    <mergeCell ref="V940"/>
    <mergeCell ref="I903"/>
    <mergeCell ref="S917"/>
    <mergeCell ref="X919"/>
    <mergeCell ref="T934"/>
    <mergeCell ref="K930"/>
    <mergeCell ref="T931"/>
    <mergeCell ref="T914"/>
    <mergeCell ref="F918"/>
    <mergeCell ref="I918"/>
    <mergeCell ref="V906"/>
    <mergeCell ref="E901"/>
    <mergeCell ref="L899"/>
    <mergeCell ref="Q900"/>
    <mergeCell ref="R899"/>
    <mergeCell ref="H901"/>
    <mergeCell ref="S912"/>
    <mergeCell ref="P912"/>
    <mergeCell ref="U912"/>
    <mergeCell ref="T911"/>
    <mergeCell ref="O910"/>
    <mergeCell ref="M911"/>
    <mergeCell ref="E913"/>
    <mergeCell ref="N913"/>
    <mergeCell ref="L910"/>
    <mergeCell ref="S913"/>
    <mergeCell ref="N903"/>
    <mergeCell ref="P902"/>
    <mergeCell ref="Q902"/>
    <mergeCell ref="M902"/>
    <mergeCell ref="T902"/>
    <mergeCell ref="I902"/>
    <mergeCell ref="J902"/>
    <mergeCell ref="R902"/>
    <mergeCell ref="N902"/>
    <mergeCell ref="L902"/>
    <mergeCell ref="X905"/>
    <mergeCell ref="X899"/>
    <mergeCell ref="K900"/>
    <mergeCell ref="I899"/>
    <mergeCell ref="W899"/>
    <mergeCell ref="U902"/>
    <mergeCell ref="M903"/>
    <mergeCell ref="O902"/>
    <mergeCell ref="H902"/>
    <mergeCell ref="K904"/>
    <mergeCell ref="H936"/>
    <mergeCell ref="X938"/>
    <mergeCell ref="Y902"/>
    <mergeCell ref="A890"/>
    <mergeCell ref="L886"/>
    <mergeCell ref="W886"/>
    <mergeCell ref="N886"/>
    <mergeCell ref="R886"/>
    <mergeCell ref="V887"/>
    <mergeCell ref="W887"/>
    <mergeCell ref="H886"/>
    <mergeCell ref="S886"/>
    <mergeCell ref="A887"/>
    <mergeCell ref="F886"/>
    <mergeCell ref="I886"/>
    <mergeCell ref="G886"/>
    <mergeCell ref="K886"/>
    <mergeCell ref="Q886"/>
    <mergeCell ref="O886"/>
    <mergeCell ref="E886"/>
    <mergeCell ref="M886"/>
    <mergeCell ref="T886"/>
    <mergeCell ref="P886"/>
    <mergeCell ref="V886"/>
    <mergeCell ref="G887"/>
    <mergeCell ref="T887"/>
    <mergeCell ref="S887"/>
    <mergeCell ref="N887"/>
    <mergeCell ref="P887"/>
    <mergeCell ref="R887"/>
    <mergeCell ref="U887"/>
    <mergeCell ref="T888"/>
    <mergeCell ref="W888"/>
    <mergeCell ref="V888"/>
    <mergeCell ref="J889"/>
    <mergeCell ref="W889"/>
    <mergeCell ref="H889"/>
    <mergeCell ref="M889"/>
    <mergeCell ref="K889"/>
    <mergeCell ref="B890"/>
    <mergeCell ref="D887"/>
    <mergeCell ref="C890"/>
    <mergeCell ref="G889"/>
    <mergeCell ref="Q890"/>
    <mergeCell ref="P889"/>
    <mergeCell ref="P890"/>
    <mergeCell ref="V889"/>
    <mergeCell ref="S890"/>
    <mergeCell ref="R889"/>
    <mergeCell ref="U890"/>
    <mergeCell ref="V890"/>
    <mergeCell ref="C889"/>
    <mergeCell ref="I890"/>
    <mergeCell ref="H890"/>
    <mergeCell ref="E890"/>
    <mergeCell ref="D890"/>
    <mergeCell ref="F890"/>
    <mergeCell ref="K890"/>
    <mergeCell ref="L890"/>
    <mergeCell ref="A888"/>
    <mergeCell ref="J887"/>
    <mergeCell ref="Q888"/>
    <mergeCell ref="R888"/>
    <mergeCell ref="S888"/>
    <mergeCell ref="E887"/>
    <mergeCell ref="C887"/>
    <mergeCell ref="K887"/>
    <mergeCell ref="B887"/>
    <mergeCell ref="H923"/>
    <mergeCell ref="L922"/>
    <mergeCell ref="P921"/>
    <mergeCell ref="I922"/>
    <mergeCell ref="C923"/>
    <mergeCell ref="O922"/>
    <mergeCell ref="E923"/>
    <mergeCell ref="M922"/>
    <mergeCell ref="K921"/>
    <mergeCell ref="P931"/>
    <mergeCell ref="X931"/>
    <mergeCell ref="S931"/>
    <mergeCell ref="I929"/>
    <mergeCell ref="C931"/>
    <mergeCell ref="Q931"/>
    <mergeCell ref="D931"/>
    <mergeCell ref="G930"/>
    <mergeCell ref="H931"/>
    <mergeCell ref="G931"/>
    <mergeCell ref="F930"/>
    <mergeCell ref="F931"/>
    <mergeCell ref="I930"/>
    <mergeCell ref="E931"/>
    <mergeCell ref="D930"/>
    <mergeCell ref="I931"/>
    <mergeCell ref="J931"/>
    <mergeCell ref="K931"/>
    <mergeCell ref="L931"/>
    <mergeCell ref="M931"/>
    <mergeCell ref="A930"/>
    <mergeCell ref="J927"/>
    <mergeCell ref="U927"/>
    <mergeCell ref="V927"/>
    <mergeCell ref="W927"/>
    <mergeCell ref="X927"/>
    <mergeCell ref="W930"/>
    <mergeCell ref="P930"/>
    <mergeCell ref="N930"/>
    <mergeCell ref="X930"/>
    <mergeCell ref="M924"/>
    <mergeCell ref="W924"/>
    <mergeCell ref="R924"/>
    <mergeCell ref="P924"/>
    <mergeCell ref="D925"/>
    <mergeCell ref="M929"/>
    <mergeCell ref="Q929"/>
    <mergeCell ref="G926"/>
    <mergeCell ref="K926"/>
    <mergeCell ref="A927"/>
    <mergeCell ref="B927"/>
    <mergeCell ref="C927"/>
    <mergeCell ref="A928"/>
    <mergeCell ref="B921"/>
    <mergeCell ref="J921"/>
    <mergeCell ref="O921"/>
    <mergeCell ref="V931"/>
    <mergeCell ref="N931"/>
    <mergeCell ref="B929"/>
    <mergeCell ref="C929"/>
    <mergeCell ref="J928"/>
    <mergeCell ref="O928"/>
    <mergeCell ref="M928"/>
    <mergeCell ref="B926"/>
    <mergeCell ref="A903"/>
    <mergeCell ref="B903"/>
    <mergeCell ref="C903"/>
    <mergeCell ref="O907"/>
    <mergeCell ref="U904"/>
    <mergeCell ref="N904"/>
    <mergeCell ref="W904"/>
    <mergeCell ref="I905"/>
    <mergeCell ref="I906"/>
    <mergeCell ref="U906"/>
    <mergeCell ref="O906"/>
    <mergeCell ref="A904"/>
    <mergeCell ref="G904"/>
    <mergeCell ref="K903"/>
    <mergeCell ref="W903"/>
    <mergeCell ref="B904"/>
    <mergeCell ref="C904"/>
    <mergeCell ref="P907"/>
    <mergeCell ref="A923"/>
    <mergeCell ref="B923"/>
    <mergeCell ref="X922"/>
    <mergeCell ref="Q921"/>
    <mergeCell ref="K922"/>
    <mergeCell ref="M921"/>
    <mergeCell ref="W922"/>
    <mergeCell ref="V922"/>
    <mergeCell ref="U922"/>
    <mergeCell ref="Q922"/>
    <mergeCell ref="T922"/>
    <mergeCell ref="Y922"/>
    <mergeCell ref="W921"/>
    <mergeCell ref="E922"/>
    <mergeCell ref="D922"/>
    <mergeCell ref="U921"/>
    <mergeCell ref="G922"/>
    <mergeCell ref="F922"/>
    <mergeCell ref="S921"/>
    <mergeCell ref="R921"/>
    <mergeCell ref="L921"/>
    <mergeCell ref="H922"/>
    <mergeCell ref="H919"/>
    <mergeCell ref="I919"/>
    <mergeCell ref="J919"/>
    <mergeCell ref="T906"/>
    <mergeCell ref="X906"/>
    <mergeCell ref="A921"/>
    <mergeCell ref="A919"/>
    <mergeCell ref="Y918"/>
    <mergeCell ref="B919"/>
    <mergeCell ref="X915"/>
    <mergeCell ref="P916"/>
    <mergeCell ref="O915"/>
    <mergeCell ref="T915"/>
    <mergeCell ref="V915"/>
    <mergeCell ref="L915"/>
    <mergeCell ref="Y915"/>
    <mergeCell ref="L916"/>
    <mergeCell ref="M916"/>
    <mergeCell ref="A918"/>
    <mergeCell ref="D914"/>
    <mergeCell ref="B917"/>
    <mergeCell ref="C916"/>
    <mergeCell ref="B916"/>
    <mergeCell ref="B915"/>
    <mergeCell ref="A916"/>
    <mergeCell ref="A906"/>
    <mergeCell ref="B906"/>
    <mergeCell ref="A907"/>
    <mergeCell ref="B907"/>
    <mergeCell ref="F904"/>
    <mergeCell ref="V903"/>
    <mergeCell ref="J904"/>
    <mergeCell ref="T903"/>
    <mergeCell ref="L904"/>
    <mergeCell ref="M904"/>
    <mergeCell ref="X904"/>
    <mergeCell ref="T904"/>
    <mergeCell ref="R904"/>
    <mergeCell ref="A905"/>
    <mergeCell ref="B905"/>
    <mergeCell ref="C905"/>
    <mergeCell ref="G906"/>
    <mergeCell ref="O905"/>
    <mergeCell ref="M906"/>
    <mergeCell ref="L906"/>
    <mergeCell ref="K905"/>
    <mergeCell ref="A897"/>
    <mergeCell ref="L901"/>
    <mergeCell ref="U917"/>
    <mergeCell ref="O917"/>
    <mergeCell ref="L917"/>
    <mergeCell ref="N917"/>
    <mergeCell ref="V917"/>
    <mergeCell ref="A902"/>
    <mergeCell ref="B910"/>
    <mergeCell ref="K912"/>
    <mergeCell ref="E912"/>
    <mergeCell ref="F912"/>
    <mergeCell ref="G912"/>
    <mergeCell ref="H912"/>
    <mergeCell ref="I912"/>
    <mergeCell ref="L912"/>
    <mergeCell ref="J912"/>
    <mergeCell ref="T912"/>
    <mergeCell ref="M912"/>
    <mergeCell ref="N912"/>
    <mergeCell ref="V912"/>
    <mergeCell ref="R912"/>
    <mergeCell ref="Q912"/>
    <mergeCell ref="Q916"/>
    <mergeCell ref="N900"/>
    <mergeCell ref="U899"/>
    <mergeCell ref="U900"/>
    <mergeCell ref="A899"/>
    <mergeCell ref="J900"/>
    <mergeCell ref="I900"/>
    <mergeCell ref="H900"/>
    <mergeCell ref="C900"/>
    <mergeCell ref="E900"/>
    <mergeCell ref="Q897"/>
    <mergeCell ref="C898"/>
    <mergeCell ref="B897"/>
    <mergeCell ref="D898"/>
    <mergeCell ref="O897"/>
    <mergeCell ref="T897"/>
    <mergeCell ref="S897"/>
    <mergeCell ref="A898"/>
    <mergeCell ref="J899"/>
    <mergeCell ref="A901"/>
    <mergeCell ref="I901"/>
    <mergeCell ref="R900"/>
    <mergeCell ref="N899"/>
    <mergeCell ref="M900"/>
    <mergeCell ref="P900"/>
    <mergeCell ref="P899"/>
    <mergeCell ref="O900"/>
    <mergeCell ref="S900"/>
    <mergeCell ref="T900"/>
    <mergeCell ref="V905"/>
    <mergeCell ref="H906"/>
    <mergeCell ref="S907"/>
    <mergeCell ref="E905"/>
    <mergeCell ref="V904"/>
    <mergeCell ref="E904"/>
    <mergeCell ref="Z925"/>
    <mergeCell ref="H932"/>
    <mergeCell ref="R932"/>
    <mergeCell ref="Q932"/>
    <mergeCell ref="N932"/>
    <mergeCell ref="K932"/>
    <mergeCell ref="P932"/>
    <mergeCell ref="E932"/>
    <mergeCell ref="M932"/>
    <mergeCell ref="S922"/>
    <mergeCell ref="R922"/>
    <mergeCell ref="Z932"/>
    <mergeCell ref="Z923"/>
    <mergeCell ref="J922"/>
    <mergeCell ref="B922"/>
    <mergeCell ref="L926"/>
    <mergeCell ref="F928"/>
    <mergeCell ref="K928"/>
    <mergeCell ref="Y928"/>
    <mergeCell ref="Q926"/>
    <mergeCell ref="D928"/>
    <mergeCell ref="I928"/>
    <mergeCell ref="W928"/>
    <mergeCell ref="E927"/>
    <mergeCell ref="L928"/>
    <mergeCell ref="G928"/>
    <mergeCell ref="U928"/>
    <mergeCell ref="S926"/>
    <mergeCell ref="K927"/>
    <mergeCell ref="J926"/>
    <mergeCell ref="P927"/>
    <mergeCell ref="Q927"/>
    <mergeCell ref="R927"/>
    <mergeCell ref="S927"/>
    <mergeCell ref="T927"/>
    <mergeCell ref="T923"/>
    <mergeCell ref="G924"/>
    <mergeCell ref="C926"/>
    <mergeCell ref="Q925"/>
    <mergeCell ref="E926"/>
    <mergeCell ref="N925"/>
    <mergeCell ref="V923"/>
    <mergeCell ref="S923"/>
    <mergeCell ref="Z922"/>
    <mergeCell ref="Z931"/>
    <mergeCell ref="W931"/>
    <mergeCell ref="Z924"/>
    <mergeCell ref="U926"/>
    <mergeCell ref="B928"/>
    <mergeCell ref="R925"/>
    <mergeCell ref="F926"/>
    <mergeCell ref="H913"/>
    <mergeCell ref="K911"/>
    <mergeCell ref="L913"/>
    <mergeCell ref="M913"/>
    <mergeCell ref="J911"/>
    <mergeCell ref="K913"/>
    <mergeCell ref="A914"/>
    <mergeCell ref="B914"/>
    <mergeCell ref="V911"/>
    <mergeCell ref="F913"/>
    <mergeCell ref="G911"/>
    <mergeCell ref="H911"/>
    <mergeCell ref="I911"/>
    <mergeCell ref="C913"/>
    <mergeCell ref="X911"/>
    <mergeCell ref="B913"/>
    <mergeCell ref="A912"/>
    <mergeCell ref="M917"/>
    <mergeCell ref="Y917"/>
    <mergeCell ref="W917"/>
    <mergeCell ref="P917"/>
    <mergeCell ref="K918"/>
    <mergeCell ref="L918"/>
    <mergeCell ref="S919"/>
    <mergeCell ref="J920"/>
    <mergeCell ref="A920"/>
    <mergeCell ref="U919"/>
    <mergeCell ref="B920"/>
    <mergeCell ref="C920"/>
    <mergeCell ref="D920"/>
    <mergeCell ref="E920"/>
    <mergeCell ref="F920"/>
    <mergeCell ref="F919"/>
    <mergeCell ref="R917"/>
    <mergeCell ref="G919"/>
    <mergeCell ref="Y924"/>
    <mergeCell ref="V924"/>
    <mergeCell ref="T924"/>
    <mergeCell ref="X924"/>
    <mergeCell ref="O924"/>
    <mergeCell ref="X925"/>
    <mergeCell ref="M923"/>
    <mergeCell ref="O925"/>
    <mergeCell ref="H926"/>
    <mergeCell ref="G927"/>
    <mergeCell ref="H927"/>
    <mergeCell ref="Q928"/>
    <mergeCell ref="C915"/>
    <mergeCell ref="L920"/>
    <mergeCell ref="V920"/>
    <mergeCell ref="O918"/>
    <mergeCell ref="L919"/>
    <mergeCell ref="Y925"/>
    <mergeCell ref="L925"/>
    <mergeCell ref="C921"/>
    <mergeCell ref="C928"/>
    <mergeCell ref="A925"/>
    <mergeCell ref="B925"/>
    <mergeCell ref="A926"/>
    <mergeCell ref="A922"/>
    <mergeCell ref="Y921"/>
    <mergeCell ref="Z891"/>
    <mergeCell ref="I889"/>
    <mergeCell ref="S889"/>
    <mergeCell ref="N889"/>
    <mergeCell ref="L889"/>
    <mergeCell ref="M890"/>
    <mergeCell ref="N890"/>
    <mergeCell ref="O890"/>
    <mergeCell ref="D889"/>
    <mergeCell ref="O889"/>
    <mergeCell ref="H894"/>
    <mergeCell ref="S894"/>
    <mergeCell ref="R895"/>
    <mergeCell ref="S895"/>
    <mergeCell ref="A896"/>
    <mergeCell ref="B896"/>
    <mergeCell ref="D897"/>
    <mergeCell ref="A908"/>
    <mergeCell ref="V907"/>
    <mergeCell ref="B908"/>
    <mergeCell ref="Q918"/>
    <mergeCell ref="T919"/>
    <mergeCell ref="P919"/>
    <mergeCell ref="S924"/>
    <mergeCell ref="L923"/>
    <mergeCell ref="X923"/>
    <mergeCell ref="F923"/>
    <mergeCell ref="P923"/>
    <mergeCell ref="A924"/>
    <mergeCell ref="B924"/>
    <mergeCell ref="C924"/>
    <mergeCell ref="P922"/>
    <mergeCell ref="G923"/>
    <mergeCell ref="L907"/>
    <mergeCell ref="X907"/>
    <mergeCell ref="B895"/>
    <mergeCell ref="E894"/>
    <mergeCell ref="H895"/>
    <mergeCell ref="X895"/>
    <mergeCell ref="N894"/>
    <mergeCell ref="Y894"/>
    <mergeCell ref="V894"/>
    <mergeCell ref="X894"/>
    <mergeCell ref="Z895"/>
    <mergeCell ref="C894"/>
    <mergeCell ref="J895"/>
    <mergeCell ref="E895"/>
    <mergeCell ref="N897"/>
    <mergeCell ref="M896"/>
    <mergeCell ref="P897"/>
    <mergeCell ref="X917"/>
    <mergeCell ref="H917"/>
    <mergeCell ref="N915"/>
    <mergeCell ref="J917"/>
    <mergeCell ref="K915"/>
    <mergeCell ref="I916"/>
    <mergeCell ref="X889"/>
    <mergeCell ref="R890"/>
    <mergeCell ref="T890"/>
    <mergeCell ref="T889"/>
    <mergeCell ref="U889"/>
    <mergeCell ref="W890"/>
    <mergeCell ref="X890"/>
    <mergeCell ref="E889"/>
    <mergeCell ref="Z930"/>
    <mergeCell ref="V930"/>
    <mergeCell ref="R928"/>
    <mergeCell ref="X929"/>
    <mergeCell ref="Z928"/>
    <mergeCell ref="M926"/>
    <mergeCell ref="E928"/>
    <mergeCell ref="D927"/>
    <mergeCell ref="I926"/>
    <mergeCell ref="F927"/>
    <mergeCell ref="S929"/>
    <mergeCell ref="X928"/>
    <mergeCell ref="P928"/>
    <mergeCell ref="S928"/>
    <mergeCell ref="V928"/>
    <mergeCell ref="Y929"/>
    <mergeCell ref="T928"/>
    <mergeCell ref="W929"/>
    <mergeCell ref="V929"/>
    <mergeCell ref="U929"/>
    <mergeCell ref="T929"/>
    <mergeCell ref="Z929"/>
    <mergeCell ref="Y920"/>
    <mergeCell ref="O920"/>
    <mergeCell ref="R920"/>
    <mergeCell ref="P920"/>
    <mergeCell ref="W920"/>
    <mergeCell ref="Z920"/>
    <mergeCell ref="M920"/>
    <mergeCell ref="H920"/>
    <mergeCell ref="N920"/>
    <mergeCell ref="X920"/>
    <mergeCell ref="S920"/>
    <mergeCell ref="U920"/>
    <mergeCell ref="F921"/>
    <mergeCell ref="G921"/>
    <mergeCell ref="I920"/>
    <mergeCell ref="D921"/>
    <mergeCell ref="Z926"/>
    <mergeCell ref="P926"/>
    <mergeCell ref="X926"/>
    <mergeCell ref="W926"/>
    <mergeCell ref="R926"/>
    <mergeCell ref="T926"/>
    <mergeCell ref="V926"/>
    <mergeCell ref="D926"/>
    <mergeCell ref="M925"/>
    <mergeCell ref="I927"/>
    <mergeCell ref="N926"/>
    <mergeCell ref="O927"/>
    <mergeCell ref="N927"/>
    <mergeCell ref="L927"/>
    <mergeCell ref="M927"/>
    <mergeCell ref="F924"/>
    <mergeCell ref="T930"/>
    <mergeCell ref="E930"/>
    <mergeCell ref="S930"/>
    <mergeCell ref="H930"/>
    <mergeCell ref="N928"/>
    <mergeCell ref="E921"/>
    <mergeCell ref="H921"/>
    <mergeCell ref="I921"/>
    <mergeCell ref="T921"/>
    <mergeCell ref="D923"/>
    <mergeCell ref="U931"/>
    <mergeCell ref="T932"/>
    <mergeCell ref="Y932"/>
    <mergeCell ref="U932"/>
    <mergeCell ref="V932"/>
    <mergeCell ref="X932"/>
    <mergeCell ref="Y927"/>
    <mergeCell ref="W925"/>
    <mergeCell ref="V925"/>
    <mergeCell ref="U925"/>
    <mergeCell ref="T925"/>
    <mergeCell ref="S925"/>
    <mergeCell ref="J916"/>
    <mergeCell ref="K916"/>
    <mergeCell ref="T909"/>
    <mergeCell ref="U909"/>
    <mergeCell ref="W909"/>
    <mergeCell ref="J909"/>
    <mergeCell ref="R909"/>
    <mergeCell ref="J910"/>
    <mergeCell ref="U910"/>
    <mergeCell ref="V913"/>
    <mergeCell ref="W908"/>
    <mergeCell ref="H918"/>
    <mergeCell ref="G918"/>
    <mergeCell ref="N919"/>
    <mergeCell ref="J907"/>
    <mergeCell ref="H905"/>
    <mergeCell ref="P905"/>
    <mergeCell ref="J906"/>
    <mergeCell ref="K906"/>
    <mergeCell ref="X903"/>
    <mergeCell ref="H904"/>
    <mergeCell ref="Q920"/>
    <mergeCell ref="M919"/>
    <mergeCell ref="N910"/>
    <mergeCell ref="K929"/>
    <mergeCell ref="P929"/>
    <mergeCell ref="O929"/>
    <mergeCell ref="N929"/>
    <mergeCell ref="J929"/>
    <mergeCell ref="O931"/>
    <mergeCell ref="E906"/>
    <mergeCell ref="F906"/>
    <mergeCell ref="W905"/>
    <mergeCell ref="J903"/>
    <mergeCell ref="N922"/>
    <mergeCell ref="J923"/>
    <mergeCell ref="H928"/>
    <mergeCell ref="I924"/>
    <mergeCell ref="Q924"/>
    <mergeCell ref="E925"/>
    <mergeCell ref="F925"/>
    <mergeCell ref="G925"/>
    <mergeCell ref="I925"/>
    <mergeCell ref="N924"/>
    <mergeCell ref="P925"/>
    <mergeCell ref="W916"/>
    <mergeCell ref="X916"/>
    <mergeCell ref="P908"/>
    <mergeCell ref="R908"/>
    <mergeCell ref="G909"/>
    <mergeCell ref="H909"/>
    <mergeCell ref="G910"/>
    <mergeCell ref="N914"/>
    <mergeCell ref="Z850"/>
    <mergeCell ref="V851"/>
    <mergeCell ref="U851"/>
    <mergeCell ref="T851"/>
    <mergeCell ref="Y851"/>
    <mergeCell ref="Z851"/>
    <mergeCell ref="P850"/>
    <mergeCell ref="D852"/>
    <mergeCell ref="Z883"/>
    <mergeCell ref="D881"/>
    <mergeCell ref="E881"/>
    <mergeCell ref="F881"/>
    <mergeCell ref="Z881"/>
    <mergeCell ref="N888"/>
    <mergeCell ref="J864"/>
    <mergeCell ref="M864"/>
    <mergeCell ref="F863"/>
    <mergeCell ref="Q863"/>
    <mergeCell ref="I863"/>
    <mergeCell ref="L881"/>
    <mergeCell ref="Q881"/>
    <mergeCell ref="U879"/>
    <mergeCell ref="D872"/>
    <mergeCell ref="Z882"/>
    <mergeCell ref="P880"/>
    <mergeCell ref="M880"/>
    <mergeCell ref="F872"/>
    <mergeCell ref="M873"/>
    <mergeCell ref="H873"/>
    <mergeCell ref="I873"/>
    <mergeCell ref="K862"/>
    <mergeCell ref="V862"/>
    <mergeCell ref="H861"/>
    <mergeCell ref="S861"/>
    <mergeCell ref="J862"/>
    <mergeCell ref="Z859"/>
    <mergeCell ref="P859"/>
    <mergeCell ref="V859"/>
    <mergeCell ref="T859"/>
    <mergeCell ref="S859"/>
    <mergeCell ref="R859"/>
    <mergeCell ref="Z880"/>
    <mergeCell ref="G881"/>
    <mergeCell ref="I880"/>
    <mergeCell ref="O879"/>
    <mergeCell ref="V873"/>
    <mergeCell ref="P874"/>
    <mergeCell ref="O873"/>
    <mergeCell ref="V874"/>
    <mergeCell ref="W874"/>
    <mergeCell ref="L888"/>
    <mergeCell ref="K888"/>
    <mergeCell ref="G888"/>
    <mergeCell ref="X888"/>
    <mergeCell ref="F887"/>
    <mergeCell ref="Y883"/>
    <mergeCell ref="N883"/>
    <mergeCell ref="A886"/>
    <mergeCell ref="B886"/>
    <mergeCell ref="C886"/>
    <mergeCell ref="D886"/>
    <mergeCell ref="V883"/>
    <mergeCell ref="O884"/>
    <mergeCell ref="X884"/>
    <mergeCell ref="G885"/>
    <mergeCell ref="Q885"/>
    <mergeCell ref="L885"/>
    <mergeCell ref="N885"/>
    <mergeCell ref="X885"/>
    <mergeCell ref="Y885"/>
    <mergeCell ref="Z885"/>
    <mergeCell ref="J883"/>
    <mergeCell ref="B885"/>
    <mergeCell ref="M884"/>
    <mergeCell ref="Z886"/>
    <mergeCell ref="Z887"/>
    <mergeCell ref="O888"/>
    <mergeCell ref="P888"/>
    <mergeCell ref="M887"/>
    <mergeCell ref="E888"/>
    <mergeCell ref="A885"/>
    <mergeCell ref="I884"/>
    <mergeCell ref="J885"/>
    <mergeCell ref="I883"/>
    <mergeCell ref="T883"/>
    <mergeCell ref="N884"/>
    <mergeCell ref="V884"/>
    <mergeCell ref="W884"/>
    <mergeCell ref="U884"/>
    <mergeCell ref="Q884"/>
    <mergeCell ref="T884"/>
    <mergeCell ref="Y884"/>
    <mergeCell ref="Z884"/>
    <mergeCell ref="I888"/>
    <mergeCell ref="X887"/>
    <mergeCell ref="Y887"/>
    <mergeCell ref="L884"/>
    <mergeCell ref="C885"/>
    <mergeCell ref="M888"/>
    <mergeCell ref="I887"/>
    <mergeCell ref="F888"/>
    <mergeCell ref="H888"/>
    <mergeCell ref="B884"/>
    <mergeCell ref="D885"/>
    <mergeCell ref="J884"/>
    <mergeCell ref="F885"/>
    <mergeCell ref="M885"/>
    <mergeCell ref="H885"/>
    <mergeCell ref="U885"/>
    <mergeCell ref="F883"/>
    <mergeCell ref="R883"/>
    <mergeCell ref="E885"/>
    <mergeCell ref="O885"/>
    <mergeCell ref="G883"/>
    <mergeCell ref="V885"/>
    <mergeCell ref="I885"/>
    <mergeCell ref="T885"/>
    <mergeCell ref="P885"/>
    <mergeCell ref="R885"/>
    <mergeCell ref="W885"/>
    <mergeCell ref="Z896"/>
    <mergeCell ref="U895"/>
    <mergeCell ref="X897"/>
    <mergeCell ref="Y897"/>
    <mergeCell ref="Z897"/>
    <mergeCell ref="D902"/>
    <mergeCell ref="E902"/>
    <mergeCell ref="F902"/>
    <mergeCell ref="G902"/>
    <mergeCell ref="P903"/>
    <mergeCell ref="P901"/>
    <mergeCell ref="R901"/>
    <mergeCell ref="H899"/>
    <mergeCell ref="S899"/>
    <mergeCell ref="Z902"/>
    <mergeCell ref="Z903"/>
    <mergeCell ref="Y898"/>
    <mergeCell ref="E898"/>
    <mergeCell ref="O898"/>
    <mergeCell ref="H898"/>
    <mergeCell ref="U898"/>
    <mergeCell ref="F894"/>
    <mergeCell ref="Q894"/>
    <mergeCell ref="O895"/>
    <mergeCell ref="S885"/>
    <mergeCell ref="K885"/>
    <mergeCell ref="X886"/>
    <mergeCell ref="Y886"/>
    <mergeCell ref="Z901"/>
    <mergeCell ref="U901"/>
    <mergeCell ref="Z900"/>
    <mergeCell ref="W900"/>
    <mergeCell ref="J890"/>
    <mergeCell ref="J894"/>
    <mergeCell ref="X896"/>
    <mergeCell ref="Z889"/>
    <mergeCell ref="Y890"/>
    <mergeCell ref="Z890"/>
    <mergeCell ref="Y895"/>
    <mergeCell ref="G896"/>
    <mergeCell ref="E896"/>
    <mergeCell ref="H896"/>
    <mergeCell ref="T896"/>
    <mergeCell ref="F889"/>
    <mergeCell ref="Q889"/>
    <mergeCell ref="U896"/>
    <mergeCell ref="L897"/>
    <mergeCell ref="K896"/>
    <mergeCell ref="Q895"/>
    <mergeCell ref="R834"/>
    <mergeCell ref="I835"/>
    <mergeCell ref="Y834"/>
    <mergeCell ref="W834"/>
    <mergeCell ref="V834"/>
    <mergeCell ref="E835"/>
    <mergeCell ref="G834"/>
    <mergeCell ref="T834"/>
    <mergeCell ref="C835"/>
    <mergeCell ref="J833"/>
    <mergeCell ref="A831"/>
    <mergeCell ref="G829"/>
    <mergeCell ref="A830"/>
    <mergeCell ref="D829"/>
    <mergeCell ref="C829"/>
    <mergeCell ref="V832"/>
    <mergeCell ref="R832"/>
    <mergeCell ref="F830"/>
    <mergeCell ref="Y830"/>
    <mergeCell ref="S829"/>
    <mergeCell ref="W830"/>
    <mergeCell ref="V830"/>
    <mergeCell ref="U830"/>
    <mergeCell ref="X829"/>
    <mergeCell ref="C831"/>
    <mergeCell ref="X830"/>
    <mergeCell ref="T830"/>
    <mergeCell ref="D834"/>
    <mergeCell ref="K833"/>
    <mergeCell ref="W833"/>
    <mergeCell ref="K832"/>
    <mergeCell ref="O833"/>
    <mergeCell ref="N833"/>
    <mergeCell ref="L833"/>
    <mergeCell ref="M833"/>
    <mergeCell ref="N832"/>
    <mergeCell ref="L832"/>
    <mergeCell ref="U833"/>
    <mergeCell ref="I831"/>
    <mergeCell ref="Q831"/>
    <mergeCell ref="C834"/>
    <mergeCell ref="F834"/>
    <mergeCell ref="H834"/>
    <mergeCell ref="I834"/>
    <mergeCell ref="J834"/>
    <mergeCell ref="K834"/>
    <mergeCell ref="P833"/>
    <mergeCell ref="Y833"/>
    <mergeCell ref="T833"/>
    <mergeCell ref="R833"/>
    <mergeCell ref="V829"/>
    <mergeCell ref="U829"/>
    <mergeCell ref="Y829"/>
    <mergeCell ref="N828"/>
    <mergeCell ref="B830"/>
    <mergeCell ref="C830"/>
    <mergeCell ref="D830"/>
    <mergeCell ref="S830"/>
    <mergeCell ref="L830"/>
    <mergeCell ref="Q829"/>
    <mergeCell ref="I830"/>
    <mergeCell ref="J881"/>
    <mergeCell ref="C883"/>
    <mergeCell ref="U886"/>
    <mergeCell ref="J886"/>
    <mergeCell ref="L883"/>
    <mergeCell ref="E883"/>
    <mergeCell ref="B882"/>
    <mergeCell ref="H883"/>
    <mergeCell ref="Z888"/>
    <mergeCell ref="U888"/>
    <mergeCell ref="D888"/>
    <mergeCell ref="H887"/>
    <mergeCell ref="J888"/>
    <mergeCell ref="Y816"/>
    <mergeCell ref="Z815"/>
    <mergeCell ref="O816"/>
    <mergeCell ref="Z835"/>
    <mergeCell ref="K836"/>
    <mergeCell ref="I833"/>
    <mergeCell ref="Q834"/>
    <mergeCell ref="B834"/>
    <mergeCell ref="R835"/>
    <mergeCell ref="L836"/>
    <mergeCell ref="P836"/>
    <mergeCell ref="M836"/>
    <mergeCell ref="N836"/>
    <mergeCell ref="O836"/>
    <mergeCell ref="J836"/>
    <mergeCell ref="P835"/>
    <mergeCell ref="Q836"/>
    <mergeCell ref="O835"/>
    <mergeCell ref="W835"/>
    <mergeCell ref="S835"/>
    <mergeCell ref="Q835"/>
    <mergeCell ref="E836"/>
    <mergeCell ref="F836"/>
    <mergeCell ref="G836"/>
    <mergeCell ref="H836"/>
    <mergeCell ref="W826"/>
    <mergeCell ref="N826"/>
    <mergeCell ref="U825"/>
    <mergeCell ref="X826"/>
    <mergeCell ref="Y826"/>
    <mergeCell ref="Z826"/>
    <mergeCell ref="B827"/>
    <mergeCell ref="P825"/>
    <mergeCell ref="S826"/>
    <mergeCell ref="B828"/>
    <mergeCell ref="O832"/>
    <mergeCell ref="W832"/>
    <mergeCell ref="B833"/>
    <mergeCell ref="C833"/>
    <mergeCell ref="D833"/>
    <mergeCell ref="X834"/>
    <mergeCell ref="L835"/>
    <mergeCell ref="M835"/>
    <mergeCell ref="Z824"/>
    <mergeCell ref="F814"/>
    <mergeCell ref="N788"/>
    <mergeCell ref="Y788"/>
    <mergeCell ref="Y790"/>
    <mergeCell ref="K788"/>
    <mergeCell ref="B789"/>
    <mergeCell ref="G798"/>
    <mergeCell ref="L799"/>
    <mergeCell ref="K799"/>
    <mergeCell ref="H799"/>
    <mergeCell ref="I799"/>
    <mergeCell ref="J799"/>
    <mergeCell ref="M784"/>
    <mergeCell ref="T783"/>
    <mergeCell ref="M783"/>
    <mergeCell ref="I784"/>
    <mergeCell ref="N785"/>
    <mergeCell ref="M785"/>
    <mergeCell ref="J785"/>
    <mergeCell ref="K785"/>
    <mergeCell ref="G785"/>
    <mergeCell ref="Y783"/>
    <mergeCell ref="P797"/>
    <mergeCell ref="E798"/>
    <mergeCell ref="I796"/>
    <mergeCell ref="O805"/>
    <mergeCell ref="V806"/>
    <mergeCell ref="U806"/>
    <mergeCell ref="R806"/>
    <mergeCell ref="V804"/>
    <mergeCell ref="D805"/>
    <mergeCell ref="I805"/>
    <mergeCell ref="E804"/>
    <mergeCell ref="H802"/>
    <mergeCell ref="R802"/>
    <mergeCell ref="C803"/>
    <mergeCell ref="M804"/>
    <mergeCell ref="L804"/>
    <mergeCell ref="N804"/>
    <mergeCell ref="O804"/>
    <mergeCell ref="P804"/>
    <mergeCell ref="F802"/>
    <mergeCell ref="R800"/>
    <mergeCell ref="V800"/>
    <mergeCell ref="O800"/>
    <mergeCell ref="Y799"/>
    <mergeCell ref="L800"/>
    <mergeCell ref="U792"/>
    <mergeCell ref="Y792"/>
    <mergeCell ref="N791"/>
    <mergeCell ref="U788"/>
    <mergeCell ref="C814"/>
    <mergeCell ref="H796"/>
    <mergeCell ref="E796"/>
    <mergeCell ref="E806"/>
    <mergeCell ref="J810"/>
    <mergeCell ref="P810"/>
    <mergeCell ref="Q804"/>
    <mergeCell ref="E807"/>
    <mergeCell ref="V805"/>
    <mergeCell ref="Q806"/>
    <mergeCell ref="S806"/>
    <mergeCell ref="S805"/>
    <mergeCell ref="A773"/>
    <mergeCell ref="B773"/>
    <mergeCell ref="C773"/>
    <mergeCell ref="V770"/>
    <mergeCell ref="P773"/>
    <mergeCell ref="X772"/>
    <mergeCell ref="F773"/>
    <mergeCell ref="I773"/>
    <mergeCell ref="R772"/>
    <mergeCell ref="G773"/>
    <mergeCell ref="Z772"/>
    <mergeCell ref="E773"/>
    <mergeCell ref="M772"/>
    <mergeCell ref="V771"/>
    <mergeCell ref="N770"/>
    <mergeCell ref="W771"/>
    <mergeCell ref="O771"/>
    <mergeCell ref="A807"/>
    <mergeCell ref="B807"/>
    <mergeCell ref="C807"/>
    <mergeCell ref="H790"/>
    <mergeCell ref="B791"/>
    <mergeCell ref="N790"/>
    <mergeCell ref="T790"/>
    <mergeCell ref="U790"/>
    <mergeCell ref="P790"/>
    <mergeCell ref="Q790"/>
    <mergeCell ref="R790"/>
    <mergeCell ref="W790"/>
    <mergeCell ref="X790"/>
    <mergeCell ref="G790"/>
    <mergeCell ref="C790"/>
    <mergeCell ref="D790"/>
    <mergeCell ref="E790"/>
    <mergeCell ref="F790"/>
    <mergeCell ref="L788"/>
    <mergeCell ref="W788"/>
    <mergeCell ref="C789"/>
    <mergeCell ref="B800"/>
    <mergeCell ref="U797"/>
    <mergeCell ref="N796"/>
    <mergeCell ref="J797"/>
    <mergeCell ref="M799"/>
    <mergeCell ref="V799"/>
    <mergeCell ref="Q799"/>
    <mergeCell ref="O799"/>
    <mergeCell ref="F800"/>
    <mergeCell ref="G800"/>
    <mergeCell ref="B796"/>
    <mergeCell ref="C796"/>
    <mergeCell ref="O774"/>
    <mergeCell ref="H774"/>
    <mergeCell ref="L773"/>
    <mergeCell ref="V772"/>
    <mergeCell ref="W806"/>
    <mergeCell ref="A770"/>
    <mergeCell ref="A782"/>
    <mergeCell ref="A780"/>
    <mergeCell ref="A781"/>
    <mergeCell ref="P778"/>
    <mergeCell ref="W779"/>
    <mergeCell ref="V779"/>
    <mergeCell ref="R779"/>
    <mergeCell ref="Z775"/>
    <mergeCell ref="Y762"/>
    <mergeCell ref="A757"/>
    <mergeCell ref="B757"/>
    <mergeCell ref="C757"/>
    <mergeCell ref="I761"/>
    <mergeCell ref="J762"/>
    <mergeCell ref="A763"/>
    <mergeCell ref="B763"/>
    <mergeCell ref="X762"/>
    <mergeCell ref="K762"/>
    <mergeCell ref="V762"/>
    <mergeCell ref="U762"/>
    <mergeCell ref="R762"/>
    <mergeCell ref="P762"/>
    <mergeCell ref="T762"/>
    <mergeCell ref="M760"/>
    <mergeCell ref="H727"/>
    <mergeCell ref="D729"/>
    <mergeCell ref="E729"/>
    <mergeCell ref="F729"/>
    <mergeCell ref="G729"/>
    <mergeCell ref="Y727"/>
    <mergeCell ref="O727"/>
    <mergeCell ref="U727"/>
    <mergeCell ref="S727"/>
    <mergeCell ref="C740"/>
    <mergeCell ref="N740"/>
    <mergeCell ref="L738"/>
    <mergeCell ref="W738"/>
    <mergeCell ref="G739"/>
    <mergeCell ref="H739"/>
    <mergeCell ref="Q738"/>
    <mergeCell ref="A739"/>
    <mergeCell ref="D739"/>
    <mergeCell ref="C739"/>
    <mergeCell ref="A740"/>
    <mergeCell ref="M738"/>
    <mergeCell ref="A742"/>
    <mergeCell ref="R738"/>
    <mergeCell ref="C741"/>
    <mergeCell ref="Y741"/>
    <mergeCell ref="N741"/>
    <mergeCell ref="W741"/>
    <mergeCell ref="V741"/>
    <mergeCell ref="S741"/>
    <mergeCell ref="Q741"/>
    <mergeCell ref="U741"/>
    <mergeCell ref="K745"/>
    <mergeCell ref="G749"/>
    <mergeCell ref="L749"/>
    <mergeCell ref="J749"/>
    <mergeCell ref="Y749"/>
    <mergeCell ref="H748"/>
    <mergeCell ref="N749"/>
    <mergeCell ref="E749"/>
    <mergeCell ref="Q749"/>
    <mergeCell ref="H729"/>
    <mergeCell ref="R758"/>
    <mergeCell ref="Q758"/>
    <mergeCell ref="S758"/>
    <mergeCell ref="T758"/>
    <mergeCell ref="A759"/>
    <mergeCell ref="D745"/>
    <mergeCell ref="D743"/>
    <mergeCell ref="C720"/>
    <mergeCell ref="B719"/>
    <mergeCell ref="J726"/>
    <mergeCell ref="D726"/>
    <mergeCell ref="E726"/>
    <mergeCell ref="F726"/>
    <mergeCell ref="G726"/>
    <mergeCell ref="H726"/>
    <mergeCell ref="B726"/>
    <mergeCell ref="S725"/>
    <mergeCell ref="Q723"/>
    <mergeCell ref="V722"/>
    <mergeCell ref="I723"/>
    <mergeCell ref="R727"/>
    <mergeCell ref="Q727"/>
    <mergeCell ref="W727"/>
    <mergeCell ref="B727"/>
    <mergeCell ref="V727"/>
    <mergeCell ref="V728"/>
    <mergeCell ref="G728"/>
    <mergeCell ref="A729"/>
    <mergeCell ref="C729"/>
    <mergeCell ref="B729"/>
    <mergeCell ref="E728"/>
    <mergeCell ref="D728"/>
    <mergeCell ref="C728"/>
    <mergeCell ref="A730"/>
    <mergeCell ref="F728"/>
    <mergeCell ref="B730"/>
    <mergeCell ref="E724"/>
    <mergeCell ref="J723"/>
    <mergeCell ref="K724"/>
    <mergeCell ref="U723"/>
    <mergeCell ref="E725"/>
    <mergeCell ref="L725"/>
    <mergeCell ref="K725"/>
    <mergeCell ref="G725"/>
    <mergeCell ref="H725"/>
    <mergeCell ref="I725"/>
    <mergeCell ref="J725"/>
    <mergeCell ref="A726"/>
    <mergeCell ref="R724"/>
    <mergeCell ref="W723"/>
    <mergeCell ref="W724"/>
    <mergeCell ref="U724"/>
    <mergeCell ref="Q724"/>
    <mergeCell ref="L723"/>
    <mergeCell ref="M723"/>
    <mergeCell ref="B725"/>
    <mergeCell ref="P724"/>
    <mergeCell ref="O724"/>
    <mergeCell ref="D725"/>
    <mergeCell ref="C724"/>
    <mergeCell ref="A720"/>
    <mergeCell ref="A719"/>
    <mergeCell ref="G722"/>
    <mergeCell ref="A727"/>
    <mergeCell ref="A722"/>
    <mergeCell ref="D722"/>
    <mergeCell ref="J720"/>
    <mergeCell ref="E719"/>
    <mergeCell ref="B720"/>
    <mergeCell ref="D719"/>
    <mergeCell ref="K719"/>
    <mergeCell ref="A731"/>
    <mergeCell ref="B731"/>
    <mergeCell ref="O674"/>
    <mergeCell ref="L722"/>
    <mergeCell ref="U722"/>
    <mergeCell ref="O722"/>
    <mergeCell ref="R722"/>
    <mergeCell ref="L721"/>
    <mergeCell ref="Q722"/>
    <mergeCell ref="K722"/>
    <mergeCell ref="P720"/>
    <mergeCell ref="H721"/>
    <mergeCell ref="O721"/>
    <mergeCell ref="P721"/>
    <mergeCell ref="Q721"/>
    <mergeCell ref="R721"/>
    <mergeCell ref="C722"/>
    <mergeCell ref="K721"/>
    <mergeCell ref="Z720"/>
    <mergeCell ref="B722"/>
    <mergeCell ref="Y725"/>
    <mergeCell ref="J724"/>
    <mergeCell ref="G724"/>
    <mergeCell ref="H724"/>
    <mergeCell ref="I724"/>
    <mergeCell ref="X722"/>
    <mergeCell ref="E723"/>
    <mergeCell ref="H723"/>
    <mergeCell ref="N722"/>
    <mergeCell ref="F723"/>
    <mergeCell ref="C723"/>
    <mergeCell ref="T722"/>
    <mergeCell ref="N723"/>
    <mergeCell ref="F724"/>
    <mergeCell ref="G723"/>
    <mergeCell ref="P723"/>
    <mergeCell ref="J718"/>
    <mergeCell ref="O683"/>
    <mergeCell ref="R683"/>
    <mergeCell ref="P683"/>
    <mergeCell ref="V683"/>
    <mergeCell ref="D683"/>
    <mergeCell ref="Y690"/>
    <mergeCell ref="D691"/>
    <mergeCell ref="X690"/>
    <mergeCell ref="J690"/>
    <mergeCell ref="S704"/>
    <mergeCell ref="E705"/>
    <mergeCell ref="H696"/>
    <mergeCell ref="R696"/>
    <mergeCell ref="B697"/>
    <mergeCell ref="C697"/>
    <mergeCell ref="D697"/>
    <mergeCell ref="B698"/>
    <mergeCell ref="M695"/>
    <mergeCell ref="U695"/>
    <mergeCell ref="O694"/>
    <mergeCell ref="V695"/>
    <mergeCell ref="P695"/>
    <mergeCell ref="E696"/>
    <mergeCell ref="N697"/>
    <mergeCell ref="W696"/>
    <mergeCell ref="V696"/>
    <mergeCell ref="R700"/>
    <mergeCell ref="X688"/>
    <mergeCell ref="R688"/>
    <mergeCell ref="T688"/>
    <mergeCell ref="A696"/>
    <mergeCell ref="H685"/>
    <mergeCell ref="O690"/>
    <mergeCell ref="R690"/>
    <mergeCell ref="S690"/>
    <mergeCell ref="U690"/>
    <mergeCell ref="N687"/>
    <mergeCell ref="X687"/>
    <mergeCell ref="S687"/>
    <mergeCell ref="Q687"/>
    <mergeCell ref="G688"/>
    <mergeCell ref="J688"/>
    <mergeCell ref="T690"/>
    <mergeCell ref="R687"/>
    <mergeCell ref="H690"/>
    <mergeCell ref="I688"/>
    <mergeCell ref="P690"/>
    <mergeCell ref="K690"/>
    <mergeCell ref="L690"/>
    <mergeCell ref="J687"/>
    <mergeCell ref="M690"/>
    <mergeCell ref="G690"/>
    <mergeCell ref="A697"/>
    <mergeCell ref="A698"/>
    <mergeCell ref="X697"/>
    <mergeCell ref="X693"/>
    <mergeCell ref="X694"/>
    <mergeCell ref="O697"/>
    <mergeCell ref="I693"/>
    <mergeCell ref="F696"/>
    <mergeCell ref="G696"/>
    <mergeCell ref="R694"/>
    <mergeCell ref="S695"/>
    <mergeCell ref="C696"/>
    <mergeCell ref="D696"/>
    <mergeCell ref="B694"/>
    <mergeCell ref="D694"/>
    <mergeCell ref="E694"/>
    <mergeCell ref="F694"/>
    <mergeCell ref="Q695"/>
    <mergeCell ref="B696"/>
    <mergeCell ref="R695"/>
    <mergeCell ref="W688"/>
    <mergeCell ref="F690"/>
    <mergeCell ref="K688"/>
    <mergeCell ref="O687"/>
    <mergeCell ref="S688"/>
    <mergeCell ref="F689"/>
    <mergeCell ref="A686"/>
    <mergeCell ref="B686"/>
    <mergeCell ref="K685"/>
    <mergeCell ref="V685"/>
    <mergeCell ref="A695"/>
    <mergeCell ref="F693"/>
    <mergeCell ref="B692"/>
    <mergeCell ref="E693"/>
    <mergeCell ref="D693"/>
    <mergeCell ref="C693"/>
    <mergeCell ref="B693"/>
    <mergeCell ref="I692"/>
    <mergeCell ref="C692"/>
    <mergeCell ref="Z662"/>
    <mergeCell ref="J663"/>
    <mergeCell ref="B664"/>
    <mergeCell ref="F664"/>
    <mergeCell ref="W664"/>
    <mergeCell ref="Q665"/>
    <mergeCell ref="K665"/>
    <mergeCell ref="X665"/>
    <mergeCell ref="A666"/>
    <mergeCell ref="B666"/>
    <mergeCell ref="C666"/>
    <mergeCell ref="E667"/>
    <mergeCell ref="O666"/>
    <mergeCell ref="D668"/>
    <mergeCell ref="E668"/>
    <mergeCell ref="F668"/>
    <mergeCell ref="A660"/>
    <mergeCell ref="U660"/>
    <mergeCell ref="A661"/>
    <mergeCell ref="B661"/>
    <mergeCell ref="Z666"/>
    <mergeCell ref="F667"/>
    <mergeCell ref="V665"/>
    <mergeCell ref="W665"/>
    <mergeCell ref="H666"/>
    <mergeCell ref="K666"/>
    <mergeCell ref="S666"/>
    <mergeCell ref="U666"/>
    <mergeCell ref="V666"/>
    <mergeCell ref="W666"/>
    <mergeCell ref="X666"/>
    <mergeCell ref="A667"/>
    <mergeCell ref="B667"/>
    <mergeCell ref="G666"/>
    <mergeCell ref="T665"/>
    <mergeCell ref="Z668"/>
    <mergeCell ref="R666"/>
    <mergeCell ref="K667"/>
    <mergeCell ref="Z661"/>
    <mergeCell ref="N668"/>
    <mergeCell ref="D665"/>
    <mergeCell ref="A663"/>
    <mergeCell ref="E661"/>
    <mergeCell ref="H661"/>
    <mergeCell ref="Z660"/>
    <mergeCell ref="Y660"/>
    <mergeCell ref="V660"/>
    <mergeCell ref="X660"/>
    <mergeCell ref="Y661"/>
    <mergeCell ref="W661"/>
    <mergeCell ref="X663"/>
    <mergeCell ref="Z664"/>
    <mergeCell ref="Z665"/>
    <mergeCell ref="Z667"/>
    <mergeCell ref="Y666"/>
    <mergeCell ref="Y663"/>
    <mergeCell ref="I661"/>
    <mergeCell ref="D667"/>
    <mergeCell ref="W660"/>
    <mergeCell ref="I662"/>
    <mergeCell ref="W662"/>
    <mergeCell ref="V662"/>
    <mergeCell ref="U662"/>
    <mergeCell ref="K664"/>
    <mergeCell ref="A676"/>
    <mergeCell ref="J673"/>
    <mergeCell ref="W672"/>
    <mergeCell ref="F674"/>
    <mergeCell ref="B572"/>
    <mergeCell ref="I572"/>
    <mergeCell ref="X571"/>
    <mergeCell ref="W571"/>
    <mergeCell ref="S571"/>
    <mergeCell ref="P571"/>
    <mergeCell ref="G668"/>
    <mergeCell ref="A669"/>
    <mergeCell ref="B669"/>
    <mergeCell ref="V667"/>
    <mergeCell ref="P668"/>
    <mergeCell ref="X604"/>
    <mergeCell ref="Z601"/>
    <mergeCell ref="Y599"/>
    <mergeCell ref="P599"/>
    <mergeCell ref="R599"/>
    <mergeCell ref="T599"/>
    <mergeCell ref="U599"/>
    <mergeCell ref="V599"/>
    <mergeCell ref="W599"/>
    <mergeCell ref="C599"/>
    <mergeCell ref="B598"/>
    <mergeCell ref="E599"/>
    <mergeCell ref="M631"/>
    <mergeCell ref="Z630"/>
    <mergeCell ref="O629"/>
    <mergeCell ref="N631"/>
    <mergeCell ref="W630"/>
    <mergeCell ref="A632"/>
    <mergeCell ref="F647"/>
    <mergeCell ref="V646"/>
    <mergeCell ref="J647"/>
    <mergeCell ref="T646"/>
    <mergeCell ref="D649"/>
    <mergeCell ref="J648"/>
    <mergeCell ref="H649"/>
    <mergeCell ref="G649"/>
    <mergeCell ref="F649"/>
    <mergeCell ref="H648"/>
    <mergeCell ref="F648"/>
    <mergeCell ref="Y648"/>
    <mergeCell ref="O648"/>
    <mergeCell ref="U648"/>
    <mergeCell ref="P648"/>
    <mergeCell ref="Q648"/>
    <mergeCell ref="S648"/>
    <mergeCell ref="W648"/>
    <mergeCell ref="Z648"/>
    <mergeCell ref="X626"/>
    <mergeCell ref="B644"/>
    <mergeCell ref="B600"/>
    <mergeCell ref="A599"/>
    <mergeCell ref="G572"/>
    <mergeCell ref="L571"/>
    <mergeCell ref="V571"/>
    <mergeCell ref="Q571"/>
    <mergeCell ref="O571"/>
    <mergeCell ref="A598"/>
    <mergeCell ref="J595"/>
    <mergeCell ref="C595"/>
    <mergeCell ref="N547"/>
    <mergeCell ref="Q547"/>
    <mergeCell ref="O547"/>
    <mergeCell ref="U547"/>
    <mergeCell ref="C548"/>
    <mergeCell ref="K547"/>
    <mergeCell ref="G546"/>
    <mergeCell ref="A546"/>
    <mergeCell ref="R549"/>
    <mergeCell ref="Q549"/>
    <mergeCell ref="S549"/>
    <mergeCell ref="W549"/>
    <mergeCell ref="F599"/>
    <mergeCell ref="G599"/>
    <mergeCell ref="H599"/>
    <mergeCell ref="I599"/>
    <mergeCell ref="J562"/>
    <mergeCell ref="A551"/>
    <mergeCell ref="B551"/>
    <mergeCell ref="C551"/>
    <mergeCell ref="D550"/>
    <mergeCell ref="E550"/>
    <mergeCell ref="Q561"/>
    <mergeCell ref="F563"/>
    <mergeCell ref="D564"/>
    <mergeCell ref="E564"/>
    <mergeCell ref="F564"/>
    <mergeCell ref="M564"/>
    <mergeCell ref="A565"/>
    <mergeCell ref="B565"/>
    <mergeCell ref="C565"/>
    <mergeCell ref="N564"/>
    <mergeCell ref="J572"/>
    <mergeCell ref="H569"/>
    <mergeCell ref="K571"/>
    <mergeCell ref="F571"/>
    <mergeCell ref="D559"/>
    <mergeCell ref="O551"/>
    <mergeCell ref="A568"/>
    <mergeCell ref="B550"/>
    <mergeCell ref="D569"/>
    <mergeCell ref="N578"/>
    <mergeCell ref="M578"/>
    <mergeCell ref="S578"/>
    <mergeCell ref="T578"/>
    <mergeCell ref="W578"/>
    <mergeCell ref="B564"/>
    <mergeCell ref="N569"/>
    <mergeCell ref="U570"/>
    <mergeCell ref="B557"/>
    <mergeCell ref="U549"/>
    <mergeCell ref="P549"/>
    <mergeCell ref="C549"/>
    <mergeCell ref="C552"/>
    <mergeCell ref="M549"/>
    <mergeCell ref="T550"/>
    <mergeCell ref="U546"/>
    <mergeCell ref="B566"/>
    <mergeCell ref="F550"/>
    <mergeCell ref="N581"/>
    <mergeCell ref="N598"/>
    <mergeCell ref="O598"/>
    <mergeCell ref="A579"/>
    <mergeCell ref="M581"/>
    <mergeCell ref="Y541"/>
    <mergeCell ref="H541"/>
    <mergeCell ref="L538"/>
    <mergeCell ref="N541"/>
    <mergeCell ref="Y543"/>
    <mergeCell ref="O543"/>
    <mergeCell ref="U543"/>
    <mergeCell ref="S543"/>
    <mergeCell ref="R543"/>
    <mergeCell ref="Q543"/>
    <mergeCell ref="W543"/>
    <mergeCell ref="C550"/>
    <mergeCell ref="Z541"/>
    <mergeCell ref="Z538"/>
    <mergeCell ref="U541"/>
    <mergeCell ref="S541"/>
    <mergeCell ref="R541"/>
    <mergeCell ref="T538"/>
    <mergeCell ref="I540"/>
    <mergeCell ref="H539"/>
    <mergeCell ref="I539"/>
    <mergeCell ref="T540"/>
    <mergeCell ref="Z145"/>
    <mergeCell ref="Z144"/>
    <mergeCell ref="Z143"/>
    <mergeCell ref="Z140"/>
    <mergeCell ref="Z137"/>
    <mergeCell ref="Z139"/>
    <mergeCell ref="C143"/>
    <mergeCell ref="D143"/>
    <mergeCell ref="V141"/>
    <mergeCell ref="R142"/>
    <mergeCell ref="K144"/>
    <mergeCell ref="M141"/>
    <mergeCell ref="H144"/>
    <mergeCell ref="K143"/>
    <mergeCell ref="U143"/>
    <mergeCell ref="P143"/>
    <mergeCell ref="Q143"/>
    <mergeCell ref="W143"/>
    <mergeCell ref="X143"/>
    <mergeCell ref="G137"/>
    <mergeCell ref="D138"/>
    <mergeCell ref="E138"/>
    <mergeCell ref="F138"/>
    <mergeCell ref="D139"/>
    <mergeCell ref="G139"/>
    <mergeCell ref="F139"/>
    <mergeCell ref="Z149"/>
    <mergeCell ref="D142"/>
    <mergeCell ref="Y145"/>
    <mergeCell ref="R145"/>
    <mergeCell ref="M145"/>
    <mergeCell ref="C154"/>
    <mergeCell ref="D154"/>
    <mergeCell ref="T157"/>
    <mergeCell ref="Y154"/>
    <mergeCell ref="V154"/>
    <mergeCell ref="Q154"/>
    <mergeCell ref="X154"/>
    <mergeCell ref="J154"/>
    <mergeCell ref="O152"/>
    <mergeCell ref="U342"/>
    <mergeCell ref="X155"/>
    <mergeCell ref="Z571"/>
    <mergeCell ref="U571"/>
    <mergeCell ref="M571"/>
    <mergeCell ref="R571"/>
    <mergeCell ref="F572"/>
    <mergeCell ref="R489"/>
    <mergeCell ref="K488"/>
    <mergeCell ref="J543"/>
    <mergeCell ref="D544"/>
    <mergeCell ref="A530"/>
    <mergeCell ref="L529"/>
    <mergeCell ref="E529"/>
    <mergeCell ref="P532"/>
    <mergeCell ref="Q535"/>
    <mergeCell ref="B536"/>
    <mergeCell ref="B347"/>
    <mergeCell ref="C347"/>
    <mergeCell ref="W358"/>
    <mergeCell ref="P339"/>
    <mergeCell ref="F341"/>
    <mergeCell ref="I341"/>
    <mergeCell ref="S341"/>
    <mergeCell ref="N341"/>
    <mergeCell ref="L341"/>
    <mergeCell ref="E342"/>
    <mergeCell ref="E341"/>
    <mergeCell ref="H148"/>
    <mergeCell ref="G147"/>
    <mergeCell ref="Y158"/>
    <mergeCell ref="Q155"/>
    <mergeCell ref="W155"/>
    <mergeCell ref="L157"/>
    <mergeCell ref="U157"/>
    <mergeCell ref="J158"/>
    <mergeCell ref="D159"/>
    <mergeCell ref="U273"/>
    <mergeCell ref="J274"/>
    <mergeCell ref="L274"/>
    <mergeCell ref="T274"/>
    <mergeCell ref="P274"/>
    <mergeCell ref="O274"/>
    <mergeCell ref="C275"/>
    <mergeCell ref="Y147"/>
    <mergeCell ref="T158"/>
    <mergeCell ref="X158"/>
    <mergeCell ref="W158"/>
    <mergeCell ref="V158"/>
    <mergeCell ref="U158"/>
    <mergeCell ref="C159"/>
    <mergeCell ref="J157"/>
    <mergeCell ref="M158"/>
    <mergeCell ref="Q157"/>
    <mergeCell ref="R158"/>
    <mergeCell ref="Q158"/>
    <mergeCell ref="P158"/>
    <mergeCell ref="O158"/>
    <mergeCell ref="O157"/>
    <mergeCell ref="S154"/>
    <mergeCell ref="U153"/>
    <mergeCell ref="N154"/>
    <mergeCell ref="W154"/>
    <mergeCell ref="R154"/>
    <mergeCell ref="T154"/>
    <mergeCell ref="U154"/>
    <mergeCell ref="C158"/>
    <mergeCell ref="X157"/>
    <mergeCell ref="L156"/>
    <mergeCell ref="H155"/>
    <mergeCell ref="H156"/>
    <mergeCell ref="I156"/>
    <mergeCell ref="I157"/>
    <mergeCell ref="L159"/>
    <mergeCell ref="E145"/>
    <mergeCell ref="K128"/>
    <mergeCell ref="L128"/>
    <mergeCell ref="V120"/>
    <mergeCell ref="P120"/>
    <mergeCell ref="T119"/>
    <mergeCell ref="W120"/>
    <mergeCell ref="X120"/>
    <mergeCell ref="Y120"/>
    <mergeCell ref="Z120"/>
    <mergeCell ref="M127"/>
    <mergeCell ref="Z146"/>
    <mergeCell ref="Q147"/>
    <mergeCell ref="P146"/>
    <mergeCell ref="J139"/>
    <mergeCell ref="Q139"/>
    <mergeCell ref="N139"/>
    <mergeCell ref="E139"/>
    <mergeCell ref="Z129"/>
    <mergeCell ref="V129"/>
    <mergeCell ref="W129"/>
    <mergeCell ref="X129"/>
    <mergeCell ref="T129"/>
    <mergeCell ref="M136"/>
    <mergeCell ref="T489"/>
    <mergeCell ref="T488"/>
    <mergeCell ref="H489"/>
    <mergeCell ref="G488"/>
    <mergeCell ref="H488"/>
    <mergeCell ref="C488"/>
    <mergeCell ref="X489"/>
    <mergeCell ref="W488"/>
    <mergeCell ref="F489"/>
    <mergeCell ref="Q489"/>
    <mergeCell ref="N488"/>
    <mergeCell ref="M488"/>
    <mergeCell ref="V488"/>
    <mergeCell ref="R274"/>
    <mergeCell ref="W393"/>
    <mergeCell ref="D406"/>
    <mergeCell ref="C406"/>
    <mergeCell ref="H134"/>
    <mergeCell ref="L137"/>
    <mergeCell ref="U137"/>
    <mergeCell ref="H391"/>
    <mergeCell ref="Z393"/>
    <mergeCell ref="Y396"/>
    <mergeCell ref="K397"/>
    <mergeCell ref="Z405"/>
    <mergeCell ref="S405"/>
    <mergeCell ref="K401"/>
    <mergeCell ref="Q393"/>
    <mergeCell ref="T393"/>
    <mergeCell ref="R393"/>
    <mergeCell ref="U393"/>
    <mergeCell ref="V393"/>
    <mergeCell ref="Z118"/>
    <mergeCell ref="P119"/>
    <mergeCell ref="L119"/>
    <mergeCell ref="P117"/>
    <mergeCell ref="R118"/>
    <mergeCell ref="N106"/>
    <mergeCell ref="W107"/>
    <mergeCell ref="Y139"/>
    <mergeCell ref="U140"/>
    <mergeCell ref="Y134"/>
    <mergeCell ref="R129"/>
    <mergeCell ref="U129"/>
    <mergeCell ref="Y131"/>
    <mergeCell ref="K129"/>
    <mergeCell ref="M129"/>
    <mergeCell ref="Y129"/>
    <mergeCell ref="Z134"/>
    <mergeCell ref="R123"/>
    <mergeCell ref="Q123"/>
    <mergeCell ref="S123"/>
    <mergeCell ref="T123"/>
    <mergeCell ref="X135"/>
    <mergeCell ref="S129"/>
    <mergeCell ref="Y128"/>
    <mergeCell ref="R130"/>
    <mergeCell ref="W139"/>
    <mergeCell ref="X139"/>
    <mergeCell ref="N156"/>
    <mergeCell ref="Y157"/>
    <mergeCell ref="X156"/>
    <mergeCell ref="D158"/>
    <mergeCell ref="W157"/>
    <mergeCell ref="P156"/>
    <mergeCell ref="H157"/>
    <mergeCell ref="F157"/>
    <mergeCell ref="E158"/>
    <mergeCell ref="F158"/>
    <mergeCell ref="R133"/>
    <mergeCell ref="V133"/>
    <mergeCell ref="U125"/>
    <mergeCell ref="S125"/>
    <mergeCell ref="W125"/>
    <mergeCell ref="Z124"/>
    <mergeCell ref="L125"/>
    <mergeCell ref="M124"/>
    <mergeCell ref="X123"/>
    <mergeCell ref="Z112"/>
    <mergeCell ref="L113"/>
    <mergeCell ref="K124"/>
    <mergeCell ref="L124"/>
    <mergeCell ref="V122"/>
    <mergeCell ref="N124"/>
    <mergeCell ref="Z123"/>
    <mergeCell ref="N127"/>
    <mergeCell ref="V127"/>
    <mergeCell ref="S124"/>
    <mergeCell ref="P126"/>
    <mergeCell ref="W126"/>
    <mergeCell ref="Z122"/>
    <mergeCell ref="P127"/>
    <mergeCell ref="X127"/>
    <mergeCell ref="T127"/>
    <mergeCell ref="R127"/>
    <mergeCell ref="T120"/>
    <mergeCell ref="Q52"/>
    <mergeCell ref="W52"/>
    <mergeCell ref="R52"/>
    <mergeCell ref="K44"/>
    <mergeCell ref="T45"/>
    <mergeCell ref="N45"/>
    <mergeCell ref="R44"/>
    <mergeCell ref="U45"/>
    <mergeCell ref="V45"/>
    <mergeCell ref="W45"/>
    <mergeCell ref="X45"/>
    <mergeCell ref="Y45"/>
    <mergeCell ref="Y137"/>
    <mergeCell ref="X137"/>
    <mergeCell ref="T137"/>
    <mergeCell ref="M130"/>
    <mergeCell ref="J136"/>
    <mergeCell ref="W140"/>
    <mergeCell ref="T122"/>
    <mergeCell ref="K123"/>
    <mergeCell ref="Y122"/>
    <mergeCell ref="O80"/>
    <mergeCell ref="O95"/>
    <mergeCell ref="Y96"/>
    <mergeCell ref="X96"/>
    <mergeCell ref="W96"/>
    <mergeCell ref="S96"/>
    <mergeCell ref="V96"/>
    <mergeCell ref="V94"/>
    <mergeCell ref="N95"/>
    <mergeCell ref="X95"/>
    <mergeCell ref="U95"/>
    <mergeCell ref="T95"/>
    <mergeCell ref="P95"/>
    <mergeCell ref="Y95"/>
    <mergeCell ref="Y109"/>
    <mergeCell ref="X109"/>
    <mergeCell ref="U109"/>
    <mergeCell ref="K110"/>
    <mergeCell ref="L110"/>
    <mergeCell ref="K112"/>
    <mergeCell ref="Q129"/>
    <mergeCell ref="U126"/>
    <mergeCell ref="R126"/>
    <mergeCell ref="Y46"/>
    <mergeCell ref="K47"/>
    <mergeCell ref="V49"/>
    <mergeCell ref="T48"/>
    <mergeCell ref="Y53"/>
    <mergeCell ref="N51"/>
    <mergeCell ref="Y44"/>
    <mergeCell ref="X44"/>
    <mergeCell ref="T44"/>
    <mergeCell ref="U44"/>
    <mergeCell ref="W44"/>
    <mergeCell ref="M48"/>
    <mergeCell ref="X86"/>
    <mergeCell ref="K87"/>
    <mergeCell ref="K46"/>
    <mergeCell ref="U46"/>
    <mergeCell ref="X71"/>
    <mergeCell ref="P72"/>
    <mergeCell ref="R71"/>
    <mergeCell ref="Y71"/>
    <mergeCell ref="S87"/>
    <mergeCell ref="U88"/>
    <mergeCell ref="K89"/>
    <mergeCell ref="L89"/>
    <mergeCell ref="O90"/>
    <mergeCell ref="Q88"/>
    <mergeCell ref="V90"/>
    <mergeCell ref="K91"/>
    <mergeCell ref="U81"/>
    <mergeCell ref="Y50"/>
    <mergeCell ref="K49"/>
    <mergeCell ref="M43"/>
    <mergeCell ref="I135"/>
    <mergeCell ref="R135"/>
    <mergeCell ref="W137"/>
    <mergeCell ref="M123"/>
    <mergeCell ref="I126"/>
    <mergeCell ref="W124"/>
    <mergeCell ref="Y123"/>
    <mergeCell ref="P124"/>
    <mergeCell ref="Q125"/>
    <mergeCell ref="Y124"/>
    <mergeCell ref="Z48"/>
    <mergeCell ref="V43"/>
    <mergeCell ref="X43"/>
    <mergeCell ref="Y43"/>
    <mergeCell ref="G143"/>
    <mergeCell ref="L145"/>
    <mergeCell ref="I144"/>
    <mergeCell ref="U144"/>
    <mergeCell ref="S144"/>
    <mergeCell ref="N144"/>
    <mergeCell ref="K142"/>
    <mergeCell ref="R143"/>
    <mergeCell ref="I143"/>
    <mergeCell ref="I145"/>
    <mergeCell ref="S145"/>
    <mergeCell ref="N145"/>
    <mergeCell ref="P145"/>
    <mergeCell ref="U145"/>
    <mergeCell ref="V145"/>
    <mergeCell ref="W145"/>
    <mergeCell ref="X145"/>
    <mergeCell ref="M144"/>
    <mergeCell ref="H145"/>
    <mergeCell ref="O145"/>
    <mergeCell ref="G145"/>
    <mergeCell ref="Q145"/>
    <mergeCell ref="Q128"/>
    <mergeCell ref="T128"/>
    <mergeCell ref="S128"/>
    <mergeCell ref="U124"/>
    <mergeCell ref="N126"/>
    <mergeCell ref="M125"/>
    <mergeCell ref="P53"/>
    <mergeCell ref="V53"/>
    <mergeCell ref="W53"/>
    <mergeCell ref="R53"/>
    <mergeCell ref="S53"/>
    <mergeCell ref="U53"/>
    <mergeCell ref="K88"/>
    <mergeCell ref="L88"/>
    <mergeCell ref="W127"/>
    <mergeCell ref="Y52"/>
    <mergeCell ref="K42"/>
    <mergeCell ref="Y119"/>
    <mergeCell ref="S119"/>
    <mergeCell ref="V119"/>
    <mergeCell ref="U117"/>
    <mergeCell ref="Q118"/>
    <mergeCell ref="R117"/>
    <mergeCell ref="M119"/>
    <mergeCell ref="K119"/>
    <mergeCell ref="K114"/>
    <mergeCell ref="W113"/>
    <mergeCell ref="R108"/>
    <mergeCell ref="S44"/>
    <mergeCell ref="L44"/>
    <mergeCell ref="M44"/>
    <mergeCell ref="Q44"/>
    <mergeCell ref="P81"/>
    <mergeCell ref="S86"/>
    <mergeCell ref="N86"/>
    <mergeCell ref="Q89"/>
    <mergeCell ref="T46"/>
    <mergeCell ref="P46"/>
    <mergeCell ref="O46"/>
    <mergeCell ref="R46"/>
    <mergeCell ref="Q46"/>
    <mergeCell ref="M58"/>
    <mergeCell ref="W59"/>
    <mergeCell ref="O61"/>
    <mergeCell ref="Q45"/>
    <mergeCell ref="M46"/>
    <mergeCell ref="V48"/>
    <mergeCell ref="L49"/>
    <mergeCell ref="M49"/>
    <mergeCell ref="Y87"/>
    <mergeCell ref="O116"/>
    <mergeCell ref="K80"/>
    <mergeCell ref="L86"/>
    <mergeCell ref="W51"/>
    <mergeCell ref="V50"/>
    <mergeCell ref="T91"/>
    <mergeCell ref="O72"/>
    <mergeCell ref="U71"/>
    <mergeCell ref="L73"/>
    <mergeCell ref="M73"/>
    <mergeCell ref="N73"/>
    <mergeCell ref="K74"/>
    <mergeCell ref="V46"/>
    <mergeCell ref="K43"/>
    <mergeCell ref="N46"/>
    <mergeCell ref="V79"/>
    <mergeCell ref="Q50"/>
    <mergeCell ref="W46"/>
    <mergeCell ref="U91"/>
    <mergeCell ref="Q91"/>
    <mergeCell ref="Y90"/>
    <mergeCell ref="P91"/>
    <mergeCell ref="K48"/>
    <mergeCell ref="W88"/>
    <mergeCell ref="N90"/>
    <mergeCell ref="M89"/>
    <mergeCell ref="R87"/>
    <mergeCell ref="V86"/>
    <mergeCell ref="Q87"/>
    <mergeCell ref="W87"/>
    <mergeCell ref="Y138"/>
    <mergeCell ref="Z138"/>
    <mergeCell ref="Y135"/>
    <mergeCell ref="N135"/>
    <mergeCell ref="W135"/>
    <mergeCell ref="V135"/>
    <mergeCell ref="O123"/>
    <mergeCell ref="M126"/>
    <mergeCell ref="Q124"/>
    <mergeCell ref="T126"/>
    <mergeCell ref="O138"/>
    <mergeCell ref="K137"/>
    <mergeCell ref="H135"/>
    <mergeCell ref="V137"/>
    <mergeCell ref="P139"/>
    <mergeCell ref="T139"/>
    <mergeCell ref="U139"/>
    <mergeCell ref="V139"/>
    <mergeCell ref="Q137"/>
    <mergeCell ref="F135"/>
    <mergeCell ref="D136"/>
    <mergeCell ref="E136"/>
    <mergeCell ref="V130"/>
    <mergeCell ref="X132"/>
    <mergeCell ref="S131"/>
    <mergeCell ref="R132"/>
    <mergeCell ref="M133"/>
    <mergeCell ref="N133"/>
    <mergeCell ref="M132"/>
    <mergeCell ref="Q130"/>
    <mergeCell ref="S130"/>
    <mergeCell ref="U131"/>
    <mergeCell ref="Y127"/>
    <mergeCell ref="O128"/>
    <mergeCell ref="I124"/>
    <mergeCell ref="R134"/>
    <mergeCell ref="J135"/>
    <mergeCell ref="N134"/>
    <mergeCell ref="L135"/>
    <mergeCell ref="Z130"/>
    <mergeCell ref="Y136"/>
    <mergeCell ref="Y115"/>
    <mergeCell ref="Q116"/>
    <mergeCell ref="P115"/>
    <mergeCell ref="U119"/>
    <mergeCell ref="N119"/>
    <mergeCell ref="Q117"/>
    <mergeCell ref="S135"/>
    <mergeCell ref="U128"/>
    <mergeCell ref="O141"/>
    <mergeCell ref="G140"/>
    <mergeCell ref="O143"/>
    <mergeCell ref="G144"/>
    <mergeCell ref="J142"/>
    <mergeCell ref="F143"/>
    <mergeCell ref="F134"/>
    <mergeCell ref="G134"/>
    <mergeCell ref="H141"/>
    <mergeCell ref="J144"/>
    <mergeCell ref="H137"/>
    <mergeCell ref="U116"/>
    <mergeCell ref="P118"/>
    <mergeCell ref="U118"/>
    <mergeCell ref="V118"/>
    <mergeCell ref="W118"/>
    <mergeCell ref="X118"/>
    <mergeCell ref="Y118"/>
    <mergeCell ref="Y142"/>
    <mergeCell ref="F144"/>
    <mergeCell ref="O144"/>
    <mergeCell ref="O119"/>
    <mergeCell ref="L144"/>
    <mergeCell ref="V144"/>
    <mergeCell ref="X140"/>
    <mergeCell ref="Q141"/>
    <mergeCell ref="M140"/>
    <mergeCell ref="Q115"/>
    <mergeCell ref="V125"/>
    <mergeCell ref="Y125"/>
    <mergeCell ref="M120"/>
    <mergeCell ref="S134"/>
    <mergeCell ref="L134"/>
    <mergeCell ref="O135"/>
    <mergeCell ref="N140"/>
    <mergeCell ref="M138"/>
    <mergeCell ref="L140"/>
    <mergeCell ref="X130"/>
    <mergeCell ref="U132"/>
    <mergeCell ref="N132"/>
    <mergeCell ref="V131"/>
    <mergeCell ref="I133"/>
    <mergeCell ref="T125"/>
    <mergeCell ref="R124"/>
    <mergeCell ref="X125"/>
    <mergeCell ref="R128"/>
    <mergeCell ref="Q140"/>
    <mergeCell ref="R121"/>
    <mergeCell ref="N120"/>
    <mergeCell ref="N121"/>
    <mergeCell ref="P135"/>
    <mergeCell ref="Q138"/>
    <mergeCell ref="R138"/>
    <mergeCell ref="T121"/>
    <mergeCell ref="U121"/>
    <mergeCell ref="K122"/>
    <mergeCell ref="S52"/>
    <mergeCell ref="T52"/>
    <mergeCell ref="U52"/>
    <mergeCell ref="N53"/>
    <mergeCell ref="O50"/>
    <mergeCell ref="K130"/>
    <mergeCell ref="W128"/>
    <mergeCell ref="L130"/>
    <mergeCell ref="N146"/>
    <mergeCell ref="X146"/>
    <mergeCell ref="L147"/>
    <mergeCell ref="M147"/>
    <mergeCell ref="N147"/>
    <mergeCell ref="Q51"/>
    <mergeCell ref="Y51"/>
    <mergeCell ref="U51"/>
    <mergeCell ref="T51"/>
    <mergeCell ref="L57"/>
    <mergeCell ref="M57"/>
    <mergeCell ref="K58"/>
    <mergeCell ref="L58"/>
    <mergeCell ref="H142"/>
    <mergeCell ref="K140"/>
    <mergeCell ref="L142"/>
    <mergeCell ref="K141"/>
    <mergeCell ref="M142"/>
    <mergeCell ref="N142"/>
    <mergeCell ref="O142"/>
    <mergeCell ref="Y141"/>
    <mergeCell ref="R141"/>
    <mergeCell ref="V140"/>
    <mergeCell ref="T140"/>
    <mergeCell ref="Q142"/>
    <mergeCell ref="U142"/>
    <mergeCell ref="P141"/>
    <mergeCell ref="H143"/>
    <mergeCell ref="M143"/>
    <mergeCell ref="I66"/>
    <mergeCell ref="I72"/>
    <mergeCell ref="L112"/>
    <mergeCell ref="I142"/>
    <mergeCell ref="V143"/>
    <mergeCell ref="L143"/>
    <mergeCell ref="T143"/>
    <mergeCell ref="N143"/>
    <mergeCell ref="S143"/>
    <mergeCell ref="M92"/>
    <mergeCell ref="K113"/>
    <mergeCell ref="S113"/>
    <mergeCell ref="P113"/>
    <mergeCell ref="O113"/>
    <mergeCell ref="Q113"/>
    <mergeCell ref="R113"/>
    <mergeCell ref="R76"/>
    <mergeCell ref="Q75"/>
    <mergeCell ref="L77"/>
    <mergeCell ref="M77"/>
    <mergeCell ref="N77"/>
    <mergeCell ref="L78"/>
    <mergeCell ref="M78"/>
    <mergeCell ref="Y144"/>
    <mergeCell ref="J145"/>
    <mergeCell ref="I140"/>
    <mergeCell ref="S140"/>
    <mergeCell ref="V107"/>
    <mergeCell ref="T107"/>
    <mergeCell ref="L108"/>
    <mergeCell ref="N111"/>
    <mergeCell ref="V100"/>
    <mergeCell ref="Q101"/>
    <mergeCell ref="X101"/>
    <mergeCell ref="K101"/>
    <mergeCell ref="N112"/>
    <mergeCell ref="M110"/>
    <mergeCell ref="W112"/>
    <mergeCell ref="M113"/>
    <mergeCell ref="M112"/>
    <mergeCell ref="T109"/>
    <mergeCell ref="M128"/>
    <mergeCell ref="E144"/>
    <mergeCell ref="N138"/>
    <mergeCell ref="X134"/>
    <mergeCell ref="T132"/>
    <mergeCell ref="V132"/>
    <mergeCell ref="W132"/>
    <mergeCell ref="I85"/>
    <mergeCell ref="I99"/>
    <mergeCell ref="I100"/>
    <mergeCell ref="I101"/>
    <mergeCell ref="X84"/>
    <mergeCell ref="T83"/>
    <mergeCell ref="Q84"/>
    <mergeCell ref="S84"/>
    <mergeCell ref="T84"/>
    <mergeCell ref="D147"/>
    <mergeCell ref="E147"/>
    <mergeCell ref="F147"/>
    <mergeCell ref="D144"/>
    <mergeCell ref="E140"/>
    <mergeCell ref="J140"/>
    <mergeCell ref="H140"/>
    <mergeCell ref="W122"/>
    <mergeCell ref="O122"/>
    <mergeCell ref="U122"/>
    <mergeCell ref="D134"/>
    <mergeCell ref="E137"/>
    <mergeCell ref="K135"/>
    <mergeCell ref="L136"/>
    <mergeCell ref="U138"/>
    <mergeCell ref="R137"/>
    <mergeCell ref="P138"/>
    <mergeCell ref="V138"/>
    <mergeCell ref="W138"/>
    <mergeCell ref="X138"/>
    <mergeCell ref="V121"/>
    <mergeCell ref="M121"/>
    <mergeCell ref="S120"/>
    <mergeCell ref="K121"/>
    <mergeCell ref="P140"/>
    <mergeCell ref="P89"/>
    <mergeCell ref="S89"/>
    <mergeCell ref="R88"/>
    <mergeCell ref="L90"/>
    <mergeCell ref="M90"/>
    <mergeCell ref="T88"/>
    <mergeCell ref="T89"/>
    <mergeCell ref="V87"/>
    <mergeCell ref="M88"/>
    <mergeCell ref="I47"/>
    <mergeCell ref="I50"/>
    <mergeCell ref="I58"/>
    <mergeCell ref="I64"/>
    <mergeCell ref="I74"/>
    <mergeCell ref="X148"/>
    <mergeCell ref="T147"/>
    <mergeCell ref="S148"/>
    <mergeCell ref="V148"/>
    <mergeCell ref="T148"/>
    <mergeCell ref="U147"/>
    <mergeCell ref="D149"/>
    <mergeCell ref="R146"/>
    <mergeCell ref="C149"/>
    <mergeCell ref="C150"/>
    <mergeCell ref="K146"/>
    <mergeCell ref="E150"/>
    <mergeCell ref="I146"/>
    <mergeCell ref="C148"/>
    <mergeCell ref="D148"/>
    <mergeCell ref="N49"/>
    <mergeCell ref="R47"/>
    <mergeCell ref="R49"/>
    <mergeCell ref="Q49"/>
    <mergeCell ref="P47"/>
    <mergeCell ref="P48"/>
    <mergeCell ref="S49"/>
    <mergeCell ref="K50"/>
    <mergeCell ref="L92"/>
    <mergeCell ref="W91"/>
    <mergeCell ref="R91"/>
    <mergeCell ref="S91"/>
    <mergeCell ref="H111"/>
    <mergeCell ref="R75"/>
    <mergeCell ref="X76"/>
    <mergeCell ref="T76"/>
    <mergeCell ref="S76"/>
    <mergeCell ref="N76"/>
    <mergeCell ref="T67"/>
    <mergeCell ref="Q70"/>
    <mergeCell ref="P74"/>
    <mergeCell ref="V75"/>
    <mergeCell ref="O76"/>
    <mergeCell ref="O77"/>
    <mergeCell ref="P77"/>
    <mergeCell ref="O78"/>
    <mergeCell ref="X147"/>
    <mergeCell ref="G148"/>
    <mergeCell ref="M148"/>
    <mergeCell ref="M146"/>
    <mergeCell ref="V146"/>
    <mergeCell ref="E146"/>
    <mergeCell ref="P148"/>
    <mergeCell ref="J147"/>
    <mergeCell ref="T146"/>
    <mergeCell ref="S121"/>
    <mergeCell ref="N122"/>
    <mergeCell ref="P130"/>
    <mergeCell ref="N128"/>
    <mergeCell ref="U127"/>
    <mergeCell ref="V128"/>
    <mergeCell ref="N129"/>
    <mergeCell ref="O129"/>
    <mergeCell ref="C138"/>
    <mergeCell ref="Q35"/>
    <mergeCell ref="X33"/>
    <mergeCell ref="O33"/>
    <mergeCell ref="K41"/>
    <mergeCell ref="S41"/>
    <mergeCell ref="X39"/>
    <mergeCell ref="P40"/>
    <mergeCell ref="O39"/>
    <mergeCell ref="R40"/>
    <mergeCell ref="W38"/>
    <mergeCell ref="T42"/>
    <mergeCell ref="M42"/>
    <mergeCell ref="Q41"/>
    <mergeCell ref="W40"/>
    <mergeCell ref="Z43"/>
    <mergeCell ref="I44"/>
    <mergeCell ref="N41"/>
    <mergeCell ref="Y41"/>
    <mergeCell ref="T43"/>
    <mergeCell ref="I62"/>
    <mergeCell ref="M41"/>
    <mergeCell ref="V42"/>
    <mergeCell ref="N42"/>
    <mergeCell ref="X42"/>
    <mergeCell ref="R42"/>
    <mergeCell ref="U42"/>
    <mergeCell ref="Q42"/>
    <mergeCell ref="Z46"/>
    <mergeCell ref="M47"/>
    <mergeCell ref="L46"/>
    <mergeCell ref="K45"/>
    <mergeCell ref="X46"/>
    <mergeCell ref="O47"/>
    <mergeCell ref="Q48"/>
    <mergeCell ref="Y47"/>
    <mergeCell ref="S48"/>
    <mergeCell ref="W47"/>
    <mergeCell ref="S47"/>
    <mergeCell ref="U47"/>
    <mergeCell ref="R48"/>
    <mergeCell ref="Y48"/>
    <mergeCell ref="Q47"/>
    <mergeCell ref="Z51"/>
    <mergeCell ref="R51"/>
    <mergeCell ref="V51"/>
    <mergeCell ref="S51"/>
    <mergeCell ref="X51"/>
    <mergeCell ref="L51"/>
    <mergeCell ref="U50"/>
    <mergeCell ref="L47"/>
    <mergeCell ref="V47"/>
    <mergeCell ref="Z45"/>
    <mergeCell ref="V44"/>
    <mergeCell ref="L45"/>
    <mergeCell ref="O44"/>
    <mergeCell ref="X61"/>
    <mergeCell ref="Y61"/>
    <mergeCell ref="Z61"/>
    <mergeCell ref="Z52"/>
    <mergeCell ref="Z49"/>
    <mergeCell ref="Z47"/>
    <mergeCell ref="Z44"/>
    <mergeCell ref="K57"/>
    <mergeCell ref="I46"/>
    <mergeCell ref="Y39"/>
    <mergeCell ref="O40"/>
    <mergeCell ref="V39"/>
    <mergeCell ref="T38"/>
    <mergeCell ref="K39"/>
    <mergeCell ref="K40"/>
    <mergeCell ref="V33"/>
    <mergeCell ref="M33"/>
    <mergeCell ref="N33"/>
    <mergeCell ref="W33"/>
    <mergeCell ref="P33"/>
    <mergeCell ref="R33"/>
    <mergeCell ref="L41"/>
    <mergeCell ref="W39"/>
    <mergeCell ref="N40"/>
    <mergeCell ref="V40"/>
    <mergeCell ref="U40"/>
    <mergeCell ref="T40"/>
    <mergeCell ref="Q40"/>
    <mergeCell ref="S40"/>
    <mergeCell ref="Z38"/>
    <mergeCell ref="Z39"/>
    <mergeCell ref="Z40"/>
    <mergeCell ref="R34"/>
    <mergeCell ref="X35"/>
    <mergeCell ref="T35"/>
    <mergeCell ref="S35"/>
    <mergeCell ref="O36"/>
    <mergeCell ref="P36"/>
    <mergeCell ref="Q36"/>
    <mergeCell ref="N37"/>
    <mergeCell ref="Z37"/>
    <mergeCell ref="L38"/>
    <mergeCell ref="M38"/>
    <mergeCell ref="T37"/>
    <mergeCell ref="O37"/>
    <mergeCell ref="V37"/>
    <mergeCell ref="P34"/>
    <mergeCell ref="K33"/>
    <mergeCell ref="R36"/>
    <mergeCell ref="Y35"/>
    <mergeCell ref="T36"/>
    <mergeCell ref="S34"/>
    <mergeCell ref="W35"/>
    <mergeCell ref="U33"/>
    <mergeCell ref="P37"/>
    <mergeCell ref="O35"/>
    <mergeCell ref="K38"/>
    <mergeCell ref="W37"/>
    <mergeCell ref="Z35"/>
    <mergeCell ref="L37"/>
    <mergeCell ref="V36"/>
    <mergeCell ref="W36"/>
    <mergeCell ref="X36"/>
    <mergeCell ref="U36"/>
    <mergeCell ref="M37"/>
    <mergeCell ref="K37"/>
    <mergeCell ref="U35"/>
    <mergeCell ref="Z36"/>
    <mergeCell ref="Z33"/>
    <mergeCell ref="N34"/>
    <mergeCell ref="S36"/>
    <mergeCell ref="Y36"/>
    <mergeCell ref="Z34"/>
    <mergeCell ref="S5"/>
    <mergeCell ref="N6"/>
    <mergeCell ref="M17"/>
    <mergeCell ref="V16"/>
    <mergeCell ref="L18"/>
    <mergeCell ref="M18"/>
    <mergeCell ref="M9"/>
    <mergeCell ref="O9"/>
    <mergeCell ref="U11"/>
    <mergeCell ref="Q32"/>
    <mergeCell ref="P32"/>
    <mergeCell ref="N31"/>
    <mergeCell ref="N32"/>
    <mergeCell ref="O32"/>
    <mergeCell ref="R32"/>
    <mergeCell ref="P30"/>
    <mergeCell ref="W31"/>
    <mergeCell ref="V31"/>
    <mergeCell ref="U31"/>
    <mergeCell ref="R31"/>
    <mergeCell ref="S31"/>
    <mergeCell ref="Y31"/>
    <mergeCell ref="Z31"/>
    <mergeCell ref="Z26"/>
    <mergeCell ref="Z27"/>
    <mergeCell ref="U39"/>
    <mergeCell ref="X40"/>
    <mergeCell ref="Y40"/>
    <mergeCell ref="Z25"/>
    <mergeCell ref="O23"/>
    <mergeCell ref="U23"/>
    <mergeCell ref="M23"/>
    <mergeCell ref="L24"/>
    <mergeCell ref="M39"/>
    <mergeCell ref="V38"/>
    <mergeCell ref="L40"/>
    <mergeCell ref="M40"/>
    <mergeCell ref="U38"/>
    <mergeCell ref="Q39"/>
    <mergeCell ref="T39"/>
    <mergeCell ref="R38"/>
    <mergeCell ref="R39"/>
    <mergeCell ref="S39"/>
    <mergeCell ref="V34"/>
    <mergeCell ref="R37"/>
    <mergeCell ref="Y37"/>
    <mergeCell ref="X37"/>
    <mergeCell ref="N38"/>
    <mergeCell ref="P39"/>
    <mergeCell ref="X38"/>
    <mergeCell ref="S37"/>
    <mergeCell ref="O38"/>
    <mergeCell ref="L39"/>
    <mergeCell ref="Y38"/>
    <mergeCell ref="N39"/>
    <mergeCell ref="R22"/>
    <mergeCell ref="X22"/>
    <mergeCell ref="X23"/>
    <mergeCell ref="N27"/>
    <mergeCell ref="R26"/>
    <mergeCell ref="R27"/>
    <mergeCell ref="Q27"/>
    <mergeCell ref="P27"/>
    <mergeCell ref="P26"/>
    <mergeCell ref="O6"/>
    <mergeCell ref="O7"/>
    <mergeCell ref="P17"/>
    <mergeCell ref="U18"/>
    <mergeCell ref="N18"/>
    <mergeCell ref="M19"/>
    <mergeCell ref="M21"/>
    <mergeCell ref="W21"/>
    <mergeCell ref="Y21"/>
    <mergeCell ref="Z21"/>
    <mergeCell ref="K22"/>
    <mergeCell ref="L20"/>
    <mergeCell ref="P22"/>
    <mergeCell ref="K23"/>
    <mergeCell ref="K25"/>
    <mergeCell ref="T25"/>
    <mergeCell ref="N22"/>
    <mergeCell ref="W23"/>
    <mergeCell ref="O24"/>
    <mergeCell ref="S23"/>
    <mergeCell ref="X24"/>
    <mergeCell ref="W25"/>
    <mergeCell ref="O25"/>
    <mergeCell ref="S25"/>
    <mergeCell ref="P25"/>
    <mergeCell ref="U25"/>
    <mergeCell ref="T24"/>
    <mergeCell ref="M25"/>
    <mergeCell ref="K14"/>
    <mergeCell ref="K17"/>
    <mergeCell ref="Y16"/>
    <mergeCell ref="U15"/>
    <mergeCell ref="Q16"/>
    <mergeCell ref="X16"/>
    <mergeCell ref="N19"/>
    <mergeCell ref="Y18"/>
    <mergeCell ref="P19"/>
    <mergeCell ref="S18"/>
    <mergeCell ref="Q18"/>
    <mergeCell ref="N25"/>
    <mergeCell ref="V25"/>
    <mergeCell ref="R25"/>
    <mergeCell ref="Q25"/>
    <mergeCell ref="X25"/>
    <mergeCell ref="Y25"/>
    <mergeCell ref="V23"/>
    <mergeCell ref="P24"/>
    <mergeCell ref="L22"/>
    <mergeCell ref="U22"/>
    <mergeCell ref="W22"/>
    <mergeCell ref="V22"/>
    <mergeCell ref="T22"/>
    <mergeCell ref="S22"/>
    <mergeCell ref="Y22"/>
    <mergeCell ref="Z16"/>
    <mergeCell ref="N17"/>
    <mergeCell ref="X21"/>
    <mergeCell ref="P21"/>
    <mergeCell ref="T21"/>
    <mergeCell ref="S21"/>
    <mergeCell ref="R21"/>
    <mergeCell ref="Q22"/>
    <mergeCell ref="Q21"/>
    <mergeCell ref="V21"/>
    <mergeCell ref="M3"/>
    <mergeCell ref="S4"/>
    <mergeCell ref="K4"/>
    <mergeCell ref="N2"/>
    <mergeCell ref="W3"/>
    <mergeCell ref="Z5"/>
    <mergeCell ref="Q6"/>
    <mergeCell ref="Q7"/>
    <mergeCell ref="P6"/>
    <mergeCell ref="V5"/>
    <mergeCell ref="T6"/>
    <mergeCell ref="T5"/>
    <mergeCell ref="K7"/>
    <mergeCell ref="L7"/>
    <mergeCell ref="M7"/>
    <mergeCell ref="N7"/>
    <mergeCell ref="Y6"/>
    <mergeCell ref="R6"/>
    <mergeCell ref="X5"/>
    <mergeCell ref="P7"/>
    <mergeCell ref="Z8"/>
    <mergeCell ref="R8"/>
    <mergeCell ref="Z9"/>
    <mergeCell ref="U8"/>
    <mergeCell ref="T8"/>
    <mergeCell ref="W8"/>
    <mergeCell ref="K9"/>
    <mergeCell ref="X8"/>
    <mergeCell ref="S7"/>
    <mergeCell ref="W10"/>
    <mergeCell ref="P9"/>
    <mergeCell ref="U10"/>
    <mergeCell ref="P10"/>
    <mergeCell ref="T10"/>
    <mergeCell ref="X10"/>
    <mergeCell ref="Y10"/>
    <mergeCell ref="Z10"/>
    <mergeCell ref="O8"/>
    <mergeCell ref="S10"/>
    <mergeCell ref="M10"/>
    <mergeCell ref="W6"/>
    <mergeCell ref="N9"/>
    <mergeCell ref="Z3"/>
    <mergeCell ref="P3"/>
    <mergeCell ref="T3"/>
    <mergeCell ref="R3"/>
    <mergeCell ref="U3"/>
    <mergeCell ref="V3"/>
    <mergeCell ref="X3"/>
    <mergeCell ref="K3"/>
    <mergeCell ref="Q2"/>
    <mergeCell ref="Q8"/>
    <mergeCell ref="V8"/>
    <mergeCell ref="R5"/>
    <mergeCell ref="Q9"/>
    <mergeCell ref="R9"/>
    <mergeCell ref="L10"/>
    <mergeCell ref="V7"/>
    <mergeCell ref="N10"/>
    <mergeCell ref="T7"/>
    <mergeCell ref="S6"/>
    <mergeCell ref="Z2"/>
    <mergeCell ref="V4"/>
    <mergeCell ref="P5"/>
    <mergeCell ref="V27"/>
    <mergeCell ref="R28"/>
    <mergeCell ref="T31"/>
    <mergeCell ref="Y32"/>
    <mergeCell ref="S32"/>
    <mergeCell ref="K32"/>
    <mergeCell ref="Q31"/>
    <mergeCell ref="U7"/>
    <mergeCell ref="Z18"/>
    <mergeCell ref="Q19"/>
    <mergeCell ref="U21"/>
    <mergeCell ref="N21"/>
    <mergeCell ref="S8"/>
    <mergeCell ref="Z11"/>
    <mergeCell ref="Z12"/>
    <mergeCell ref="L13"/>
    <mergeCell ref="W11"/>
    <mergeCell ref="S11"/>
    <mergeCell ref="T11"/>
    <mergeCell ref="V11"/>
    <mergeCell ref="Y7"/>
    <mergeCell ref="Z7"/>
    <mergeCell ref="P8"/>
    <mergeCell ref="K26"/>
    <mergeCell ref="L30"/>
    <mergeCell ref="W30"/>
    <mergeCell ref="K31"/>
    <mergeCell ref="L31"/>
    <mergeCell ref="M31"/>
    <mergeCell ref="R30"/>
    <mergeCell ref="Y30"/>
    <mergeCell ref="O31"/>
    <mergeCell ref="L32"/>
    <mergeCell ref="Y11"/>
    <mergeCell ref="Z32"/>
    <mergeCell ref="K18"/>
    <mergeCell ref="W17"/>
    <mergeCell ref="R16"/>
    <mergeCell ref="Q17"/>
    <mergeCell ref="R17"/>
    <mergeCell ref="T16"/>
    <mergeCell ref="X17"/>
    <mergeCell ref="Y17"/>
    <mergeCell ref="Z17"/>
    <mergeCell ref="X27"/>
    <mergeCell ref="O27"/>
    <mergeCell ref="W26"/>
    <mergeCell ref="U27"/>
    <mergeCell ref="S27"/>
    <mergeCell ref="Y27"/>
    <mergeCell ref="Z30"/>
    <mergeCell ref="Q30"/>
    <mergeCell ref="T30"/>
    <mergeCell ref="S30"/>
    <mergeCell ref="X30"/>
    <mergeCell ref="T27"/>
    <mergeCell ref="N28"/>
    <mergeCell ref="U28"/>
    <mergeCell ref="Q28"/>
    <mergeCell ref="P28"/>
    <mergeCell ref="S28"/>
    <mergeCell ref="T28"/>
    <mergeCell ref="T29"/>
    <mergeCell ref="O30"/>
    <mergeCell ref="T13"/>
    <mergeCell ref="O12"/>
    <mergeCell ref="P12"/>
    <mergeCell ref="S9"/>
    <mergeCell ref="R12"/>
    <mergeCell ref="S12"/>
    <mergeCell ref="T12"/>
    <mergeCell ref="U12"/>
    <mergeCell ref="S43"/>
    <mergeCell ref="Q43"/>
    <mergeCell ref="P44"/>
    <mergeCell ref="T14"/>
    <mergeCell ref="P15"/>
    <mergeCell ref="L9"/>
    <mergeCell ref="Q10"/>
    <mergeCell ref="X11"/>
    <mergeCell ref="W15"/>
    <mergeCell ref="P16"/>
    <mergeCell ref="V17"/>
    <mergeCell ref="U17"/>
    <mergeCell ref="S17"/>
    <mergeCell ref="R11"/>
    <mergeCell ref="K36"/>
    <mergeCell ref="K34"/>
    <mergeCell ref="R10"/>
    <mergeCell ref="M11"/>
    <mergeCell ref="Z41"/>
    <mergeCell ref="P41"/>
    <mergeCell ref="X41"/>
    <mergeCell ref="W41"/>
    <mergeCell ref="T41"/>
    <mergeCell ref="R41"/>
    <mergeCell ref="V41"/>
    <mergeCell ref="X31"/>
    <mergeCell ref="P31"/>
    <mergeCell ref="V30"/>
    <mergeCell ref="N35"/>
    <mergeCell ref="Y34"/>
    <mergeCell ref="Q37"/>
    <mergeCell ref="U41"/>
    <mergeCell ref="O42"/>
    <mergeCell ref="S42"/>
    <mergeCell ref="P42"/>
    <mergeCell ref="W42"/>
    <mergeCell ref="Z42"/>
    <mergeCell ref="Y19"/>
    <mergeCell ref="W12"/>
    <mergeCell ref="X12"/>
    <mergeCell ref="N13"/>
    <mergeCell ref="X32"/>
    <mergeCell ref="W32"/>
    <mergeCell ref="V32"/>
    <mergeCell ref="U32"/>
    <mergeCell ref="U34"/>
    <mergeCell ref="W34"/>
    <mergeCell ref="R35"/>
    <mergeCell ref="Q34"/>
    <mergeCell ref="M36"/>
    <mergeCell ref="N36"/>
    <mergeCell ref="P35"/>
    <mergeCell ref="T34"/>
    <mergeCell ref="V35"/>
    <mergeCell ref="N24"/>
    <mergeCell ref="N26"/>
    <mergeCell ref="M12"/>
    <mergeCell ref="V15"/>
    <mergeCell ref="O16"/>
    <mergeCell ref="N15"/>
    <mergeCell ref="S15"/>
    <mergeCell ref="Q15"/>
    <mergeCell ref="L15"/>
    <mergeCell ref="P14"/>
    <mergeCell ref="T15"/>
    <mergeCell ref="L8"/>
    <mergeCell ref="L19"/>
    <mergeCell ref="V10"/>
    <mergeCell ref="L11"/>
    <mergeCell ref="L42"/>
    <mergeCell ref="O41"/>
    <mergeCell ref="L43"/>
    <mergeCell ref="P43"/>
    <mergeCell ref="S46"/>
    <mergeCell ref="N44"/>
    <mergeCell ref="S45"/>
    <mergeCell ref="R45"/>
    <mergeCell ref="O45"/>
    <mergeCell ref="P45"/>
    <mergeCell ref="M45"/>
    <mergeCell ref="M32"/>
    <mergeCell ref="T32"/>
    <mergeCell ref="R149"/>
    <mergeCell ref="O150"/>
    <mergeCell ref="U150"/>
    <mergeCell ref="N150"/>
    <mergeCell ref="L150"/>
    <mergeCell ref="H146"/>
    <mergeCell ref="J148"/>
    <mergeCell ref="K147"/>
    <mergeCell ref="K145"/>
    <mergeCell ref="N141"/>
    <mergeCell ref="P142"/>
    <mergeCell ref="V142"/>
    <mergeCell ref="S142"/>
    <mergeCell ref="T142"/>
    <mergeCell ref="Q148"/>
    <mergeCell ref="S146"/>
    <mergeCell ref="U148"/>
    <mergeCell ref="T149"/>
    <mergeCell ref="U149"/>
    <mergeCell ref="V149"/>
    <mergeCell ref="K150"/>
    <mergeCell ref="L91"/>
    <mergeCell ref="M91"/>
    <mergeCell ref="Q90"/>
    <mergeCell ref="S88"/>
    <mergeCell ref="O87"/>
    <mergeCell ref="R150"/>
    <mergeCell ref="I147"/>
    <mergeCell ref="M149"/>
    <mergeCell ref="L36"/>
    <mergeCell ref="U37"/>
    <mergeCell ref="P38"/>
    <mergeCell ref="S38"/>
    <mergeCell ref="Q38"/>
    <mergeCell ref="M35"/>
    <mergeCell ref="T18"/>
    <mergeCell ref="R18"/>
    <mergeCell ref="M8"/>
    <mergeCell ref="O148"/>
    <mergeCell ref="H150"/>
    <mergeCell ref="W148"/>
    <mergeCell ref="S147"/>
    <mergeCell ref="W150"/>
    <mergeCell ref="C151"/>
    <mergeCell ref="D150"/>
    <mergeCell ref="C147"/>
    <mergeCell ref="F145"/>
    <mergeCell ref="C145"/>
    <mergeCell ref="D145"/>
    <mergeCell ref="O146"/>
    <mergeCell ref="R151"/>
    <mergeCell ref="K151"/>
    <mergeCell ref="L146"/>
    <mergeCell ref="W146"/>
    <mergeCell ref="R147"/>
    <mergeCell ref="Q146"/>
    <mergeCell ref="V147"/>
    <mergeCell ref="J146"/>
    <mergeCell ref="E149"/>
    <mergeCell ref="W147"/>
    <mergeCell ref="P129"/>
    <mergeCell ref="N130"/>
    <mergeCell ref="O130"/>
    <mergeCell ref="J151"/>
    <mergeCell ref="X115"/>
    <mergeCell ref="W115"/>
    <mergeCell ref="U115"/>
    <mergeCell ref="L116"/>
    <mergeCell ref="M116"/>
    <mergeCell ref="N116"/>
    <mergeCell ref="F141"/>
    <mergeCell ref="G141"/>
    <mergeCell ref="F142"/>
    <mergeCell ref="E141"/>
    <mergeCell ref="F140"/>
    <mergeCell ref="W116"/>
    <mergeCell ref="O117"/>
    <mergeCell ref="D151"/>
    <mergeCell ref="P150"/>
    <mergeCell ref="V150"/>
    <mergeCell ref="S150"/>
    <mergeCell ref="Q150"/>
    <mergeCell ref="T150"/>
    <mergeCell ref="G150"/>
    <mergeCell ref="E151"/>
    <mergeCell ref="E142"/>
    <mergeCell ref="E134"/>
    <mergeCell ref="O131"/>
    <mergeCell ref="X131"/>
    <mergeCell ref="H120"/>
    <mergeCell ref="I120"/>
    <mergeCell ref="F146"/>
    <mergeCell ref="P144"/>
    <mergeCell ref="X144"/>
    <mergeCell ref="W144"/>
    <mergeCell ref="R144"/>
    <mergeCell ref="T144"/>
    <mergeCell ref="Q144"/>
    <mergeCell ref="C144"/>
    <mergeCell ref="J141"/>
    <mergeCell ref="X142"/>
    <mergeCell ref="W142"/>
    <mergeCell ref="Z165"/>
    <mergeCell ref="Z155"/>
    <mergeCell ref="J155"/>
    <mergeCell ref="G157"/>
    <mergeCell ref="D160"/>
    <mergeCell ref="E160"/>
    <mergeCell ref="F160"/>
    <mergeCell ref="Y155"/>
    <mergeCell ref="Y152"/>
    <mergeCell ref="P152"/>
    <mergeCell ref="U152"/>
    <mergeCell ref="R152"/>
    <mergeCell ref="W152"/>
    <mergeCell ref="N152"/>
    <mergeCell ref="P154"/>
    <mergeCell ref="O154"/>
    <mergeCell ref="W153"/>
    <mergeCell ref="Y153"/>
    <mergeCell ref="X152"/>
    <mergeCell ref="Q152"/>
    <mergeCell ref="S152"/>
    <mergeCell ref="E153"/>
    <mergeCell ref="F153"/>
    <mergeCell ref="G153"/>
    <mergeCell ref="I151"/>
    <mergeCell ref="Y150"/>
    <mergeCell ref="I149"/>
    <mergeCell ref="F151"/>
    <mergeCell ref="G151"/>
    <mergeCell ref="H151"/>
    <mergeCell ref="Z151"/>
    <mergeCell ref="D152"/>
    <mergeCell ref="W151"/>
    <mergeCell ref="X151"/>
    <mergeCell ref="E152"/>
    <mergeCell ref="F152"/>
    <mergeCell ref="P151"/>
    <mergeCell ref="S151"/>
    <mergeCell ref="T151"/>
    <mergeCell ref="V151"/>
    <mergeCell ref="X149"/>
    <mergeCell ref="K149"/>
    <mergeCell ref="Z150"/>
    <mergeCell ref="L151"/>
    <mergeCell ref="I153"/>
    <mergeCell ref="O153"/>
    <mergeCell ref="N151"/>
    <mergeCell ref="N153"/>
    <mergeCell ref="M153"/>
    <mergeCell ref="L153"/>
    <mergeCell ref="K153"/>
    <mergeCell ref="M151"/>
    <mergeCell ref="U151"/>
    <mergeCell ref="I152"/>
    <mergeCell ref="J153"/>
    <mergeCell ref="P159"/>
    <mergeCell ref="H158"/>
    <mergeCell ref="O159"/>
    <mergeCell ref="V160"/>
    <mergeCell ref="R160"/>
    <mergeCell ref="X160"/>
    <mergeCell ref="I160"/>
    <mergeCell ref="U160"/>
    <mergeCell ref="P161"/>
    <mergeCell ref="Z148"/>
    <mergeCell ref="H147"/>
    <mergeCell ref="N148"/>
    <mergeCell ref="L148"/>
    <mergeCell ref="I148"/>
    <mergeCell ref="F149"/>
    <mergeCell ref="G149"/>
    <mergeCell ref="H149"/>
    <mergeCell ref="E148"/>
    <mergeCell ref="F148"/>
    <mergeCell ref="O147"/>
    <mergeCell ref="Y146"/>
    <mergeCell ref="U146"/>
    <mergeCell ref="R148"/>
    <mergeCell ref="P147"/>
    <mergeCell ref="M150"/>
    <mergeCell ref="M166"/>
    <mergeCell ref="N166"/>
    <mergeCell ref="O166"/>
    <mergeCell ref="P166"/>
    <mergeCell ref="Z147"/>
    <mergeCell ref="T152"/>
    <mergeCell ref="P153"/>
    <mergeCell ref="V153"/>
    <mergeCell ref="F154"/>
    <mergeCell ref="Y151"/>
    <mergeCell ref="Z154"/>
    <mergeCell ref="Y165"/>
    <mergeCell ref="E154"/>
    <mergeCell ref="K154"/>
    <mergeCell ref="D156"/>
    <mergeCell ref="I155"/>
    <mergeCell ref="U155"/>
    <mergeCell ref="E157"/>
    <mergeCell ref="G155"/>
    <mergeCell ref="L155"/>
    <mergeCell ref="T155"/>
    <mergeCell ref="P155"/>
    <mergeCell ref="N155"/>
    <mergeCell ref="K155"/>
    <mergeCell ref="D155"/>
    <mergeCell ref="E155"/>
    <mergeCell ref="F155"/>
    <mergeCell ref="D157"/>
    <mergeCell ref="Z153"/>
    <mergeCell ref="H154"/>
    <mergeCell ref="M154"/>
    <mergeCell ref="Z152"/>
    <mergeCell ref="Y149"/>
    <mergeCell ref="Q149"/>
    <mergeCell ref="S149"/>
    <mergeCell ref="N149"/>
    <mergeCell ref="L154"/>
    <mergeCell ref="G154"/>
    <mergeCell ref="S153"/>
    <mergeCell ref="Z166"/>
    <mergeCell ref="W163"/>
    <mergeCell ref="H164"/>
    <mergeCell ref="M164"/>
    <mergeCell ref="D166"/>
    <mergeCell ref="N161"/>
    <mergeCell ref="R162"/>
    <mergeCell ref="J162"/>
    <mergeCell ref="K162"/>
    <mergeCell ref="G160"/>
    <mergeCell ref="F162"/>
    <mergeCell ref="C162"/>
    <mergeCell ref="D162"/>
    <mergeCell ref="E162"/>
    <mergeCell ref="Q161"/>
    <mergeCell ref="X161"/>
    <mergeCell ref="I162"/>
    <mergeCell ref="K161"/>
    <mergeCell ref="R161"/>
    <mergeCell ref="M160"/>
    <mergeCell ref="L160"/>
    <mergeCell ref="W160"/>
    <mergeCell ref="P160"/>
    <mergeCell ref="T160"/>
    <mergeCell ref="F161"/>
    <mergeCell ref="G161"/>
    <mergeCell ref="H161"/>
    <mergeCell ref="M165"/>
    <mergeCell ref="F166"/>
    <mergeCell ref="L166"/>
    <mergeCell ref="G146"/>
    <mergeCell ref="K148"/>
    <mergeCell ref="P149"/>
    <mergeCell ref="O149"/>
    <mergeCell ref="L149"/>
    <mergeCell ref="J149"/>
    <mergeCell ref="F150"/>
    <mergeCell ref="M152"/>
    <mergeCell ref="V152"/>
    <mergeCell ref="C153"/>
    <mergeCell ref="D153"/>
    <mergeCell ref="I154"/>
    <mergeCell ref="G166"/>
    <mergeCell ref="J152"/>
    <mergeCell ref="K152"/>
    <mergeCell ref="L152"/>
    <mergeCell ref="T153"/>
    <mergeCell ref="R153"/>
    <mergeCell ref="Q153"/>
    <mergeCell ref="M155"/>
    <mergeCell ref="H153"/>
    <mergeCell ref="F156"/>
    <mergeCell ref="G156"/>
    <mergeCell ref="T159"/>
    <mergeCell ref="Q159"/>
    <mergeCell ref="V159"/>
    <mergeCell ref="S155"/>
    <mergeCell ref="E156"/>
    <mergeCell ref="R155"/>
    <mergeCell ref="O155"/>
    <mergeCell ref="X159"/>
    <mergeCell ref="J156"/>
    <mergeCell ref="V155"/>
    <mergeCell ref="I150"/>
    <mergeCell ref="J150"/>
    <mergeCell ref="Q156"/>
    <mergeCell ref="C156"/>
    <mergeCell ref="C157"/>
    <mergeCell ref="C155"/>
    <mergeCell ref="N162"/>
    <mergeCell ref="C152"/>
    <mergeCell ref="M162"/>
    <mergeCell ref="U162"/>
    <mergeCell ref="Z167"/>
    <mergeCell ref="D164"/>
    <mergeCell ref="U163"/>
    <mergeCell ref="M163"/>
    <mergeCell ref="Q163"/>
    <mergeCell ref="P163"/>
    <mergeCell ref="O163"/>
    <mergeCell ref="N163"/>
    <mergeCell ref="S163"/>
    <mergeCell ref="C164"/>
    <mergeCell ref="V164"/>
    <mergeCell ref="R166"/>
    <mergeCell ref="O165"/>
    <mergeCell ref="E167"/>
    <mergeCell ref="I166"/>
    <mergeCell ref="J167"/>
    <mergeCell ref="G163"/>
    <mergeCell ref="H163"/>
    <mergeCell ref="I163"/>
    <mergeCell ref="J163"/>
    <mergeCell ref="C163"/>
    <mergeCell ref="D163"/>
    <mergeCell ref="E163"/>
    <mergeCell ref="F163"/>
    <mergeCell ref="L163"/>
    <mergeCell ref="N164"/>
    <mergeCell ref="E165"/>
    <mergeCell ref="I165"/>
    <mergeCell ref="H165"/>
    <mergeCell ref="J164"/>
    <mergeCell ref="F165"/>
    <mergeCell ref="G165"/>
    <mergeCell ref="W164"/>
    <mergeCell ref="L164"/>
    <mergeCell ref="U164"/>
    <mergeCell ref="Q164"/>
    <mergeCell ref="S164"/>
    <mergeCell ref="X164"/>
    <mergeCell ref="Y164"/>
    <mergeCell ref="F164"/>
    <mergeCell ref="P164"/>
    <mergeCell ref="Z163"/>
    <mergeCell ref="G164"/>
    <mergeCell ref="R163"/>
    <mergeCell ref="Z164"/>
    <mergeCell ref="R164"/>
    <mergeCell ref="D165"/>
    <mergeCell ref="V165"/>
    <mergeCell ref="S166"/>
    <mergeCell ref="Y166"/>
    <mergeCell ref="K165"/>
    <mergeCell ref="F167"/>
    <mergeCell ref="E166"/>
    <mergeCell ref="K164"/>
    <mergeCell ref="R165"/>
    <mergeCell ref="T164"/>
    <mergeCell ref="E164"/>
    <mergeCell ref="Y163"/>
    <mergeCell ref="X163"/>
    <mergeCell ref="V163"/>
    <mergeCell ref="K163"/>
    <mergeCell ref="D167"/>
    <mergeCell ref="J165"/>
    <mergeCell ref="K166"/>
    <mergeCell ref="J166"/>
    <mergeCell ref="S167"/>
    <mergeCell ref="H167"/>
    <mergeCell ref="C165"/>
    <mergeCell ref="N165"/>
    <mergeCell ref="C167"/>
    <mergeCell ref="I161"/>
    <mergeCell ref="L162"/>
    <mergeCell ref="P165"/>
    <mergeCell ref="W165"/>
    <mergeCell ref="S165"/>
    <mergeCell ref="Q165"/>
    <mergeCell ref="T165"/>
    <mergeCell ref="U165"/>
    <mergeCell ref="C166"/>
    <mergeCell ref="L165"/>
    <mergeCell ref="T163"/>
    <mergeCell ref="I164"/>
    <mergeCell ref="O164"/>
    <mergeCell ref="X165"/>
    <mergeCell ref="Q166"/>
    <mergeCell ref="V166"/>
    <mergeCell ref="X166"/>
    <mergeCell ref="W166"/>
    <mergeCell ref="K366"/>
    <mergeCell ref="S367"/>
    <mergeCell ref="Q367"/>
    <mergeCell ref="C268"/>
    <mergeCell ref="I342"/>
    <mergeCell ref="R280"/>
    <mergeCell ref="O282"/>
    <mergeCell ref="W282"/>
    <mergeCell ref="Q282"/>
    <mergeCell ref="P203"/>
    <mergeCell ref="F202"/>
    <mergeCell ref="I201"/>
    <mergeCell ref="J202"/>
    <mergeCell ref="W202"/>
    <mergeCell ref="M201"/>
    <mergeCell ref="D202"/>
    <mergeCell ref="K269"/>
    <mergeCell ref="V269"/>
    <mergeCell ref="I270"/>
    <mergeCell ref="J270"/>
    <mergeCell ref="O271"/>
    <mergeCell ref="S271"/>
    <mergeCell ref="X278"/>
    <mergeCell ref="D279"/>
    <mergeCell ref="L279"/>
    <mergeCell ref="H279"/>
    <mergeCell ref="Q289"/>
    <mergeCell ref="R231"/>
    <mergeCell ref="D240"/>
    <mergeCell ref="C239"/>
    <mergeCell ref="V240"/>
    <mergeCell ref="M240"/>
    <mergeCell ref="P240"/>
    <mergeCell ref="N240"/>
    <mergeCell ref="D275"/>
    <mergeCell ref="E275"/>
    <mergeCell ref="U346"/>
    <mergeCell ref="C161"/>
    <mergeCell ref="D161"/>
    <mergeCell ref="E161"/>
    <mergeCell ref="X458"/>
    <mergeCell ref="D459"/>
    <mergeCell ref="D461"/>
    <mergeCell ref="O461"/>
    <mergeCell ref="V467"/>
    <mergeCell ref="Q467"/>
    <mergeCell ref="S467"/>
    <mergeCell ref="T467"/>
    <mergeCell ref="R467"/>
    <mergeCell ref="R465"/>
    <mergeCell ref="J466"/>
    <mergeCell ref="I467"/>
    <mergeCell ref="J467"/>
    <mergeCell ref="Q465"/>
    <mergeCell ref="W468"/>
    <mergeCell ref="D469"/>
    <mergeCell ref="L462"/>
    <mergeCell ref="F462"/>
    <mergeCell ref="Y462"/>
    <mergeCell ref="O462"/>
    <mergeCell ref="W462"/>
    <mergeCell ref="V462"/>
    <mergeCell ref="A269"/>
    <mergeCell ref="B269"/>
    <mergeCell ref="C269"/>
    <mergeCell ref="O269"/>
    <mergeCell ref="W269"/>
    <mergeCell ref="Q269"/>
    <mergeCell ref="R269"/>
    <mergeCell ref="S269"/>
    <mergeCell ref="U269"/>
    <mergeCell ref="I283"/>
    <mergeCell ref="H283"/>
    <mergeCell ref="G283"/>
    <mergeCell ref="F283"/>
    <mergeCell ref="E283"/>
    <mergeCell ref="K283"/>
    <mergeCell ref="L283"/>
    <mergeCell ref="P283"/>
    <mergeCell ref="S283"/>
    <mergeCell ref="X416"/>
    <mergeCell ref="T416"/>
    <mergeCell ref="R416"/>
    <mergeCell ref="V416"/>
    <mergeCell ref="O417"/>
    <mergeCell ref="E417"/>
    <mergeCell ref="I417"/>
    <mergeCell ref="F417"/>
    <mergeCell ref="M417"/>
    <mergeCell ref="J417"/>
    <mergeCell ref="M401"/>
    <mergeCell ref="S401"/>
    <mergeCell ref="R399"/>
    <mergeCell ref="D410"/>
    <mergeCell ref="E410"/>
    <mergeCell ref="F410"/>
    <mergeCell ref="I410"/>
    <mergeCell ref="Q409"/>
    <mergeCell ref="O409"/>
    <mergeCell ref="N417"/>
    <mergeCell ref="X417"/>
    <mergeCell ref="V417"/>
    <mergeCell ref="Q417"/>
    <mergeCell ref="R417"/>
    <mergeCell ref="Z420"/>
    <mergeCell ref="X415"/>
    <mergeCell ref="O412"/>
    <mergeCell ref="V412"/>
    <mergeCell ref="Q412"/>
    <mergeCell ref="X412"/>
    <mergeCell ref="X411"/>
    <mergeCell ref="S413"/>
    <mergeCell ref="I414"/>
    <mergeCell ref="J414"/>
    <mergeCell ref="O396"/>
    <mergeCell ref="W396"/>
    <mergeCell ref="B343"/>
    <mergeCell ref="Z409"/>
    <mergeCell ref="P408"/>
    <mergeCell ref="X408"/>
    <mergeCell ref="Z410"/>
    <mergeCell ref="I411"/>
    <mergeCell ref="Q410"/>
    <mergeCell ref="O410"/>
    <mergeCell ref="J411"/>
    <mergeCell ref="K411"/>
    <mergeCell ref="J410"/>
    <mergeCell ref="U410"/>
    <mergeCell ref="Z414"/>
    <mergeCell ref="I422"/>
    <mergeCell ref="M420"/>
    <mergeCell ref="C422"/>
    <mergeCell ref="N422"/>
    <mergeCell ref="Y422"/>
    <mergeCell ref="R422"/>
    <mergeCell ref="T422"/>
    <mergeCell ref="Z408"/>
    <mergeCell ref="T417"/>
    <mergeCell ref="C416"/>
    <mergeCell ref="L417"/>
    <mergeCell ref="H417"/>
    <mergeCell ref="U417"/>
    <mergeCell ref="E416"/>
    <mergeCell ref="S416"/>
    <mergeCell ref="D417"/>
    <mergeCell ref="S417"/>
    <mergeCell ref="E403"/>
    <mergeCell ref="O415"/>
    <mergeCell ref="B415"/>
    <mergeCell ref="N412"/>
    <mergeCell ref="W415"/>
    <mergeCell ref="H413"/>
    <mergeCell ref="I413"/>
    <mergeCell ref="L414"/>
    <mergeCell ref="N414"/>
    <mergeCell ref="R413"/>
    <mergeCell ref="P413"/>
    <mergeCell ref="Z403"/>
    <mergeCell ref="T407"/>
    <mergeCell ref="W407"/>
    <mergeCell ref="C345"/>
    <mergeCell ref="R343"/>
    <mergeCell ref="K344"/>
    <mergeCell ref="E345"/>
    <mergeCell ref="I345"/>
    <mergeCell ref="V345"/>
    <mergeCell ref="Y344"/>
    <mergeCell ref="X393"/>
    <mergeCell ref="L334"/>
    <mergeCell ref="Y333"/>
    <mergeCell ref="T333"/>
    <mergeCell ref="V333"/>
    <mergeCell ref="X333"/>
    <mergeCell ref="M334"/>
    <mergeCell ref="W334"/>
    <mergeCell ref="Q334"/>
    <mergeCell ref="X334"/>
    <mergeCell ref="D321"/>
    <mergeCell ref="E321"/>
    <mergeCell ref="F321"/>
    <mergeCell ref="G321"/>
    <mergeCell ref="J322"/>
    <mergeCell ref="X322"/>
    <mergeCell ref="I322"/>
    <mergeCell ref="B486"/>
    <mergeCell ref="C486"/>
    <mergeCell ref="K485"/>
    <mergeCell ref="Q484"/>
    <mergeCell ref="S485"/>
    <mergeCell ref="Z485"/>
    <mergeCell ref="P485"/>
    <mergeCell ref="T485"/>
    <mergeCell ref="U485"/>
    <mergeCell ref="Q485"/>
    <mergeCell ref="Z419"/>
    <mergeCell ref="Y413"/>
    <mergeCell ref="M414"/>
    <mergeCell ref="W413"/>
    <mergeCell ref="S414"/>
    <mergeCell ref="R414"/>
    <mergeCell ref="Q414"/>
    <mergeCell ref="Z424"/>
    <mergeCell ref="E425"/>
    <mergeCell ref="Y412"/>
    <mergeCell ref="Y415"/>
    <mergeCell ref="Z413"/>
    <mergeCell ref="T414"/>
    <mergeCell ref="Z450"/>
    <mergeCell ref="R452"/>
    <mergeCell ref="Y421"/>
    <mergeCell ref="T483"/>
    <mergeCell ref="X483"/>
    <mergeCell ref="Z451"/>
    <mergeCell ref="Z459"/>
    <mergeCell ref="Z456"/>
    <mergeCell ref="Z473"/>
    <mergeCell ref="J325"/>
    <mergeCell ref="X325"/>
    <mergeCell ref="F325"/>
    <mergeCell ref="K326"/>
    <mergeCell ref="C326"/>
    <mergeCell ref="U455"/>
    <mergeCell ref="F456"/>
    <mergeCell ref="C459"/>
    <mergeCell ref="U458"/>
    <mergeCell ref="Z458"/>
    <mergeCell ref="B459"/>
    <mergeCell ref="C465"/>
    <mergeCell ref="T464"/>
    <mergeCell ref="D465"/>
    <mergeCell ref="E465"/>
    <mergeCell ref="F465"/>
    <mergeCell ref="S311"/>
    <mergeCell ref="W303"/>
    <mergeCell ref="J305"/>
    <mergeCell ref="U304"/>
    <mergeCell ref="V304"/>
    <mergeCell ref="X304"/>
    <mergeCell ref="F305"/>
    <mergeCell ref="O305"/>
    <mergeCell ref="X308"/>
    <mergeCell ref="Y308"/>
    <mergeCell ref="P308"/>
    <mergeCell ref="G308"/>
    <mergeCell ref="J310"/>
    <mergeCell ref="W310"/>
    <mergeCell ref="U310"/>
    <mergeCell ref="O297"/>
    <mergeCell ref="T297"/>
    <mergeCell ref="Q297"/>
    <mergeCell ref="V297"/>
    <mergeCell ref="D287"/>
    <mergeCell ref="K304"/>
    <mergeCell ref="W304"/>
    <mergeCell ref="H302"/>
    <mergeCell ref="O304"/>
    <mergeCell ref="F309"/>
    <mergeCell ref="H309"/>
    <mergeCell ref="I297"/>
    <mergeCell ref="W297"/>
    <mergeCell ref="X297"/>
    <mergeCell ref="Y288"/>
    <mergeCell ref="N288"/>
    <mergeCell ref="Y297"/>
    <mergeCell ref="Y293"/>
    <mergeCell ref="A320"/>
    <mergeCell ref="A319"/>
    <mergeCell ref="B333"/>
    <mergeCell ref="M416"/>
    <mergeCell ref="J319"/>
    <mergeCell ref="A374"/>
    <mergeCell ref="N372"/>
    <mergeCell ref="Y407"/>
    <mergeCell ref="M408"/>
    <mergeCell ref="N410"/>
    <mergeCell ref="W410"/>
    <mergeCell ref="P410"/>
    <mergeCell ref="G410"/>
    <mergeCell ref="L407"/>
    <mergeCell ref="J407"/>
    <mergeCell ref="I407"/>
    <mergeCell ref="H407"/>
    <mergeCell ref="L319"/>
    <mergeCell ref="X319"/>
    <mergeCell ref="H344"/>
    <mergeCell ref="Q343"/>
    <mergeCell ref="D345"/>
    <mergeCell ref="W346"/>
    <mergeCell ref="K347"/>
    <mergeCell ref="Y410"/>
    <mergeCell ref="V410"/>
    <mergeCell ref="R410"/>
    <mergeCell ref="X410"/>
    <mergeCell ref="P412"/>
    <mergeCell ref="E407"/>
    <mergeCell ref="S408"/>
    <mergeCell ref="G409"/>
    <mergeCell ref="H409"/>
    <mergeCell ref="C408"/>
    <mergeCell ref="C409"/>
    <mergeCell ref="C411"/>
    <mergeCell ref="D411"/>
    <mergeCell ref="G319"/>
    <mergeCell ref="L337"/>
    <mergeCell ref="M337"/>
    <mergeCell ref="H335"/>
    <mergeCell ref="S335"/>
    <mergeCell ref="W337"/>
    <mergeCell ref="P337"/>
    <mergeCell ref="T336"/>
    <mergeCell ref="P336"/>
    <mergeCell ref="V337"/>
    <mergeCell ref="U337"/>
    <mergeCell ref="R337"/>
    <mergeCell ref="Q337"/>
    <mergeCell ref="S337"/>
    <mergeCell ref="Y336"/>
    <mergeCell ref="O337"/>
    <mergeCell ref="V332"/>
    <mergeCell ref="H333"/>
    <mergeCell ref="G335"/>
    <mergeCell ref="O335"/>
    <mergeCell ref="K335"/>
    <mergeCell ref="I335"/>
    <mergeCell ref="E333"/>
    <mergeCell ref="U332"/>
    <mergeCell ref="P334"/>
    <mergeCell ref="Y334"/>
    <mergeCell ref="T334"/>
    <mergeCell ref="A485"/>
    <mergeCell ref="C264"/>
    <mergeCell ref="D264"/>
    <mergeCell ref="D268"/>
    <mergeCell ref="A270"/>
    <mergeCell ref="A271"/>
    <mergeCell ref="A272"/>
    <mergeCell ref="Y292"/>
    <mergeCell ref="Z292"/>
    <mergeCell ref="D293"/>
    <mergeCell ref="N292"/>
    <mergeCell ref="H293"/>
    <mergeCell ref="G293"/>
    <mergeCell ref="M292"/>
    <mergeCell ref="K292"/>
    <mergeCell ref="F293"/>
    <mergeCell ref="K291"/>
    <mergeCell ref="P290"/>
    <mergeCell ref="Q291"/>
    <mergeCell ref="D292"/>
    <mergeCell ref="E292"/>
    <mergeCell ref="A293"/>
    <mergeCell ref="H287"/>
    <mergeCell ref="X287"/>
    <mergeCell ref="Z287"/>
    <mergeCell ref="E288"/>
    <mergeCell ref="O288"/>
    <mergeCell ref="X288"/>
    <mergeCell ref="Y284"/>
    <mergeCell ref="P318"/>
    <mergeCell ref="K317"/>
    <mergeCell ref="J318"/>
    <mergeCell ref="L317"/>
    <mergeCell ref="Q316"/>
    <mergeCell ref="R317"/>
    <mergeCell ref="A318"/>
    <mergeCell ref="I305"/>
    <mergeCell ref="Z307"/>
    <mergeCell ref="Y309"/>
    <mergeCell ref="Z309"/>
    <mergeCell ref="I307"/>
    <mergeCell ref="A341"/>
    <mergeCell ref="R341"/>
    <mergeCell ref="T341"/>
    <mergeCell ref="Y341"/>
    <mergeCell ref="C319"/>
    <mergeCell ref="D319"/>
    <mergeCell ref="E319"/>
    <mergeCell ref="F319"/>
    <mergeCell ref="F380"/>
    <mergeCell ref="V377"/>
    <mergeCell ref="K379"/>
    <mergeCell ref="N380"/>
    <mergeCell ref="X379"/>
    <mergeCell ref="W379"/>
    <mergeCell ref="Q379"/>
    <mergeCell ref="P379"/>
    <mergeCell ref="U379"/>
    <mergeCell ref="O380"/>
    <mergeCell ref="N379"/>
    <mergeCell ref="Y395"/>
    <mergeCell ref="N396"/>
    <mergeCell ref="G398"/>
    <mergeCell ref="Y397"/>
    <mergeCell ref="Z498"/>
    <mergeCell ref="L499"/>
    <mergeCell ref="P498"/>
    <mergeCell ref="N498"/>
    <mergeCell ref="J498"/>
    <mergeCell ref="U498"/>
    <mergeCell ref="C499"/>
    <mergeCell ref="L498"/>
    <mergeCell ref="S498"/>
    <mergeCell ref="Y499"/>
    <mergeCell ref="I499"/>
    <mergeCell ref="J499"/>
    <mergeCell ref="K499"/>
    <mergeCell ref="H498"/>
    <mergeCell ref="D496"/>
    <mergeCell ref="E496"/>
    <mergeCell ref="F496"/>
    <mergeCell ref="L497"/>
    <mergeCell ref="O498"/>
    <mergeCell ref="K498"/>
    <mergeCell ref="X498"/>
    <mergeCell ref="C496"/>
    <mergeCell ref="Y498"/>
    <mergeCell ref="Y468"/>
    <mergeCell ref="X468"/>
    <mergeCell ref="V468"/>
    <mergeCell ref="J468"/>
    <mergeCell ref="I470"/>
    <mergeCell ref="Q469"/>
    <mergeCell ref="O469"/>
    <mergeCell ref="I462"/>
    <mergeCell ref="X462"/>
    <mergeCell ref="P464"/>
    <mergeCell ref="K465"/>
    <mergeCell ref="M465"/>
    <mergeCell ref="M464"/>
    <mergeCell ref="N465"/>
    <mergeCell ref="O465"/>
    <mergeCell ref="H463"/>
    <mergeCell ref="Z464"/>
    <mergeCell ref="N471"/>
    <mergeCell ref="P471"/>
    <mergeCell ref="D471"/>
    <mergeCell ref="O470"/>
    <mergeCell ref="U470"/>
    <mergeCell ref="F471"/>
    <mergeCell ref="Q470"/>
    <mergeCell ref="H471"/>
    <mergeCell ref="L470"/>
    <mergeCell ref="K471"/>
    <mergeCell ref="M489"/>
    <mergeCell ref="Y489"/>
    <mergeCell ref="Z491"/>
    <mergeCell ref="Y493"/>
    <mergeCell ref="Y494"/>
    <mergeCell ref="Z494"/>
    <mergeCell ref="R496"/>
    <mergeCell ref="Q496"/>
    <mergeCell ref="C497"/>
    <mergeCell ref="J495"/>
    <mergeCell ref="Q495"/>
    <mergeCell ref="L493"/>
    <mergeCell ref="H496"/>
    <mergeCell ref="I496"/>
    <mergeCell ref="Z493"/>
    <mergeCell ref="A471"/>
    <mergeCell ref="Y470"/>
    <mergeCell ref="C471"/>
    <mergeCell ref="Y452"/>
    <mergeCell ref="Q453"/>
    <mergeCell ref="H454"/>
    <mergeCell ref="R453"/>
    <mergeCell ref="D454"/>
    <mergeCell ref="V453"/>
    <mergeCell ref="V458"/>
    <mergeCell ref="F459"/>
    <mergeCell ref="P460"/>
    <mergeCell ref="B461"/>
    <mergeCell ref="Y460"/>
    <mergeCell ref="O460"/>
    <mergeCell ref="S460"/>
    <mergeCell ref="Q460"/>
    <mergeCell ref="T460"/>
    <mergeCell ref="U460"/>
    <mergeCell ref="W460"/>
    <mergeCell ref="Z460"/>
    <mergeCell ref="E459"/>
    <mergeCell ref="L459"/>
    <mergeCell ref="M459"/>
    <mergeCell ref="J459"/>
    <mergeCell ref="I459"/>
    <mergeCell ref="K459"/>
    <mergeCell ref="A460"/>
    <mergeCell ref="G458"/>
    <mergeCell ref="Y457"/>
    <mergeCell ref="I458"/>
    <mergeCell ref="R457"/>
    <mergeCell ref="Q457"/>
    <mergeCell ref="A459"/>
    <mergeCell ref="W458"/>
    <mergeCell ref="Z455"/>
    <mergeCell ref="D456"/>
    <mergeCell ref="X455"/>
    <mergeCell ref="D460"/>
    <mergeCell ref="H461"/>
    <mergeCell ref="X460"/>
    <mergeCell ref="J461"/>
    <mergeCell ref="M460"/>
    <mergeCell ref="G460"/>
    <mergeCell ref="F460"/>
    <mergeCell ref="E460"/>
    <mergeCell ref="H459"/>
    <mergeCell ref="H458"/>
    <mergeCell ref="Y461"/>
    <mergeCell ref="G465"/>
    <mergeCell ref="H465"/>
    <mergeCell ref="L464"/>
    <mergeCell ref="R462"/>
    <mergeCell ref="V463"/>
    <mergeCell ref="N464"/>
    <mergeCell ref="M490"/>
    <mergeCell ref="L490"/>
    <mergeCell ref="J490"/>
    <mergeCell ref="S490"/>
    <mergeCell ref="F490"/>
    <mergeCell ref="P484"/>
    <mergeCell ref="L489"/>
    <mergeCell ref="U489"/>
    <mergeCell ref="P459"/>
    <mergeCell ref="N459"/>
    <mergeCell ref="L458"/>
    <mergeCell ref="K461"/>
    <mergeCell ref="V460"/>
    <mergeCell ref="M461"/>
    <mergeCell ref="A461"/>
    <mergeCell ref="Z472"/>
    <mergeCell ref="U463"/>
    <mergeCell ref="R463"/>
    <mergeCell ref="Z463"/>
    <mergeCell ref="H468"/>
    <mergeCell ref="U468"/>
    <mergeCell ref="N468"/>
    <mergeCell ref="Q468"/>
    <mergeCell ref="P468"/>
    <mergeCell ref="O468"/>
    <mergeCell ref="R468"/>
    <mergeCell ref="S468"/>
    <mergeCell ref="E471"/>
    <mergeCell ref="R472"/>
    <mergeCell ref="I471"/>
    <mergeCell ref="O471"/>
    <mergeCell ref="G471"/>
    <mergeCell ref="Q471"/>
    <mergeCell ref="T471"/>
    <mergeCell ref="I472"/>
    <mergeCell ref="Z465"/>
    <mergeCell ref="G463"/>
    <mergeCell ref="F463"/>
    <mergeCell ref="E463"/>
    <mergeCell ref="D463"/>
    <mergeCell ref="V465"/>
    <mergeCell ref="I466"/>
    <mergeCell ref="S466"/>
    <mergeCell ref="D467"/>
    <mergeCell ref="H467"/>
    <mergeCell ref="Y466"/>
    <mergeCell ref="I468"/>
    <mergeCell ref="X466"/>
    <mergeCell ref="J464"/>
    <mergeCell ref="K464"/>
    <mergeCell ref="T466"/>
    <mergeCell ref="B463"/>
    <mergeCell ref="H462"/>
    <mergeCell ref="G462"/>
    <mergeCell ref="P462"/>
    <mergeCell ref="J462"/>
    <mergeCell ref="M462"/>
    <mergeCell ref="E464"/>
    <mergeCell ref="F464"/>
    <mergeCell ref="O464"/>
    <mergeCell ref="U471"/>
    <mergeCell ref="M471"/>
    <mergeCell ref="E468"/>
    <mergeCell ref="F468"/>
    <mergeCell ref="G468"/>
    <mergeCell ref="D468"/>
    <mergeCell ref="K468"/>
    <mergeCell ref="W472"/>
    <mergeCell ref="L472"/>
    <mergeCell ref="U472"/>
    <mergeCell ref="Q472"/>
    <mergeCell ref="X467"/>
    <mergeCell ref="Z433"/>
    <mergeCell ref="Y433"/>
    <mergeCell ref="H434"/>
    <mergeCell ref="N433"/>
    <mergeCell ref="V433"/>
    <mergeCell ref="R433"/>
    <mergeCell ref="P433"/>
    <mergeCell ref="J439"/>
    <mergeCell ref="H418"/>
    <mergeCell ref="Q418"/>
    <mergeCell ref="F418"/>
    <mergeCell ref="O418"/>
    <mergeCell ref="N418"/>
    <mergeCell ref="K418"/>
    <mergeCell ref="I418"/>
    <mergeCell ref="M418"/>
    <mergeCell ref="P418"/>
    <mergeCell ref="Z437"/>
    <mergeCell ref="Z421"/>
    <mergeCell ref="M426"/>
    <mergeCell ref="A444"/>
    <mergeCell ref="U462"/>
    <mergeCell ref="I469"/>
    <mergeCell ref="A466"/>
    <mergeCell ref="B462"/>
    <mergeCell ref="W467"/>
    <mergeCell ref="Y467"/>
    <mergeCell ref="C463"/>
    <mergeCell ref="A465"/>
    <mergeCell ref="U457"/>
    <mergeCell ref="S459"/>
    <mergeCell ref="C460"/>
    <mergeCell ref="E462"/>
    <mergeCell ref="D462"/>
    <mergeCell ref="C462"/>
    <mergeCell ref="E461"/>
    <mergeCell ref="C461"/>
    <mergeCell ref="R459"/>
    <mergeCell ref="I460"/>
    <mergeCell ref="M458"/>
    <mergeCell ref="O458"/>
    <mergeCell ref="P458"/>
    <mergeCell ref="P457"/>
    <mergeCell ref="E457"/>
    <mergeCell ref="O459"/>
    <mergeCell ref="H460"/>
    <mergeCell ref="P461"/>
    <mergeCell ref="T461"/>
    <mergeCell ref="R461"/>
    <mergeCell ref="U461"/>
    <mergeCell ref="V461"/>
    <mergeCell ref="X461"/>
    <mergeCell ref="D466"/>
    <mergeCell ref="T465"/>
    <mergeCell ref="F461"/>
    <mergeCell ref="Q461"/>
    <mergeCell ref="Y458"/>
    <mergeCell ref="W459"/>
    <mergeCell ref="V459"/>
    <mergeCell ref="U459"/>
    <mergeCell ref="Y459"/>
    <mergeCell ref="S458"/>
    <mergeCell ref="J460"/>
    <mergeCell ref="R460"/>
    <mergeCell ref="B394"/>
    <mergeCell ref="M397"/>
    <mergeCell ref="Z384"/>
    <mergeCell ref="V383"/>
    <mergeCell ref="C385"/>
    <mergeCell ref="B384"/>
    <mergeCell ref="B389"/>
    <mergeCell ref="B392"/>
    <mergeCell ref="B395"/>
    <mergeCell ref="N393"/>
    <mergeCell ref="Y393"/>
    <mergeCell ref="D394"/>
    <mergeCell ref="E394"/>
    <mergeCell ref="C396"/>
    <mergeCell ref="G396"/>
    <mergeCell ref="E396"/>
    <mergeCell ref="O397"/>
    <mergeCell ref="X397"/>
    <mergeCell ref="E385"/>
    <mergeCell ref="P385"/>
    <mergeCell ref="Z383"/>
    <mergeCell ref="Y414"/>
    <mergeCell ref="X414"/>
    <mergeCell ref="W414"/>
    <mergeCell ref="V414"/>
    <mergeCell ref="U414"/>
    <mergeCell ref="X407"/>
    <mergeCell ref="N408"/>
    <mergeCell ref="L408"/>
    <mergeCell ref="A453"/>
    <mergeCell ref="A454"/>
    <mergeCell ref="Y432"/>
    <mergeCell ref="L432"/>
    <mergeCell ref="W432"/>
    <mergeCell ref="S432"/>
    <mergeCell ref="U432"/>
    <mergeCell ref="E439"/>
    <mergeCell ref="Y438"/>
    <mergeCell ref="Z438"/>
    <mergeCell ref="Z445"/>
    <mergeCell ref="I446"/>
    <mergeCell ref="F436"/>
    <mergeCell ref="Y435"/>
    <mergeCell ref="E438"/>
    <mergeCell ref="F438"/>
    <mergeCell ref="P443"/>
    <mergeCell ref="E444"/>
    <mergeCell ref="I444"/>
    <mergeCell ref="L443"/>
    <mergeCell ref="G444"/>
    <mergeCell ref="I415"/>
    <mergeCell ref="N416"/>
    <mergeCell ref="Y416"/>
    <mergeCell ref="F416"/>
    <mergeCell ref="G417"/>
    <mergeCell ref="Z418"/>
    <mergeCell ref="G420"/>
    <mergeCell ref="F420"/>
    <mergeCell ref="E420"/>
    <mergeCell ref="U454"/>
    <mergeCell ref="Z453"/>
    <mergeCell ref="C452"/>
    <mergeCell ref="Z406"/>
    <mergeCell ref="N439"/>
    <mergeCell ref="A316"/>
    <mergeCell ref="S314"/>
    <mergeCell ref="I312"/>
    <mergeCell ref="U311"/>
    <mergeCell ref="V311"/>
    <mergeCell ref="H308"/>
    <mergeCell ref="R308"/>
    <mergeCell ref="L308"/>
    <mergeCell ref="O308"/>
    <mergeCell ref="Y314"/>
    <mergeCell ref="Y311"/>
    <mergeCell ref="X311"/>
    <mergeCell ref="Y313"/>
    <mergeCell ref="Z315"/>
    <mergeCell ref="Z316"/>
    <mergeCell ref="F316"/>
    <mergeCell ref="P316"/>
    <mergeCell ref="B311"/>
    <mergeCell ref="H310"/>
    <mergeCell ref="Z310"/>
    <mergeCell ref="D309"/>
    <mergeCell ref="G306"/>
    <mergeCell ref="P310"/>
    <mergeCell ref="O310"/>
    <mergeCell ref="N310"/>
    <mergeCell ref="T311"/>
    <mergeCell ref="J311"/>
    <mergeCell ref="I310"/>
    <mergeCell ref="P311"/>
    <mergeCell ref="O311"/>
    <mergeCell ref="K311"/>
    <mergeCell ref="H311"/>
    <mergeCell ref="L310"/>
    <mergeCell ref="N311"/>
    <mergeCell ref="S310"/>
    <mergeCell ref="I311"/>
    <mergeCell ref="Q310"/>
    <mergeCell ref="Y306"/>
    <mergeCell ref="S307"/>
    <mergeCell ref="E314"/>
    <mergeCell ref="U309"/>
    <mergeCell ref="M309"/>
    <mergeCell ref="S309"/>
    <mergeCell ref="O309"/>
    <mergeCell ref="R309"/>
    <mergeCell ref="V309"/>
    <mergeCell ref="W309"/>
    <mergeCell ref="X309"/>
    <mergeCell ref="L309"/>
    <mergeCell ref="T309"/>
    <mergeCell ref="P309"/>
    <mergeCell ref="N309"/>
    <mergeCell ref="C306"/>
    <mergeCell ref="M310"/>
    <mergeCell ref="G309"/>
    <mergeCell ref="A312"/>
    <mergeCell ref="B312"/>
    <mergeCell ref="Z311"/>
    <mergeCell ref="K312"/>
    <mergeCell ref="T316"/>
    <mergeCell ref="M316"/>
    <mergeCell ref="A309"/>
    <mergeCell ref="B309"/>
    <mergeCell ref="C309"/>
    <mergeCell ref="A317"/>
    <mergeCell ref="K315"/>
    <mergeCell ref="U315"/>
    <mergeCell ref="A298"/>
    <mergeCell ref="B298"/>
    <mergeCell ref="F296"/>
    <mergeCell ref="S297"/>
    <mergeCell ref="W295"/>
    <mergeCell ref="L295"/>
    <mergeCell ref="U295"/>
    <mergeCell ref="T295"/>
    <mergeCell ref="Q295"/>
    <mergeCell ref="O295"/>
    <mergeCell ref="S295"/>
    <mergeCell ref="X295"/>
    <mergeCell ref="H296"/>
    <mergeCell ref="R296"/>
    <mergeCell ref="A297"/>
    <mergeCell ref="B297"/>
    <mergeCell ref="A303"/>
    <mergeCell ref="B303"/>
    <mergeCell ref="A279"/>
    <mergeCell ref="L278"/>
    <mergeCell ref="I276"/>
    <mergeCell ref="H284"/>
    <mergeCell ref="B286"/>
    <mergeCell ref="C282"/>
    <mergeCell ref="P284"/>
    <mergeCell ref="L285"/>
    <mergeCell ref="T284"/>
    <mergeCell ref="A291"/>
    <mergeCell ref="B291"/>
    <mergeCell ref="O281"/>
    <mergeCell ref="V281"/>
    <mergeCell ref="X277"/>
    <mergeCell ref="G278"/>
    <mergeCell ref="H278"/>
    <mergeCell ref="S277"/>
    <mergeCell ref="T277"/>
    <mergeCell ref="Q277"/>
    <mergeCell ref="Q283"/>
    <mergeCell ref="X283"/>
    <mergeCell ref="V291"/>
    <mergeCell ref="R292"/>
    <mergeCell ref="X292"/>
    <mergeCell ref="E279"/>
    <mergeCell ref="P279"/>
    <mergeCell ref="G279"/>
    <mergeCell ref="R279"/>
    <mergeCell ref="I279"/>
    <mergeCell ref="T279"/>
    <mergeCell ref="W278"/>
    <mergeCell ref="T278"/>
    <mergeCell ref="O278"/>
    <mergeCell ref="K278"/>
    <mergeCell ref="S278"/>
    <mergeCell ref="A311"/>
    <mergeCell ref="A290"/>
    <mergeCell ref="B290"/>
    <mergeCell ref="C290"/>
    <mergeCell ref="D282"/>
    <mergeCell ref="N282"/>
    <mergeCell ref="J309"/>
    <mergeCell ref="B310"/>
    <mergeCell ref="E216"/>
    <mergeCell ref="F215"/>
    <mergeCell ref="F221"/>
    <mergeCell ref="E220"/>
    <mergeCell ref="G200"/>
    <mergeCell ref="V219"/>
    <mergeCell ref="P220"/>
    <mergeCell ref="W220"/>
    <mergeCell ref="K220"/>
    <mergeCell ref="S220"/>
    <mergeCell ref="N219"/>
    <mergeCell ref="Z200"/>
    <mergeCell ref="K204"/>
    <mergeCell ref="N203"/>
    <mergeCell ref="Q204"/>
    <mergeCell ref="Q203"/>
    <mergeCell ref="M204"/>
    <mergeCell ref="T204"/>
    <mergeCell ref="G208"/>
    <mergeCell ref="Y208"/>
    <mergeCell ref="O202"/>
    <mergeCell ref="D201"/>
    <mergeCell ref="N208"/>
    <mergeCell ref="R210"/>
    <mergeCell ref="L211"/>
    <mergeCell ref="Z210"/>
    <mergeCell ref="T203"/>
    <mergeCell ref="U201"/>
    <mergeCell ref="C271"/>
    <mergeCell ref="C272"/>
    <mergeCell ref="D272"/>
    <mergeCell ref="V271"/>
    <mergeCell ref="U271"/>
    <mergeCell ref="R271"/>
    <mergeCell ref="Q271"/>
    <mergeCell ref="X271"/>
    <mergeCell ref="X247"/>
    <mergeCell ref="G246"/>
    <mergeCell ref="K246"/>
    <mergeCell ref="I246"/>
    <mergeCell ref="F246"/>
    <mergeCell ref="Z249"/>
    <mergeCell ref="Z261"/>
    <mergeCell ref="Z262"/>
    <mergeCell ref="X267"/>
    <mergeCell ref="W267"/>
    <mergeCell ref="X266"/>
    <mergeCell ref="W266"/>
    <mergeCell ref="W251"/>
    <mergeCell ref="Y251"/>
    <mergeCell ref="I260"/>
    <mergeCell ref="Z256"/>
    <mergeCell ref="H262"/>
    <mergeCell ref="I261"/>
    <mergeCell ref="S262"/>
    <mergeCell ref="M262"/>
    <mergeCell ref="K262"/>
    <mergeCell ref="O262"/>
    <mergeCell ref="P262"/>
    <mergeCell ref="Q262"/>
    <mergeCell ref="Q261"/>
    <mergeCell ref="N261"/>
    <mergeCell ref="T263"/>
    <mergeCell ref="F263"/>
    <mergeCell ref="Q273"/>
    <mergeCell ref="K274"/>
    <mergeCell ref="G275"/>
    <mergeCell ref="H275"/>
    <mergeCell ref="O275"/>
    <mergeCell ref="R277"/>
    <mergeCell ref="J278"/>
    <mergeCell ref="I277"/>
    <mergeCell ref="D278"/>
    <mergeCell ref="W277"/>
    <mergeCell ref="D276"/>
    <mergeCell ref="U276"/>
    <mergeCell ref="Q275"/>
    <mergeCell ref="M278"/>
    <mergeCell ref="U278"/>
    <mergeCell ref="F279"/>
    <mergeCell ref="K279"/>
    <mergeCell ref="K277"/>
    <mergeCell ref="I278"/>
    <mergeCell ref="L277"/>
    <mergeCell ref="V278"/>
    <mergeCell ref="N277"/>
    <mergeCell ref="U277"/>
    <mergeCell ref="F274"/>
    <mergeCell ref="V276"/>
    <mergeCell ref="O276"/>
    <mergeCell ref="L276"/>
    <mergeCell ref="U282"/>
    <mergeCell ref="C295"/>
    <mergeCell ref="D295"/>
    <mergeCell ref="E295"/>
    <mergeCell ref="P278"/>
    <mergeCell ref="R282"/>
    <mergeCell ref="S282"/>
    <mergeCell ref="L291"/>
    <mergeCell ref="O292"/>
    <mergeCell ref="E293"/>
    <mergeCell ref="P293"/>
    <mergeCell ref="P292"/>
    <mergeCell ref="F275"/>
    <mergeCell ref="I273"/>
    <mergeCell ref="G286"/>
    <mergeCell ref="N285"/>
    <mergeCell ref="R284"/>
    <mergeCell ref="R294"/>
    <mergeCell ref="T294"/>
    <mergeCell ref="E278"/>
    <mergeCell ref="V275"/>
    <mergeCell ref="H276"/>
    <mergeCell ref="P276"/>
    <mergeCell ref="H277"/>
    <mergeCell ref="F288"/>
    <mergeCell ref="C289"/>
    <mergeCell ref="U288"/>
    <mergeCell ref="I289"/>
    <mergeCell ref="C276"/>
    <mergeCell ref="U275"/>
    <mergeCell ref="E276"/>
    <mergeCell ref="F276"/>
    <mergeCell ref="T275"/>
    <mergeCell ref="R275"/>
    <mergeCell ref="J276"/>
    <mergeCell ref="W276"/>
    <mergeCell ref="M277"/>
    <mergeCell ref="X273"/>
    <mergeCell ref="L271"/>
    <mergeCell ref="H297"/>
    <mergeCell ref="J297"/>
    <mergeCell ref="K297"/>
    <mergeCell ref="E297"/>
    <mergeCell ref="L296"/>
    <mergeCell ref="W296"/>
    <mergeCell ref="S296"/>
    <mergeCell ref="U296"/>
    <mergeCell ref="E294"/>
    <mergeCell ref="I272"/>
    <mergeCell ref="J272"/>
    <mergeCell ref="K272"/>
    <mergeCell ref="E254"/>
    <mergeCell ref="H281"/>
    <mergeCell ref="J282"/>
    <mergeCell ref="V282"/>
    <mergeCell ref="L281"/>
    <mergeCell ref="K281"/>
    <mergeCell ref="L290"/>
    <mergeCell ref="E290"/>
    <mergeCell ref="L270"/>
    <mergeCell ref="M270"/>
    <mergeCell ref="F277"/>
    <mergeCell ref="E277"/>
    <mergeCell ref="M261"/>
    <mergeCell ref="R261"/>
    <mergeCell ref="L258"/>
    <mergeCell ref="V257"/>
    <mergeCell ref="K259"/>
    <mergeCell ref="F256"/>
    <mergeCell ref="E256"/>
    <mergeCell ref="F282"/>
    <mergeCell ref="P282"/>
    <mergeCell ref="K282"/>
    <mergeCell ref="I282"/>
    <mergeCell ref="E263"/>
    <mergeCell ref="K268"/>
    <mergeCell ref="V279"/>
    <mergeCell ref="T282"/>
    <mergeCell ref="T268"/>
    <mergeCell ref="H268"/>
    <mergeCell ref="V266"/>
    <mergeCell ref="U266"/>
    <mergeCell ref="O284"/>
    <mergeCell ref="Q287"/>
    <mergeCell ref="S287"/>
    <mergeCell ref="U287"/>
    <mergeCell ref="E287"/>
    <mergeCell ref="N287"/>
    <mergeCell ref="L288"/>
    <mergeCell ref="Q276"/>
    <mergeCell ref="N267"/>
    <mergeCell ref="L265"/>
    <mergeCell ref="V265"/>
    <mergeCell ref="L261"/>
    <mergeCell ref="X262"/>
    <mergeCell ref="T261"/>
    <mergeCell ref="U261"/>
    <mergeCell ref="R262"/>
    <mergeCell ref="I262"/>
    <mergeCell ref="P261"/>
    <mergeCell ref="S261"/>
    <mergeCell ref="B272"/>
    <mergeCell ref="I271"/>
    <mergeCell ref="H271"/>
    <mergeCell ref="G271"/>
    <mergeCell ref="F271"/>
    <mergeCell ref="E271"/>
    <mergeCell ref="D271"/>
    <mergeCell ref="B273"/>
    <mergeCell ref="V273"/>
    <mergeCell ref="S274"/>
    <mergeCell ref="P275"/>
    <mergeCell ref="Y241"/>
    <mergeCell ref="Z238"/>
    <mergeCell ref="Y271"/>
    <mergeCell ref="Y275"/>
    <mergeCell ref="Y277"/>
    <mergeCell ref="Z275"/>
    <mergeCell ref="F269"/>
    <mergeCell ref="N269"/>
    <mergeCell ref="Q266"/>
    <mergeCell ref="J267"/>
    <mergeCell ref="Z265"/>
    <mergeCell ref="I266"/>
    <mergeCell ref="J264"/>
    <mergeCell ref="Q264"/>
    <mergeCell ref="J265"/>
    <mergeCell ref="I264"/>
    <mergeCell ref="K265"/>
    <mergeCell ref="O264"/>
    <mergeCell ref="N264"/>
    <mergeCell ref="F264"/>
    <mergeCell ref="K264"/>
    <mergeCell ref="Z263"/>
    <mergeCell ref="Y263"/>
    <mergeCell ref="Y264"/>
    <mergeCell ref="Z276"/>
    <mergeCell ref="P270"/>
    <mergeCell ref="X270"/>
    <mergeCell ref="I267"/>
    <mergeCell ref="K266"/>
    <mergeCell ref="P267"/>
    <mergeCell ref="Q260"/>
    <mergeCell ref="V260"/>
    <mergeCell ref="S260"/>
    <mergeCell ref="Z269"/>
    <mergeCell ref="G260"/>
    <mergeCell ref="F272"/>
    <mergeCell ref="D277"/>
    <mergeCell ref="C277"/>
    <mergeCell ref="Y254"/>
    <mergeCell ref="T253"/>
    <mergeCell ref="R253"/>
    <mergeCell ref="J253"/>
    <mergeCell ref="S254"/>
    <mergeCell ref="T254"/>
    <mergeCell ref="U254"/>
    <mergeCell ref="X265"/>
    <mergeCell ref="S265"/>
    <mergeCell ref="U265"/>
    <mergeCell ref="J263"/>
    <mergeCell ref="W264"/>
    <mergeCell ref="H272"/>
    <mergeCell ref="U267"/>
    <mergeCell ref="O267"/>
    <mergeCell ref="A265"/>
    <mergeCell ref="A268"/>
    <mergeCell ref="B267"/>
    <mergeCell ref="B262"/>
    <mergeCell ref="G264"/>
    <mergeCell ref="B265"/>
    <mergeCell ref="C265"/>
    <mergeCell ref="D265"/>
    <mergeCell ref="E265"/>
    <mergeCell ref="F265"/>
    <mergeCell ref="G265"/>
    <mergeCell ref="N265"/>
    <mergeCell ref="C261"/>
    <mergeCell ref="L259"/>
    <mergeCell ref="D262"/>
    <mergeCell ref="H238"/>
    <mergeCell ref="N238"/>
    <mergeCell ref="G274"/>
    <mergeCell ref="H274"/>
    <mergeCell ref="T273"/>
    <mergeCell ref="R273"/>
    <mergeCell ref="S276"/>
    <mergeCell ref="K276"/>
    <mergeCell ref="O277"/>
    <mergeCell ref="Z253"/>
    <mergeCell ref="O241"/>
    <mergeCell ref="W241"/>
    <mergeCell ref="V241"/>
    <mergeCell ref="R241"/>
    <mergeCell ref="S241"/>
    <mergeCell ref="U241"/>
    <mergeCell ref="Z241"/>
    <mergeCell ref="J242"/>
    <mergeCell ref="L241"/>
    <mergeCell ref="F242"/>
    <mergeCell ref="M242"/>
    <mergeCell ref="H241"/>
    <mergeCell ref="R276"/>
    <mergeCell ref="X276"/>
    <mergeCell ref="P277"/>
    <mergeCell ref="J277"/>
    <mergeCell ref="N242"/>
    <mergeCell ref="L246"/>
    <mergeCell ref="U246"/>
    <mergeCell ref="N246"/>
    <mergeCell ref="P246"/>
    <mergeCell ref="U264"/>
    <mergeCell ref="H265"/>
    <mergeCell ref="M264"/>
    <mergeCell ref="Q265"/>
    <mergeCell ref="F266"/>
    <mergeCell ref="G266"/>
    <mergeCell ref="H266"/>
    <mergeCell ref="M267"/>
    <mergeCell ref="W261"/>
    <mergeCell ref="X261"/>
    <mergeCell ref="Y261"/>
    <mergeCell ref="Y267"/>
    <mergeCell ref="Z252"/>
    <mergeCell ref="Z254"/>
    <mergeCell ref="P253"/>
    <mergeCell ref="X253"/>
    <mergeCell ref="W254"/>
    <mergeCell ref="X254"/>
    <mergeCell ref="Z268"/>
    <mergeCell ref="H261"/>
    <mergeCell ref="G261"/>
    <mergeCell ref="O261"/>
    <mergeCell ref="T262"/>
    <mergeCell ref="M249"/>
    <mergeCell ref="W249"/>
    <mergeCell ref="R249"/>
    <mergeCell ref="T249"/>
    <mergeCell ref="M248"/>
    <mergeCell ref="S248"/>
    <mergeCell ref="I255"/>
    <mergeCell ref="T255"/>
    <mergeCell ref="G255"/>
    <mergeCell ref="R255"/>
    <mergeCell ref="Q252"/>
    <mergeCell ref="R252"/>
    <mergeCell ref="M251"/>
    <mergeCell ref="M250"/>
    <mergeCell ref="L250"/>
    <mergeCell ref="I250"/>
    <mergeCell ref="J250"/>
    <mergeCell ref="K250"/>
    <mergeCell ref="W256"/>
    <mergeCell ref="Z245"/>
    <mergeCell ref="T244"/>
    <mergeCell ref="X244"/>
    <mergeCell ref="V249"/>
    <mergeCell ref="Y249"/>
    <mergeCell ref="Z255"/>
    <mergeCell ref="Z251"/>
    <mergeCell ref="Z250"/>
    <mergeCell ref="Y248"/>
    <mergeCell ref="Z247"/>
    <mergeCell ref="M246"/>
    <mergeCell ref="Y246"/>
    <mergeCell ref="K247"/>
    <mergeCell ref="L247"/>
    <mergeCell ref="O250"/>
    <mergeCell ref="X250"/>
    <mergeCell ref="R250"/>
    <mergeCell ref="U250"/>
    <mergeCell ref="L263"/>
    <mergeCell ref="W263"/>
    <mergeCell ref="G263"/>
    <mergeCell ref="W255"/>
    <mergeCell ref="O254"/>
    <mergeCell ref="H254"/>
    <mergeCell ref="M253"/>
    <mergeCell ref="K249"/>
    <mergeCell ref="U249"/>
    <mergeCell ref="J248"/>
    <mergeCell ref="H249"/>
    <mergeCell ref="Q248"/>
    <mergeCell ref="R247"/>
    <mergeCell ref="U247"/>
    <mergeCell ref="T247"/>
    <mergeCell ref="S247"/>
    <mergeCell ref="K248"/>
    <mergeCell ref="U248"/>
    <mergeCell ref="E260"/>
    <mergeCell ref="E244"/>
    <mergeCell ref="E246"/>
    <mergeCell ref="U260"/>
    <mergeCell ref="Z248"/>
    <mergeCell ref="M247"/>
    <mergeCell ref="W259"/>
    <mergeCell ref="X259"/>
    <mergeCell ref="Y259"/>
    <mergeCell ref="M260"/>
    <mergeCell ref="F247"/>
    <mergeCell ref="J246"/>
    <mergeCell ref="S246"/>
    <mergeCell ref="K253"/>
    <mergeCell ref="Y253"/>
    <mergeCell ref="O253"/>
    <mergeCell ref="W253"/>
    <mergeCell ref="V253"/>
    <mergeCell ref="Q253"/>
    <mergeCell ref="S253"/>
    <mergeCell ref="G249"/>
    <mergeCell ref="K254"/>
    <mergeCell ref="Q249"/>
    <mergeCell ref="Z246"/>
    <mergeCell ref="N247"/>
    <mergeCell ref="Y247"/>
    <mergeCell ref="Y244"/>
    <mergeCell ref="M245"/>
    <mergeCell ref="N244"/>
    <mergeCell ref="V254"/>
    <mergeCell ref="F248"/>
    <mergeCell ref="J247"/>
    <mergeCell ref="H246"/>
    <mergeCell ref="H248"/>
    <mergeCell ref="I247"/>
    <mergeCell ref="H247"/>
    <mergeCell ref="X245"/>
    <mergeCell ref="E250"/>
    <mergeCell ref="E253"/>
    <mergeCell ref="T250"/>
    <mergeCell ref="F254"/>
    <mergeCell ref="E248"/>
    <mergeCell ref="Z273"/>
    <mergeCell ref="M283"/>
    <mergeCell ref="R278"/>
    <mergeCell ref="Q278"/>
    <mergeCell ref="N278"/>
    <mergeCell ref="Y262"/>
    <mergeCell ref="L282"/>
    <mergeCell ref="G277"/>
    <mergeCell ref="Y278"/>
    <mergeCell ref="Z278"/>
    <mergeCell ref="Y279"/>
    <mergeCell ref="Z279"/>
    <mergeCell ref="Z267"/>
    <mergeCell ref="I268"/>
    <mergeCell ref="N266"/>
    <mergeCell ref="R267"/>
    <mergeCell ref="K267"/>
    <mergeCell ref="H267"/>
    <mergeCell ref="P266"/>
    <mergeCell ref="M266"/>
    <mergeCell ref="O266"/>
    <mergeCell ref="M265"/>
    <mergeCell ref="Z277"/>
    <mergeCell ref="T283"/>
    <mergeCell ref="W283"/>
    <mergeCell ref="J280"/>
    <mergeCell ref="K280"/>
    <mergeCell ref="V268"/>
    <mergeCell ref="U268"/>
    <mergeCell ref="Y268"/>
    <mergeCell ref="X268"/>
    <mergeCell ref="W268"/>
    <mergeCell ref="Y265"/>
    <mergeCell ref="O265"/>
    <mergeCell ref="P265"/>
    <mergeCell ref="R265"/>
    <mergeCell ref="W265"/>
    <mergeCell ref="M269"/>
    <mergeCell ref="X269"/>
    <mergeCell ref="K270"/>
    <mergeCell ref="Z264"/>
    <mergeCell ref="L269"/>
    <mergeCell ref="G282"/>
    <mergeCell ref="O268"/>
    <mergeCell ref="Q267"/>
    <mergeCell ref="M268"/>
    <mergeCell ref="J268"/>
    <mergeCell ref="S267"/>
    <mergeCell ref="Y282"/>
    <mergeCell ref="Y283"/>
    <mergeCell ref="T270"/>
    <mergeCell ref="R270"/>
    <mergeCell ref="G262"/>
    <mergeCell ref="L262"/>
    <mergeCell ref="J262"/>
    <mergeCell ref="N262"/>
    <mergeCell ref="Z282"/>
    <mergeCell ref="Z283"/>
    <mergeCell ref="M282"/>
    <mergeCell ref="Y276"/>
    <mergeCell ref="I265"/>
    <mergeCell ref="L267"/>
    <mergeCell ref="Q270"/>
    <mergeCell ref="T271"/>
    <mergeCell ref="Z214"/>
    <mergeCell ref="J214"/>
    <mergeCell ref="X214"/>
    <mergeCell ref="W214"/>
    <mergeCell ref="V214"/>
    <mergeCell ref="L214"/>
    <mergeCell ref="O214"/>
    <mergeCell ref="O234"/>
    <mergeCell ref="I221"/>
    <mergeCell ref="P221"/>
    <mergeCell ref="I222"/>
    <mergeCell ref="O215"/>
    <mergeCell ref="J212"/>
    <mergeCell ref="Q213"/>
    <mergeCell ref="F213"/>
    <mergeCell ref="Z260"/>
    <mergeCell ref="H259"/>
    <mergeCell ref="M259"/>
    <mergeCell ref="F260"/>
    <mergeCell ref="S244"/>
    <mergeCell ref="X246"/>
    <mergeCell ref="O247"/>
    <mergeCell ref="P247"/>
    <mergeCell ref="O246"/>
    <mergeCell ref="T246"/>
    <mergeCell ref="R246"/>
    <mergeCell ref="V246"/>
    <mergeCell ref="Q246"/>
    <mergeCell ref="U244"/>
    <mergeCell ref="J244"/>
    <mergeCell ref="K244"/>
    <mergeCell ref="J241"/>
    <mergeCell ref="S242"/>
    <mergeCell ref="N258"/>
    <mergeCell ref="P260"/>
    <mergeCell ref="Y260"/>
    <mergeCell ref="T260"/>
    <mergeCell ref="R260"/>
    <mergeCell ref="N259"/>
    <mergeCell ref="Z242"/>
    <mergeCell ref="Y243"/>
    <mergeCell ref="Z243"/>
    <mergeCell ref="Y255"/>
    <mergeCell ref="O255"/>
    <mergeCell ref="U255"/>
    <mergeCell ref="P255"/>
    <mergeCell ref="Q255"/>
    <mergeCell ref="Z244"/>
    <mergeCell ref="P244"/>
    <mergeCell ref="F255"/>
    <mergeCell ref="N255"/>
    <mergeCell ref="J255"/>
    <mergeCell ref="H255"/>
    <mergeCell ref="S237"/>
    <mergeCell ref="F250"/>
    <mergeCell ref="L251"/>
    <mergeCell ref="M252"/>
    <mergeCell ref="J260"/>
    <mergeCell ref="W260"/>
    <mergeCell ref="L260"/>
    <mergeCell ref="G216"/>
    <mergeCell ref="F216"/>
    <mergeCell ref="Z223"/>
    <mergeCell ref="U223"/>
    <mergeCell ref="O5"/>
    <mergeCell ref="N5"/>
    <mergeCell ref="M5"/>
    <mergeCell ref="P4"/>
    <mergeCell ref="M4"/>
    <mergeCell ref="Y55"/>
    <mergeCell ref="N215"/>
    <mergeCell ref="G215"/>
    <mergeCell ref="I215"/>
    <mergeCell ref="M214"/>
    <mergeCell ref="T214"/>
    <mergeCell ref="H214"/>
    <mergeCell ref="C217"/>
    <mergeCell ref="X228"/>
    <mergeCell ref="Y228"/>
    <mergeCell ref="Z233"/>
    <mergeCell ref="E234"/>
    <mergeCell ref="X235"/>
    <mergeCell ref="M235"/>
    <mergeCell ref="U235"/>
    <mergeCell ref="Q235"/>
    <mergeCell ref="O203"/>
    <mergeCell ref="X203"/>
    <mergeCell ref="C214"/>
    <mergeCell ref="C212"/>
    <mergeCell ref="D234"/>
    <mergeCell ref="C235"/>
    <mergeCell ref="J222"/>
    <mergeCell ref="K222"/>
    <mergeCell ref="Z222"/>
    <mergeCell ref="Z225"/>
    <mergeCell ref="I226"/>
    <mergeCell ref="K232"/>
    <mergeCell ref="F207"/>
    <mergeCell ref="M206"/>
    <mergeCell ref="H207"/>
    <mergeCell ref="L206"/>
    <mergeCell ref="J205"/>
    <mergeCell ref="S215"/>
    <mergeCell ref="H215"/>
    <mergeCell ref="Q215"/>
    <mergeCell ref="P215"/>
    <mergeCell ref="M215"/>
    <mergeCell ref="K215"/>
    <mergeCell ref="J215"/>
    <mergeCell ref="P211"/>
    <mergeCell ref="O212"/>
    <mergeCell ref="N211"/>
    <mergeCell ref="F214"/>
    <mergeCell ref="I213"/>
    <mergeCell ref="E214"/>
    <mergeCell ref="K214"/>
    <mergeCell ref="O206"/>
    <mergeCell ref="D212"/>
    <mergeCell ref="J204"/>
    <mergeCell ref="T209"/>
    <mergeCell ref="P209"/>
    <mergeCell ref="R209"/>
    <mergeCell ref="Z74"/>
    <mergeCell ref="N196"/>
    <mergeCell ref="H198"/>
    <mergeCell ref="I198"/>
    <mergeCell ref="J198"/>
    <mergeCell ref="K198"/>
    <mergeCell ref="L1"/>
    <mergeCell ref="V1"/>
    <mergeCell ref="T1"/>
    <mergeCell ref="Q1"/>
    <mergeCell ref="V2"/>
    <mergeCell ref="W2"/>
    <mergeCell ref="X2"/>
    <mergeCell ref="Y2"/>
    <mergeCell ref="W4"/>
    <mergeCell ref="N4"/>
    <mergeCell ref="U4"/>
    <mergeCell ref="O4"/>
    <mergeCell ref="T4"/>
    <mergeCell ref="X4"/>
    <mergeCell ref="Y4"/>
    <mergeCell ref="Z4"/>
    <mergeCell ref="K2"/>
    <mergeCell ref="Q4"/>
    <mergeCell ref="P1"/>
    <mergeCell ref="L4"/>
    <mergeCell ref="W9"/>
    <mergeCell ref="N12"/>
    <mergeCell ref="Y12"/>
    <mergeCell ref="L16"/>
    <mergeCell ref="X15"/>
    <mergeCell ref="K15"/>
    <mergeCell ref="S14"/>
    <mergeCell ref="O15"/>
    <mergeCell ref="M15"/>
    <mergeCell ref="M13"/>
    <mergeCell ref="Y8"/>
    <mergeCell ref="K10"/>
    <mergeCell ref="V9"/>
    <mergeCell ref="X9"/>
    <mergeCell ref="Q12"/>
    <mergeCell ref="M14"/>
    <mergeCell ref="S13"/>
    <mergeCell ref="V12"/>
    <mergeCell ref="O13"/>
    <mergeCell ref="U13"/>
    <mergeCell ref="V13"/>
    <mergeCell ref="W13"/>
    <mergeCell ref="X13"/>
    <mergeCell ref="Y13"/>
    <mergeCell ref="Z13"/>
    <mergeCell ref="X6"/>
    <mergeCell ref="T9"/>
    <mergeCell ref="K12"/>
    <mergeCell ref="U9"/>
    <mergeCell ref="O1"/>
    <mergeCell ref="Q5"/>
    <mergeCell ref="Y5"/>
    <mergeCell ref="U5"/>
    <mergeCell ref="R7"/>
    <mergeCell ref="O10"/>
    <mergeCell ref="N8"/>
    <mergeCell ref="N11"/>
    <mergeCell ref="O11"/>
    <mergeCell ref="U6"/>
    <mergeCell ref="W7"/>
    <mergeCell ref="K16"/>
    <mergeCell ref="Y15"/>
    <mergeCell ref="K5"/>
    <mergeCell ref="R4"/>
    <mergeCell ref="T166"/>
    <mergeCell ref="U166"/>
    <mergeCell ref="W156"/>
    <mergeCell ref="M157"/>
    <mergeCell ref="K19"/>
    <mergeCell ref="L34"/>
    <mergeCell ref="X34"/>
    <mergeCell ref="K35"/>
    <mergeCell ref="L35"/>
    <mergeCell ref="Q151"/>
    <mergeCell ref="O151"/>
    <mergeCell ref="P11"/>
    <mergeCell ref="Q11"/>
    <mergeCell ref="K210"/>
    <mergeCell ref="W73"/>
    <mergeCell ref="S74"/>
    <mergeCell ref="S255"/>
    <mergeCell ref="N16"/>
    <mergeCell ref="R72"/>
    <mergeCell ref="V72"/>
    <mergeCell ref="T198"/>
    <mergeCell ref="Q237"/>
    <mergeCell ref="T237"/>
    <mergeCell ref="U237"/>
    <mergeCell ref="W237"/>
    <mergeCell ref="V236"/>
    <mergeCell ref="N236"/>
    <mergeCell ref="X238"/>
    <mergeCell ref="M241"/>
    <mergeCell ref="L167"/>
    <mergeCell ref="X167"/>
    <mergeCell ref="Y148"/>
    <mergeCell ref="Y33"/>
    <mergeCell ref="O34"/>
    <mergeCell ref="M34"/>
    <mergeCell ref="L33"/>
    <mergeCell ref="Y42"/>
    <mergeCell ref="W43"/>
    <mergeCell ref="N43"/>
    <mergeCell ref="U43"/>
    <mergeCell ref="O43"/>
    <mergeCell ref="R43"/>
    <mergeCell ref="O156"/>
    <mergeCell ref="S156"/>
    <mergeCell ref="T156"/>
    <mergeCell ref="U156"/>
    <mergeCell ref="V156"/>
    <mergeCell ref="N158"/>
    <mergeCell ref="R242"/>
    <mergeCell ref="Q242"/>
    <mergeCell ref="P242"/>
    <mergeCell ref="O242"/>
    <mergeCell ref="L243"/>
    <mergeCell ref="X242"/>
    <mergeCell ref="N243"/>
    <mergeCell ref="V242"/>
    <mergeCell ref="O167"/>
    <mergeCell ref="N167"/>
    <mergeCell ref="K167"/>
    <mergeCell ref="K160"/>
    <mergeCell ref="Y162"/>
    <mergeCell ref="Q162"/>
    <mergeCell ref="O162"/>
    <mergeCell ref="U161"/>
    <mergeCell ref="A273"/>
    <mergeCell ref="F278"/>
    <mergeCell ref="V277"/>
    <mergeCell ref="A302"/>
    <mergeCell ref="B302"/>
    <mergeCell ref="C302"/>
    <mergeCell ref="K302"/>
    <mergeCell ref="X302"/>
    <mergeCell ref="W302"/>
    <mergeCell ref="F302"/>
    <mergeCell ref="G302"/>
    <mergeCell ref="B316"/>
    <mergeCell ref="C303"/>
    <mergeCell ref="K301"/>
    <mergeCell ref="O300"/>
    <mergeCell ref="R301"/>
    <mergeCell ref="D302"/>
    <mergeCell ref="R290"/>
    <mergeCell ref="H292"/>
    <mergeCell ref="I292"/>
    <mergeCell ref="J292"/>
    <mergeCell ref="L280"/>
    <mergeCell ref="P281"/>
    <mergeCell ref="C283"/>
    <mergeCell ref="V283"/>
    <mergeCell ref="V285"/>
    <mergeCell ref="Q284"/>
    <mergeCell ref="P285"/>
    <mergeCell ref="O286"/>
    <mergeCell ref="F291"/>
    <mergeCell ref="G291"/>
    <mergeCell ref="F292"/>
    <mergeCell ref="Y287"/>
    <mergeCell ref="O287"/>
    <mergeCell ref="W287"/>
    <mergeCell ref="V287"/>
    <mergeCell ref="A276"/>
    <mergeCell ref="B276"/>
    <mergeCell ref="M301"/>
    <mergeCell ref="W301"/>
    <mergeCell ref="D280"/>
    <mergeCell ref="X279"/>
    <mergeCell ref="X280"/>
    <mergeCell ref="F301"/>
    <mergeCell ref="K288"/>
    <mergeCell ref="D294"/>
    <mergeCell ref="S293"/>
    <mergeCell ref="H290"/>
    <mergeCell ref="S290"/>
    <mergeCell ref="C291"/>
    <mergeCell ref="D291"/>
    <mergeCell ref="G290"/>
    <mergeCell ref="O290"/>
    <mergeCell ref="K290"/>
    <mergeCell ref="I290"/>
    <mergeCell ref="J293"/>
    <mergeCell ref="W293"/>
    <mergeCell ref="M290"/>
    <mergeCell ref="C293"/>
    <mergeCell ref="Q292"/>
    <mergeCell ref="T291"/>
    <mergeCell ref="M291"/>
    <mergeCell ref="C292"/>
    <mergeCell ref="L292"/>
    <mergeCell ref="T281"/>
    <mergeCell ref="U281"/>
    <mergeCell ref="Z281"/>
    <mergeCell ref="U284"/>
    <mergeCell ref="O285"/>
    <mergeCell ref="G297"/>
    <mergeCell ref="W285"/>
    <mergeCell ref="X285"/>
    <mergeCell ref="G298"/>
    <mergeCell ref="H298"/>
    <mergeCell ref="I298"/>
    <mergeCell ref="J298"/>
    <mergeCell ref="P298"/>
    <mergeCell ref="K285"/>
    <mergeCell ref="N291"/>
    <mergeCell ref="X291"/>
    <mergeCell ref="R291"/>
    <mergeCell ref="U291"/>
    <mergeCell ref="H289"/>
    <mergeCell ref="N294"/>
    <mergeCell ref="Z291"/>
    <mergeCell ref="G292"/>
    <mergeCell ref="Z290"/>
    <mergeCell ref="X282"/>
    <mergeCell ref="K284"/>
    <mergeCell ref="G284"/>
    <mergeCell ref="G285"/>
    <mergeCell ref="H285"/>
    <mergeCell ref="I285"/>
    <mergeCell ref="F284"/>
    <mergeCell ref="F285"/>
    <mergeCell ref="U285"/>
    <mergeCell ref="T285"/>
    <mergeCell ref="Q285"/>
    <mergeCell ref="R285"/>
    <mergeCell ref="S284"/>
    <mergeCell ref="N284"/>
    <mergeCell ref="V284"/>
    <mergeCell ref="J285"/>
    <mergeCell ref="F290"/>
    <mergeCell ref="G287"/>
    <mergeCell ref="T287"/>
    <mergeCell ref="Z284"/>
    <mergeCell ref="P289"/>
    <mergeCell ref="T289"/>
    <mergeCell ref="L289"/>
    <mergeCell ref="R289"/>
    <mergeCell ref="M289"/>
    <mergeCell ref="S294"/>
    <mergeCell ref="Z308"/>
    <mergeCell ref="N302"/>
    <mergeCell ref="P302"/>
    <mergeCell ref="E302"/>
    <mergeCell ref="A300"/>
    <mergeCell ref="G301"/>
    <mergeCell ref="H301"/>
    <mergeCell ref="L304"/>
    <mergeCell ref="D305"/>
    <mergeCell ref="D306"/>
    <mergeCell ref="Z306"/>
    <mergeCell ref="Q306"/>
    <mergeCell ref="X306"/>
    <mergeCell ref="H300"/>
    <mergeCell ref="U300"/>
    <mergeCell ref="A307"/>
    <mergeCell ref="B307"/>
    <mergeCell ref="U301"/>
    <mergeCell ref="I304"/>
    <mergeCell ref="S304"/>
    <mergeCell ref="M304"/>
    <mergeCell ref="Y304"/>
    <mergeCell ref="D308"/>
    <mergeCell ref="H307"/>
    <mergeCell ref="D303"/>
    <mergeCell ref="A301"/>
    <mergeCell ref="D307"/>
    <mergeCell ref="Z302"/>
    <mergeCell ref="F303"/>
    <mergeCell ref="N298"/>
    <mergeCell ref="J296"/>
    <mergeCell ref="T296"/>
    <mergeCell ref="O296"/>
    <mergeCell ref="M296"/>
    <mergeCell ref="C297"/>
    <mergeCell ref="B299"/>
    <mergeCell ref="C299"/>
    <mergeCell ref="D299"/>
    <mergeCell ref="Z304"/>
    <mergeCell ref="P304"/>
    <mergeCell ref="T304"/>
    <mergeCell ref="R304"/>
    <mergeCell ref="N299"/>
    <mergeCell ref="J304"/>
    <mergeCell ref="E305"/>
    <mergeCell ref="B304"/>
    <mergeCell ref="D304"/>
    <mergeCell ref="N303"/>
    <mergeCell ref="V303"/>
    <mergeCell ref="U303"/>
    <mergeCell ref="T303"/>
    <mergeCell ref="Q298"/>
    <mergeCell ref="Y296"/>
    <mergeCell ref="Z296"/>
    <mergeCell ref="N307"/>
    <mergeCell ref="O307"/>
    <mergeCell ref="P307"/>
    <mergeCell ref="E306"/>
    <mergeCell ref="K306"/>
    <mergeCell ref="V306"/>
    <mergeCell ref="P306"/>
    <mergeCell ref="R306"/>
    <mergeCell ref="G307"/>
    <mergeCell ref="Z301"/>
    <mergeCell ref="A283"/>
    <mergeCell ref="C284"/>
    <mergeCell ref="N283"/>
    <mergeCell ref="B287"/>
    <mergeCell ref="A281"/>
    <mergeCell ref="S285"/>
    <mergeCell ref="R287"/>
    <mergeCell ref="J287"/>
    <mergeCell ref="A289"/>
    <mergeCell ref="B289"/>
    <mergeCell ref="J290"/>
    <mergeCell ref="U290"/>
    <mergeCell ref="H291"/>
    <mergeCell ref="I291"/>
    <mergeCell ref="J291"/>
    <mergeCell ref="X290"/>
    <mergeCell ref="N290"/>
    <mergeCell ref="T290"/>
    <mergeCell ref="A294"/>
    <mergeCell ref="M293"/>
    <mergeCell ref="O293"/>
    <mergeCell ref="A295"/>
    <mergeCell ref="B295"/>
    <mergeCell ref="F295"/>
    <mergeCell ref="P303"/>
    <mergeCell ref="I302"/>
    <mergeCell ref="Z305"/>
    <mergeCell ref="M302"/>
    <mergeCell ref="L302"/>
    <mergeCell ref="O302"/>
    <mergeCell ref="C304"/>
    <mergeCell ref="Z303"/>
    <mergeCell ref="H304"/>
    <mergeCell ref="Q304"/>
    <mergeCell ref="E303"/>
    <mergeCell ref="U302"/>
    <mergeCell ref="Q302"/>
    <mergeCell ref="S302"/>
    <mergeCell ref="I303"/>
    <mergeCell ref="V302"/>
    <mergeCell ref="O303"/>
    <mergeCell ref="U305"/>
    <mergeCell ref="W305"/>
    <mergeCell ref="N304"/>
    <mergeCell ref="C305"/>
    <mergeCell ref="G305"/>
    <mergeCell ref="X298"/>
    <mergeCell ref="N295"/>
    <mergeCell ref="Q293"/>
    <mergeCell ref="C294"/>
    <mergeCell ref="K294"/>
    <mergeCell ref="W294"/>
    <mergeCell ref="F294"/>
    <mergeCell ref="K293"/>
    <mergeCell ref="B301"/>
    <mergeCell ref="C301"/>
    <mergeCell ref="D301"/>
    <mergeCell ref="J301"/>
    <mergeCell ref="L301"/>
    <mergeCell ref="N300"/>
    <mergeCell ref="T300"/>
    <mergeCell ref="I301"/>
    <mergeCell ref="P301"/>
    <mergeCell ref="Q301"/>
    <mergeCell ref="B292"/>
    <mergeCell ref="L293"/>
    <mergeCell ref="Z295"/>
    <mergeCell ref="P294"/>
    <mergeCell ref="Y294"/>
    <mergeCell ref="V294"/>
    <mergeCell ref="X294"/>
    <mergeCell ref="B294"/>
    <mergeCell ref="Z293"/>
    <mergeCell ref="N293"/>
    <mergeCell ref="R293"/>
    <mergeCell ref="T293"/>
    <mergeCell ref="U293"/>
    <mergeCell ref="V293"/>
    <mergeCell ref="X293"/>
    <mergeCell ref="H294"/>
    <mergeCell ref="U294"/>
    <mergeCell ref="G295"/>
    <mergeCell ref="P295"/>
    <mergeCell ref="A284"/>
    <mergeCell ref="A285"/>
    <mergeCell ref="B285"/>
    <mergeCell ref="C285"/>
    <mergeCell ref="D285"/>
    <mergeCell ref="E285"/>
    <mergeCell ref="W284"/>
    <mergeCell ref="M285"/>
    <mergeCell ref="A287"/>
    <mergeCell ref="I287"/>
    <mergeCell ref="D286"/>
    <mergeCell ref="L286"/>
    <mergeCell ref="W286"/>
    <mergeCell ref="B284"/>
    <mergeCell ref="H286"/>
    <mergeCell ref="A286"/>
    <mergeCell ref="C286"/>
    <mergeCell ref="K286"/>
    <mergeCell ref="F286"/>
    <mergeCell ref="B293"/>
    <mergeCell ref="H295"/>
    <mergeCell ref="I293"/>
    <mergeCell ref="Q294"/>
    <mergeCell ref="I294"/>
    <mergeCell ref="M294"/>
    <mergeCell ref="J294"/>
    <mergeCell ref="O294"/>
    <mergeCell ref="Z288"/>
    <mergeCell ref="M286"/>
    <mergeCell ref="C287"/>
    <mergeCell ref="Z286"/>
    <mergeCell ref="D290"/>
    <mergeCell ref="E291"/>
    <mergeCell ref="Z270"/>
    <mergeCell ref="M271"/>
    <mergeCell ref="W270"/>
    <mergeCell ref="U270"/>
    <mergeCell ref="Z271"/>
    <mergeCell ref="O279"/>
    <mergeCell ref="S281"/>
    <mergeCell ref="U280"/>
    <mergeCell ref="H282"/>
    <mergeCell ref="E281"/>
    <mergeCell ref="B282"/>
    <mergeCell ref="E282"/>
    <mergeCell ref="F280"/>
    <mergeCell ref="Z272"/>
    <mergeCell ref="Q272"/>
    <mergeCell ref="V272"/>
    <mergeCell ref="S272"/>
    <mergeCell ref="X272"/>
    <mergeCell ref="E273"/>
    <mergeCell ref="F273"/>
    <mergeCell ref="G273"/>
    <mergeCell ref="D273"/>
    <mergeCell ref="U272"/>
    <mergeCell ref="P273"/>
    <mergeCell ref="N286"/>
    <mergeCell ref="Y286"/>
    <mergeCell ref="I286"/>
    <mergeCell ref="U286"/>
    <mergeCell ref="E286"/>
    <mergeCell ref="S286"/>
    <mergeCell ref="P286"/>
    <mergeCell ref="V286"/>
    <mergeCell ref="Q286"/>
    <mergeCell ref="R286"/>
    <mergeCell ref="T286"/>
    <mergeCell ref="X286"/>
    <mergeCell ref="W279"/>
    <mergeCell ref="N280"/>
    <mergeCell ref="M279"/>
    <mergeCell ref="J281"/>
    <mergeCell ref="E280"/>
    <mergeCell ref="G270"/>
    <mergeCell ref="H270"/>
    <mergeCell ref="B281"/>
    <mergeCell ref="V280"/>
    <mergeCell ref="Q281"/>
    <mergeCell ref="Y281"/>
    <mergeCell ref="M281"/>
    <mergeCell ref="G280"/>
    <mergeCell ref="D281"/>
    <mergeCell ref="G281"/>
    <mergeCell ref="I281"/>
    <mergeCell ref="N281"/>
    <mergeCell ref="J279"/>
    <mergeCell ref="B280"/>
    <mergeCell ref="I280"/>
    <mergeCell ref="B278"/>
    <mergeCell ref="C278"/>
    <mergeCell ref="Y285"/>
    <mergeCell ref="Z285"/>
    <mergeCell ref="E284"/>
    <mergeCell ref="J286"/>
    <mergeCell ref="C281"/>
    <mergeCell ref="W281"/>
    <mergeCell ref="Z321"/>
    <mergeCell ref="B322"/>
    <mergeCell ref="E312"/>
    <mergeCell ref="F312"/>
    <mergeCell ref="Z312"/>
    <mergeCell ref="F313"/>
    <mergeCell ref="B313"/>
    <mergeCell ref="C313"/>
    <mergeCell ref="C320"/>
    <mergeCell ref="W318"/>
    <mergeCell ref="N316"/>
    <mergeCell ref="T317"/>
    <mergeCell ref="S317"/>
    <mergeCell ref="Q317"/>
    <mergeCell ref="P312"/>
    <mergeCell ref="W312"/>
    <mergeCell ref="G313"/>
    <mergeCell ref="L312"/>
    <mergeCell ref="N319"/>
    <mergeCell ref="V318"/>
    <mergeCell ref="Z319"/>
    <mergeCell ref="F318"/>
    <mergeCell ref="K318"/>
    <mergeCell ref="Z318"/>
    <mergeCell ref="N317"/>
    <mergeCell ref="M312"/>
    <mergeCell ref="R314"/>
    <mergeCell ref="Q314"/>
    <mergeCell ref="P314"/>
    <mergeCell ref="O314"/>
    <mergeCell ref="N314"/>
    <mergeCell ref="D314"/>
    <mergeCell ref="K314"/>
    <mergeCell ref="L314"/>
    <mergeCell ref="D318"/>
    <mergeCell ref="X318"/>
    <mergeCell ref="G312"/>
    <mergeCell ref="H312"/>
    <mergeCell ref="E316"/>
    <mergeCell ref="E317"/>
    <mergeCell ref="F317"/>
    <mergeCell ref="E318"/>
    <mergeCell ref="F315"/>
    <mergeCell ref="R313"/>
    <mergeCell ref="J315"/>
    <mergeCell ref="W315"/>
    <mergeCell ref="V322"/>
    <mergeCell ref="B319"/>
    <mergeCell ref="C312"/>
    <mergeCell ref="D312"/>
    <mergeCell ref="N312"/>
    <mergeCell ref="X312"/>
    <mergeCell ref="S312"/>
    <mergeCell ref="U312"/>
    <mergeCell ref="C316"/>
    <mergeCell ref="D316"/>
    <mergeCell ref="V313"/>
    <mergeCell ref="G318"/>
    <mergeCell ref="B318"/>
    <mergeCell ref="C318"/>
    <mergeCell ref="Q319"/>
    <mergeCell ref="K320"/>
    <mergeCell ref="W320"/>
    <mergeCell ref="H321"/>
    <mergeCell ref="Y310"/>
    <mergeCell ref="E309"/>
    <mergeCell ref="G311"/>
    <mergeCell ref="N308"/>
    <mergeCell ref="Y301"/>
    <mergeCell ref="G328"/>
    <mergeCell ref="Z323"/>
    <mergeCell ref="N324"/>
    <mergeCell ref="Z324"/>
    <mergeCell ref="Y322"/>
    <mergeCell ref="L324"/>
    <mergeCell ref="W323"/>
    <mergeCell ref="R324"/>
    <mergeCell ref="Q324"/>
    <mergeCell ref="P324"/>
    <mergeCell ref="O324"/>
    <mergeCell ref="U323"/>
    <mergeCell ref="S322"/>
    <mergeCell ref="K323"/>
    <mergeCell ref="I324"/>
    <mergeCell ref="J324"/>
    <mergeCell ref="M323"/>
    <mergeCell ref="X323"/>
    <mergeCell ref="V323"/>
    <mergeCell ref="T312"/>
    <mergeCell ref="J313"/>
    <mergeCell ref="J314"/>
    <mergeCell ref="S320"/>
    <mergeCell ref="P320"/>
    <mergeCell ref="O321"/>
    <mergeCell ref="U321"/>
    <mergeCell ref="P319"/>
    <mergeCell ref="Q321"/>
    <mergeCell ref="S321"/>
    <mergeCell ref="T318"/>
    <mergeCell ref="X320"/>
    <mergeCell ref="J317"/>
    <mergeCell ref="R318"/>
    <mergeCell ref="T325"/>
    <mergeCell ref="U319"/>
    <mergeCell ref="G320"/>
    <mergeCell ref="Q320"/>
    <mergeCell ref="W321"/>
    <mergeCell ref="P321"/>
    <mergeCell ref="Z314"/>
    <mergeCell ref="L323"/>
    <mergeCell ref="T323"/>
    <mergeCell ref="P323"/>
    <mergeCell ref="J312"/>
    <mergeCell ref="Q312"/>
    <mergeCell ref="G315"/>
    <mergeCell ref="U328"/>
    <mergeCell ref="V328"/>
    <mergeCell ref="W328"/>
    <mergeCell ref="X328"/>
    <mergeCell ref="Y328"/>
    <mergeCell ref="Z328"/>
    <mergeCell ref="Y312"/>
    <mergeCell ref="O328"/>
    <mergeCell ref="M315"/>
    <mergeCell ref="Q315"/>
    <mergeCell ref="H319"/>
    <mergeCell ref="K319"/>
    <mergeCell ref="H313"/>
    <mergeCell ref="A315"/>
    <mergeCell ref="L298"/>
    <mergeCell ref="P297"/>
    <mergeCell ref="T298"/>
    <mergeCell ref="A306"/>
    <mergeCell ref="B306"/>
    <mergeCell ref="A308"/>
    <mergeCell ref="I299"/>
    <mergeCell ref="D311"/>
    <mergeCell ref="C311"/>
    <mergeCell ref="D310"/>
    <mergeCell ref="X303"/>
    <mergeCell ref="K299"/>
    <mergeCell ref="O301"/>
    <mergeCell ref="T301"/>
    <mergeCell ref="V301"/>
    <mergeCell ref="E307"/>
    <mergeCell ref="J306"/>
    <mergeCell ref="H305"/>
    <mergeCell ref="Y316"/>
    <mergeCell ref="X315"/>
    <mergeCell ref="L315"/>
    <mergeCell ref="V315"/>
    <mergeCell ref="R315"/>
    <mergeCell ref="L316"/>
    <mergeCell ref="V316"/>
    <mergeCell ref="M317"/>
    <mergeCell ref="U314"/>
    <mergeCell ref="Y317"/>
    <mergeCell ref="M303"/>
    <mergeCell ref="S303"/>
    <mergeCell ref="N301"/>
    <mergeCell ref="E304"/>
    <mergeCell ref="F304"/>
    <mergeCell ref="V305"/>
    <mergeCell ref="K305"/>
    <mergeCell ref="T305"/>
    <mergeCell ref="S305"/>
    <mergeCell ref="P305"/>
    <mergeCell ref="N305"/>
    <mergeCell ref="R305"/>
    <mergeCell ref="K303"/>
    <mergeCell ref="L303"/>
    <mergeCell ref="Y302"/>
    <mergeCell ref="K308"/>
    <mergeCell ref="V308"/>
    <mergeCell ref="Y305"/>
    <mergeCell ref="L311"/>
    <mergeCell ref="W311"/>
    <mergeCell ref="Q311"/>
    <mergeCell ref="O312"/>
    <mergeCell ref="R312"/>
    <mergeCell ref="O317"/>
    <mergeCell ref="G316"/>
    <mergeCell ref="O316"/>
    <mergeCell ref="K316"/>
    <mergeCell ref="I316"/>
    <mergeCell ref="Q303"/>
    <mergeCell ref="R303"/>
    <mergeCell ref="Y303"/>
    <mergeCell ref="F310"/>
    <mergeCell ref="G310"/>
    <mergeCell ref="F311"/>
    <mergeCell ref="E311"/>
    <mergeCell ref="Z299"/>
    <mergeCell ref="B300"/>
    <mergeCell ref="C300"/>
    <mergeCell ref="D300"/>
    <mergeCell ref="E300"/>
    <mergeCell ref="N297"/>
    <mergeCell ref="I300"/>
    <mergeCell ref="P299"/>
    <mergeCell ref="A299"/>
    <mergeCell ref="Y298"/>
    <mergeCell ref="O299"/>
    <mergeCell ref="J300"/>
    <mergeCell ref="M300"/>
    <mergeCell ref="L300"/>
    <mergeCell ref="K300"/>
    <mergeCell ref="J299"/>
    <mergeCell ref="M299"/>
    <mergeCell ref="F300"/>
    <mergeCell ref="M298"/>
    <mergeCell ref="Q299"/>
    <mergeCell ref="G300"/>
    <mergeCell ref="W299"/>
    <mergeCell ref="L299"/>
    <mergeCell ref="R297"/>
    <mergeCell ref="L294"/>
    <mergeCell ref="Y295"/>
    <mergeCell ref="Z294"/>
    <mergeCell ref="G294"/>
    <mergeCell ref="E299"/>
    <mergeCell ref="F299"/>
    <mergeCell ref="G299"/>
    <mergeCell ref="H299"/>
    <mergeCell ref="Y300"/>
    <mergeCell ref="V300"/>
    <mergeCell ref="S300"/>
    <mergeCell ref="X300"/>
    <mergeCell ref="Z300"/>
    <mergeCell ref="M297"/>
    <mergeCell ref="V296"/>
    <mergeCell ref="Q296"/>
    <mergeCell ref="Y299"/>
    <mergeCell ref="W300"/>
    <mergeCell ref="R300"/>
    <mergeCell ref="P300"/>
    <mergeCell ref="K296"/>
    <mergeCell ref="X296"/>
    <mergeCell ref="Z298"/>
    <mergeCell ref="O298"/>
    <mergeCell ref="S298"/>
    <mergeCell ref="R298"/>
    <mergeCell ref="U298"/>
    <mergeCell ref="V298"/>
    <mergeCell ref="W298"/>
    <mergeCell ref="D297"/>
    <mergeCell ref="N296"/>
    <mergeCell ref="D298"/>
    <mergeCell ref="E298"/>
    <mergeCell ref="L297"/>
    <mergeCell ref="U297"/>
    <mergeCell ref="F298"/>
    <mergeCell ref="Z289"/>
    <mergeCell ref="Z297"/>
    <mergeCell ref="C296"/>
    <mergeCell ref="P296"/>
    <mergeCell ref="K295"/>
    <mergeCell ref="F297"/>
    <mergeCell ref="Y320"/>
    <mergeCell ref="M319"/>
    <mergeCell ref="N318"/>
    <mergeCell ref="T315"/>
    <mergeCell ref="Y315"/>
    <mergeCell ref="O325"/>
    <mergeCell ref="M325"/>
    <mergeCell ref="L327"/>
    <mergeCell ref="E327"/>
    <mergeCell ref="J326"/>
    <mergeCell ref="C327"/>
    <mergeCell ref="N326"/>
    <mergeCell ref="K298"/>
    <mergeCell ref="V292"/>
    <mergeCell ref="W292"/>
    <mergeCell ref="U292"/>
    <mergeCell ref="T292"/>
    <mergeCell ref="S292"/>
    <mergeCell ref="Y291"/>
    <mergeCell ref="O291"/>
    <mergeCell ref="S291"/>
    <mergeCell ref="P291"/>
    <mergeCell ref="W291"/>
    <mergeCell ref="A296"/>
    <mergeCell ref="B296"/>
    <mergeCell ref="J295"/>
    <mergeCell ref="V295"/>
    <mergeCell ref="M295"/>
    <mergeCell ref="E296"/>
    <mergeCell ref="I296"/>
    <mergeCell ref="I295"/>
    <mergeCell ref="G296"/>
    <mergeCell ref="R295"/>
    <mergeCell ref="D296"/>
    <mergeCell ref="M321"/>
    <mergeCell ref="E322"/>
    <mergeCell ref="A323"/>
    <mergeCell ref="B321"/>
    <mergeCell ref="C321"/>
    <mergeCell ref="D325"/>
    <mergeCell ref="R325"/>
    <mergeCell ref="D322"/>
    <mergeCell ref="C322"/>
    <mergeCell ref="X299"/>
    <mergeCell ref="V299"/>
    <mergeCell ref="U299"/>
    <mergeCell ref="T299"/>
    <mergeCell ref="S299"/>
    <mergeCell ref="R299"/>
    <mergeCell ref="I319"/>
    <mergeCell ref="A304"/>
    <mergeCell ref="Q300"/>
    <mergeCell ref="J302"/>
    <mergeCell ref="J303"/>
    <mergeCell ref="B308"/>
    <mergeCell ref="J307"/>
    <mergeCell ref="F308"/>
    <mergeCell ref="E308"/>
    <mergeCell ref="A292"/>
    <mergeCell ref="C315"/>
    <mergeCell ref="C298"/>
    <mergeCell ref="C273"/>
    <mergeCell ref="K289"/>
    <mergeCell ref="X289"/>
    <mergeCell ref="F287"/>
    <mergeCell ref="P287"/>
    <mergeCell ref="K287"/>
    <mergeCell ref="M287"/>
    <mergeCell ref="D288"/>
    <mergeCell ref="V288"/>
    <mergeCell ref="J288"/>
    <mergeCell ref="T288"/>
    <mergeCell ref="P288"/>
    <mergeCell ref="R288"/>
    <mergeCell ref="W288"/>
    <mergeCell ref="S288"/>
    <mergeCell ref="J289"/>
    <mergeCell ref="I288"/>
    <mergeCell ref="L287"/>
    <mergeCell ref="G288"/>
    <mergeCell ref="M288"/>
    <mergeCell ref="D289"/>
    <mergeCell ref="E289"/>
    <mergeCell ref="F289"/>
    <mergeCell ref="G289"/>
    <mergeCell ref="C288"/>
    <mergeCell ref="H288"/>
    <mergeCell ref="Q288"/>
    <mergeCell ref="I306"/>
    <mergeCell ref="C308"/>
    <mergeCell ref="Q305"/>
    <mergeCell ref="F306"/>
    <mergeCell ref="A288"/>
    <mergeCell ref="B288"/>
    <mergeCell ref="A313"/>
    <mergeCell ref="M311"/>
    <mergeCell ref="D313"/>
    <mergeCell ref="E313"/>
    <mergeCell ref="B315"/>
    <mergeCell ref="I308"/>
    <mergeCell ref="E310"/>
    <mergeCell ref="T308"/>
    <mergeCell ref="K309"/>
    <mergeCell ref="M308"/>
    <mergeCell ref="Q309"/>
    <mergeCell ref="I309"/>
    <mergeCell ref="X305"/>
    <mergeCell ref="N306"/>
    <mergeCell ref="A310"/>
    <mergeCell ref="C310"/>
    <mergeCell ref="L305"/>
    <mergeCell ref="S306"/>
    <mergeCell ref="H306"/>
    <mergeCell ref="W308"/>
    <mergeCell ref="J308"/>
    <mergeCell ref="U308"/>
    <mergeCell ref="Q308"/>
    <mergeCell ref="S308"/>
    <mergeCell ref="B305"/>
    <mergeCell ref="A305"/>
    <mergeCell ref="M305"/>
    <mergeCell ref="K307"/>
    <mergeCell ref="R320"/>
    <mergeCell ref="H320"/>
    <mergeCell ref="L320"/>
    <mergeCell ref="M320"/>
    <mergeCell ref="N320"/>
    <mergeCell ref="O320"/>
    <mergeCell ref="Q307"/>
    <mergeCell ref="W307"/>
    <mergeCell ref="O306"/>
    <mergeCell ref="R307"/>
    <mergeCell ref="X307"/>
    <mergeCell ref="T307"/>
    <mergeCell ref="X314"/>
    <mergeCell ref="U306"/>
    <mergeCell ref="W306"/>
    <mergeCell ref="M306"/>
    <mergeCell ref="F307"/>
    <mergeCell ref="X317"/>
    <mergeCell ref="W317"/>
    <mergeCell ref="V317"/>
    <mergeCell ref="I320"/>
    <mergeCell ref="X301"/>
    <mergeCell ref="V314"/>
    <mergeCell ref="W314"/>
    <mergeCell ref="U313"/>
    <mergeCell ref="Q313"/>
    <mergeCell ref="S313"/>
    <mergeCell ref="I314"/>
    <mergeCell ref="X316"/>
    <mergeCell ref="D320"/>
    <mergeCell ref="D317"/>
    <mergeCell ref="W275"/>
    <mergeCell ref="W273"/>
    <mergeCell ref="L307"/>
    <mergeCell ref="M307"/>
    <mergeCell ref="S315"/>
    <mergeCell ref="N315"/>
    <mergeCell ref="P315"/>
    <mergeCell ref="M314"/>
    <mergeCell ref="I315"/>
    <mergeCell ref="O315"/>
    <mergeCell ref="T314"/>
    <mergeCell ref="H315"/>
    <mergeCell ref="D315"/>
    <mergeCell ref="X310"/>
    <mergeCell ref="K310"/>
    <mergeCell ref="V310"/>
    <mergeCell ref="R310"/>
    <mergeCell ref="T310"/>
    <mergeCell ref="M313"/>
    <mergeCell ref="P313"/>
    <mergeCell ref="L313"/>
    <mergeCell ref="N313"/>
    <mergeCell ref="O313"/>
    <mergeCell ref="W290"/>
    <mergeCell ref="S301"/>
    <mergeCell ref="E301"/>
    <mergeCell ref="G303"/>
    <mergeCell ref="H303"/>
    <mergeCell ref="T302"/>
    <mergeCell ref="R302"/>
    <mergeCell ref="G304"/>
    <mergeCell ref="X281"/>
    <mergeCell ref="R281"/>
    <mergeCell ref="S327"/>
    <mergeCell ref="Q327"/>
    <mergeCell ref="P327"/>
    <mergeCell ref="T327"/>
    <mergeCell ref="I325"/>
    <mergeCell ref="K313"/>
    <mergeCell ref="X313"/>
    <mergeCell ref="A314"/>
    <mergeCell ref="B314"/>
    <mergeCell ref="C314"/>
    <mergeCell ref="R311"/>
    <mergeCell ref="I313"/>
    <mergeCell ref="F314"/>
    <mergeCell ref="G269"/>
    <mergeCell ref="Y269"/>
    <mergeCell ref="C270"/>
    <mergeCell ref="F270"/>
    <mergeCell ref="E270"/>
    <mergeCell ref="D270"/>
    <mergeCell ref="J269"/>
    <mergeCell ref="H269"/>
    <mergeCell ref="I269"/>
    <mergeCell ref="T269"/>
    <mergeCell ref="P269"/>
    <mergeCell ref="G272"/>
    <mergeCell ref="N272"/>
    <mergeCell ref="W272"/>
    <mergeCell ref="J271"/>
    <mergeCell ref="K271"/>
    <mergeCell ref="E274"/>
    <mergeCell ref="S273"/>
    <mergeCell ref="E272"/>
    <mergeCell ref="B270"/>
    <mergeCell ref="D269"/>
    <mergeCell ref="E269"/>
    <mergeCell ref="N270"/>
    <mergeCell ref="V270"/>
    <mergeCell ref="B271"/>
    <mergeCell ref="D326"/>
    <mergeCell ref="K327"/>
    <mergeCell ref="J327"/>
    <mergeCell ref="I327"/>
    <mergeCell ref="G327"/>
    <mergeCell ref="E326"/>
    <mergeCell ref="Q290"/>
    <mergeCell ref="V290"/>
    <mergeCell ref="Y290"/>
    <mergeCell ref="U322"/>
    <mergeCell ref="G323"/>
    <mergeCell ref="J323"/>
    <mergeCell ref="O322"/>
    <mergeCell ref="H323"/>
    <mergeCell ref="I323"/>
    <mergeCell ref="B325"/>
    <mergeCell ref="R323"/>
    <mergeCell ref="U307"/>
    <mergeCell ref="V307"/>
    <mergeCell ref="C307"/>
    <mergeCell ref="L306"/>
    <mergeCell ref="T319"/>
    <mergeCell ref="S319"/>
    <mergeCell ref="F320"/>
    <mergeCell ref="A326"/>
    <mergeCell ref="F326"/>
    <mergeCell ref="G330"/>
    <mergeCell ref="N330"/>
    <mergeCell ref="T332"/>
    <mergeCell ref="X332"/>
    <mergeCell ref="F331"/>
    <mergeCell ref="S331"/>
    <mergeCell ref="J332"/>
    <mergeCell ref="Y332"/>
    <mergeCell ref="H326"/>
    <mergeCell ref="Y270"/>
    <mergeCell ref="O272"/>
    <mergeCell ref="D274"/>
    <mergeCell ref="Y273"/>
    <mergeCell ref="P272"/>
    <mergeCell ref="S270"/>
    <mergeCell ref="P271"/>
    <mergeCell ref="W271"/>
    <mergeCell ref="L272"/>
    <mergeCell ref="M272"/>
    <mergeCell ref="H273"/>
    <mergeCell ref="N271"/>
    <mergeCell ref="N273"/>
    <mergeCell ref="M273"/>
    <mergeCell ref="L273"/>
    <mergeCell ref="K273"/>
    <mergeCell ref="J273"/>
    <mergeCell ref="O273"/>
    <mergeCell ref="O270"/>
    <mergeCell ref="Z327"/>
    <mergeCell ref="Z313"/>
    <mergeCell ref="E315"/>
    <mergeCell ref="U318"/>
    <mergeCell ref="O318"/>
    <mergeCell ref="Q318"/>
    <mergeCell ref="J316"/>
    <mergeCell ref="M318"/>
    <mergeCell ref="I318"/>
    <mergeCell ref="T321"/>
    <mergeCell ref="E320"/>
    <mergeCell ref="O319"/>
    <mergeCell ref="J320"/>
    <mergeCell ref="W313"/>
    <mergeCell ref="G314"/>
    <mergeCell ref="H314"/>
    <mergeCell ref="T313"/>
    <mergeCell ref="W319"/>
    <mergeCell ref="N321"/>
    <mergeCell ref="V312"/>
    <mergeCell ref="T306"/>
    <mergeCell ref="Y321"/>
    <mergeCell ref="K330"/>
    <mergeCell ref="V329"/>
    <mergeCell ref="Q328"/>
    <mergeCell ref="Y289"/>
    <mergeCell ref="N289"/>
    <mergeCell ref="W289"/>
    <mergeCell ref="V289"/>
    <mergeCell ref="U289"/>
    <mergeCell ref="O289"/>
    <mergeCell ref="S289"/>
    <mergeCell ref="Y272"/>
    <mergeCell ref="R272"/>
    <mergeCell ref="T272"/>
    <mergeCell ref="Y307"/>
    <mergeCell ref="A336"/>
    <mergeCell ref="E335"/>
    <mergeCell ref="G336"/>
    <mergeCell ref="F336"/>
    <mergeCell ref="E336"/>
    <mergeCell ref="D336"/>
    <mergeCell ref="C336"/>
    <mergeCell ref="O333"/>
    <mergeCell ref="V325"/>
    <mergeCell ref="S325"/>
    <mergeCell ref="Q325"/>
    <mergeCell ref="U325"/>
    <mergeCell ref="A334"/>
    <mergeCell ref="A329"/>
    <mergeCell ref="R326"/>
    <mergeCell ref="M326"/>
    <mergeCell ref="U326"/>
    <mergeCell ref="S326"/>
    <mergeCell ref="N328"/>
    <mergeCell ref="R329"/>
    <mergeCell ref="T328"/>
    <mergeCell ref="B327"/>
    <mergeCell ref="B334"/>
    <mergeCell ref="A332"/>
    <mergeCell ref="B332"/>
    <mergeCell ref="W332"/>
    <mergeCell ref="W339"/>
    <mergeCell ref="X327"/>
    <mergeCell ref="Z329"/>
    <mergeCell ref="Z330"/>
    <mergeCell ref="Z326"/>
    <mergeCell ref="F335"/>
    <mergeCell ref="Z335"/>
    <mergeCell ref="P335"/>
    <mergeCell ref="V335"/>
    <mergeCell ref="Q335"/>
    <mergeCell ref="R335"/>
    <mergeCell ref="T335"/>
    <mergeCell ref="X335"/>
    <mergeCell ref="K332"/>
    <mergeCell ref="L332"/>
    <mergeCell ref="M332"/>
    <mergeCell ref="Q332"/>
    <mergeCell ref="O332"/>
    <mergeCell ref="I332"/>
    <mergeCell ref="P332"/>
    <mergeCell ref="N332"/>
    <mergeCell ref="U331"/>
    <mergeCell ref="D332"/>
    <mergeCell ref="E332"/>
    <mergeCell ref="L331"/>
    <mergeCell ref="W331"/>
    <mergeCell ref="F332"/>
    <mergeCell ref="G332"/>
    <mergeCell ref="H332"/>
    <mergeCell ref="J339"/>
    <mergeCell ref="R327"/>
    <mergeCell ref="W327"/>
    <mergeCell ref="H339"/>
    <mergeCell ref="R339"/>
    <mergeCell ref="I331"/>
    <mergeCell ref="J333"/>
    <mergeCell ref="Z332"/>
    <mergeCell ref="D333"/>
    <mergeCell ref="A335"/>
    <mergeCell ref="B335"/>
    <mergeCell ref="A333"/>
    <mergeCell ref="Z325"/>
    <mergeCell ref="T326"/>
    <mergeCell ref="N327"/>
    <mergeCell ref="U327"/>
    <mergeCell ref="E331"/>
    <mergeCell ref="O331"/>
    <mergeCell ref="J331"/>
    <mergeCell ref="G331"/>
    <mergeCell ref="C329"/>
    <mergeCell ref="K331"/>
    <mergeCell ref="F327"/>
    <mergeCell ref="B329"/>
    <mergeCell ref="B330"/>
    <mergeCell ref="P328"/>
    <mergeCell ref="X329"/>
    <mergeCell ref="W329"/>
    <mergeCell ref="T329"/>
    <mergeCell ref="W330"/>
    <mergeCell ref="X330"/>
    <mergeCell ref="Y330"/>
    <mergeCell ref="M327"/>
    <mergeCell ref="S328"/>
    <mergeCell ref="O329"/>
    <mergeCell ref="J328"/>
    <mergeCell ref="D328"/>
    <mergeCell ref="H327"/>
    <mergeCell ref="K328"/>
    <mergeCell ref="L328"/>
    <mergeCell ref="M328"/>
    <mergeCell ref="D327"/>
    <mergeCell ref="I328"/>
    <mergeCell ref="H328"/>
    <mergeCell ref="E328"/>
    <mergeCell ref="F328"/>
    <mergeCell ref="C328"/>
    <mergeCell ref="N329"/>
    <mergeCell ref="C331"/>
    <mergeCell ref="G329"/>
    <mergeCell ref="H329"/>
    <mergeCell ref="D329"/>
    <mergeCell ref="E329"/>
    <mergeCell ref="F329"/>
    <mergeCell ref="D331"/>
    <mergeCell ref="B331"/>
    <mergeCell ref="D330"/>
    <mergeCell ref="W325"/>
    <mergeCell ref="Y326"/>
    <mergeCell ref="X326"/>
    <mergeCell ref="Y329"/>
    <mergeCell ref="Z331"/>
    <mergeCell ref="B328"/>
    <mergeCell ref="A327"/>
    <mergeCell ref="O327"/>
    <mergeCell ref="V327"/>
    <mergeCell ref="A328"/>
    <mergeCell ref="Y327"/>
    <mergeCell ref="P326"/>
    <mergeCell ref="A330"/>
    <mergeCell ref="C330"/>
    <mergeCell ref="J329"/>
    <mergeCell ref="A331"/>
    <mergeCell ref="C325"/>
    <mergeCell ref="G326"/>
    <mergeCell ref="L326"/>
    <mergeCell ref="V326"/>
    <mergeCell ref="Q326"/>
    <mergeCell ref="O326"/>
    <mergeCell ref="F324"/>
    <mergeCell ref="P325"/>
    <mergeCell ref="A325"/>
    <mergeCell ref="E324"/>
    <mergeCell ref="E325"/>
    <mergeCell ref="D324"/>
    <mergeCell ref="W326"/>
    <mergeCell ref="A321"/>
    <mergeCell ref="A322"/>
    <mergeCell ref="I326"/>
    <mergeCell ref="B323"/>
    <mergeCell ref="Q323"/>
    <mergeCell ref="G324"/>
    <mergeCell ref="X324"/>
    <mergeCell ref="Y324"/>
    <mergeCell ref="K324"/>
    <mergeCell ref="S323"/>
    <mergeCell ref="V324"/>
    <mergeCell ref="U324"/>
    <mergeCell ref="T324"/>
    <mergeCell ref="S324"/>
    <mergeCell ref="N323"/>
    <mergeCell ref="W324"/>
    <mergeCell ref="H325"/>
    <mergeCell ref="B326"/>
    <mergeCell ref="B324"/>
    <mergeCell ref="Y325"/>
    <mergeCell ref="O323"/>
    <mergeCell ref="R321"/>
    <mergeCell ref="X321"/>
    <mergeCell ref="T322"/>
    <mergeCell ref="R322"/>
    <mergeCell ref="M322"/>
    <mergeCell ref="V321"/>
    <mergeCell ref="G322"/>
    <mergeCell ref="H322"/>
    <mergeCell ref="P322"/>
    <mergeCell ref="E323"/>
    <mergeCell ref="Q322"/>
    <mergeCell ref="Y323"/>
    <mergeCell ref="M324"/>
    <mergeCell ref="H324"/>
    <mergeCell ref="L322"/>
    <mergeCell ref="K322"/>
    <mergeCell ref="F322"/>
    <mergeCell ref="N322"/>
    <mergeCell ref="A324"/>
    <mergeCell ref="D323"/>
    <mergeCell ref="C323"/>
    <mergeCell ref="C324"/>
    <mergeCell ref="L325"/>
    <mergeCell ref="K325"/>
    <mergeCell ref="G325"/>
    <mergeCell ref="I321"/>
    <mergeCell ref="J321"/>
    <mergeCell ref="K321"/>
    <mergeCell ref="L321"/>
    <mergeCell ref="J336"/>
    <mergeCell ref="H338"/>
    <mergeCell ref="F338"/>
    <mergeCell ref="E339"/>
    <mergeCell ref="F339"/>
    <mergeCell ref="G339"/>
    <mergeCell ref="H340"/>
    <mergeCell ref="U339"/>
    <mergeCell ref="I338"/>
    <mergeCell ref="S338"/>
    <mergeCell ref="E334"/>
    <mergeCell ref="H334"/>
    <mergeCell ref="G334"/>
    <mergeCell ref="F334"/>
    <mergeCell ref="N333"/>
    <mergeCell ref="K333"/>
    <mergeCell ref="X331"/>
    <mergeCell ref="Q331"/>
    <mergeCell ref="T331"/>
    <mergeCell ref="V331"/>
    <mergeCell ref="P331"/>
    <mergeCell ref="R331"/>
    <mergeCell ref="H331"/>
    <mergeCell ref="N331"/>
    <mergeCell ref="Y331"/>
    <mergeCell ref="M331"/>
    <mergeCell ref="M336"/>
    <mergeCell ref="B317"/>
    <mergeCell ref="C317"/>
    <mergeCell ref="R316"/>
    <mergeCell ref="P317"/>
    <mergeCell ref="U317"/>
    <mergeCell ref="Z317"/>
    <mergeCell ref="H318"/>
    <mergeCell ref="B320"/>
    <mergeCell ref="S318"/>
    <mergeCell ref="V319"/>
    <mergeCell ref="Y319"/>
    <mergeCell ref="L318"/>
    <mergeCell ref="Y318"/>
    <mergeCell ref="H316"/>
    <mergeCell ref="S316"/>
    <mergeCell ref="R319"/>
    <mergeCell ref="U316"/>
    <mergeCell ref="H317"/>
    <mergeCell ref="I317"/>
    <mergeCell ref="W316"/>
    <mergeCell ref="Z320"/>
    <mergeCell ref="V320"/>
    <mergeCell ref="U320"/>
    <mergeCell ref="T320"/>
    <mergeCell ref="R328"/>
    <mergeCell ref="G317"/>
    <mergeCell ref="C332"/>
    <mergeCell ref="Q329"/>
    <mergeCell ref="J330"/>
    <mergeCell ref="Q330"/>
    <mergeCell ref="H330"/>
    <mergeCell ref="R330"/>
    <mergeCell ref="M330"/>
    <mergeCell ref="O330"/>
    <mergeCell ref="E330"/>
    <mergeCell ref="P330"/>
    <mergeCell ref="L329"/>
    <mergeCell ref="M329"/>
    <mergeCell ref="F330"/>
    <mergeCell ref="I329"/>
    <mergeCell ref="K329"/>
    <mergeCell ref="T330"/>
    <mergeCell ref="U330"/>
    <mergeCell ref="V330"/>
    <mergeCell ref="Z334"/>
    <mergeCell ref="N325"/>
    <mergeCell ref="I340"/>
    <mergeCell ref="P338"/>
    <mergeCell ref="G338"/>
    <mergeCell ref="W322"/>
    <mergeCell ref="F323"/>
    <mergeCell ref="R332"/>
    <mergeCell ref="G333"/>
    <mergeCell ref="S332"/>
    <mergeCell ref="S329"/>
    <mergeCell ref="U329"/>
    <mergeCell ref="Q333"/>
    <mergeCell ref="Z322"/>
    <mergeCell ref="P329"/>
    <mergeCell ref="S330"/>
    <mergeCell ref="I330"/>
    <mergeCell ref="L330"/>
    <mergeCell ref="Z337"/>
    <mergeCell ref="M335"/>
    <mergeCell ref="C338"/>
    <mergeCell ref="B336"/>
    <mergeCell ref="B338"/>
    <mergeCell ref="K336"/>
    <mergeCell ref="Y338"/>
    <mergeCell ref="I339"/>
    <mergeCell ref="X339"/>
    <mergeCell ref="Y339"/>
    <mergeCell ref="Z339"/>
    <mergeCell ref="K338"/>
    <mergeCell ref="U338"/>
    <mergeCell ref="O338"/>
    <mergeCell ref="R338"/>
    <mergeCell ref="C339"/>
    <mergeCell ref="D339"/>
    <mergeCell ref="O340"/>
    <mergeCell ref="Y340"/>
    <mergeCell ref="T340"/>
    <mergeCell ref="V340"/>
    <mergeCell ref="L340"/>
    <mergeCell ref="W340"/>
    <mergeCell ref="J340"/>
    <mergeCell ref="O339"/>
    <mergeCell ref="Q340"/>
    <mergeCell ref="N340"/>
    <mergeCell ref="S339"/>
    <mergeCell ref="M340"/>
    <mergeCell ref="V339"/>
    <mergeCell ref="K340"/>
    <mergeCell ref="Z338"/>
    <mergeCell ref="N338"/>
    <mergeCell ref="X338"/>
    <mergeCell ref="W338"/>
    <mergeCell ref="T338"/>
    <mergeCell ref="Q338"/>
    <mergeCell ref="V338"/>
    <mergeCell ref="M338"/>
    <mergeCell ref="A337"/>
    <mergeCell ref="H337"/>
    <mergeCell ref="Z340"/>
    <mergeCell ref="N336"/>
    <mergeCell ref="W336"/>
    <mergeCell ref="Y335"/>
    <mergeCell ref="O336"/>
    <mergeCell ref="L335"/>
    <mergeCell ref="W335"/>
    <mergeCell ref="L336"/>
    <mergeCell ref="E338"/>
    <mergeCell ref="N339"/>
    <mergeCell ref="L339"/>
    <mergeCell ref="H336"/>
    <mergeCell ref="A340"/>
    <mergeCell ref="B340"/>
    <mergeCell ref="U340"/>
    <mergeCell ref="B337"/>
    <mergeCell ref="I337"/>
    <mergeCell ref="J337"/>
    <mergeCell ref="K337"/>
    <mergeCell ref="G337"/>
    <mergeCell ref="F337"/>
    <mergeCell ref="E337"/>
    <mergeCell ref="D337"/>
    <mergeCell ref="C337"/>
    <mergeCell ref="A338"/>
    <mergeCell ref="A491"/>
    <mergeCell ref="B491"/>
    <mergeCell ref="X515"/>
    <mergeCell ref="F514"/>
    <mergeCell ref="L515"/>
    <mergeCell ref="J515"/>
    <mergeCell ref="V515"/>
    <mergeCell ref="H515"/>
    <mergeCell ref="T515"/>
    <mergeCell ref="J513"/>
    <mergeCell ref="V513"/>
    <mergeCell ref="T514"/>
    <mergeCell ref="U514"/>
    <mergeCell ref="P513"/>
    <mergeCell ref="F515"/>
    <mergeCell ref="N462"/>
    <mergeCell ref="A468"/>
    <mergeCell ref="J472"/>
    <mergeCell ref="G466"/>
    <mergeCell ref="S465"/>
    <mergeCell ref="U465"/>
    <mergeCell ref="B465"/>
    <mergeCell ref="J479"/>
    <mergeCell ref="T478"/>
    <mergeCell ref="P479"/>
    <mergeCell ref="N479"/>
    <mergeCell ref="R479"/>
    <mergeCell ref="S479"/>
    <mergeCell ref="T479"/>
    <mergeCell ref="Y479"/>
    <mergeCell ref="S474"/>
    <mergeCell ref="M476"/>
    <mergeCell ref="V476"/>
    <mergeCell ref="A477"/>
    <mergeCell ref="B477"/>
    <mergeCell ref="C477"/>
    <mergeCell ref="Y476"/>
    <mergeCell ref="M493"/>
    <mergeCell ref="O494"/>
    <mergeCell ref="T493"/>
    <mergeCell ref="V494"/>
    <mergeCell ref="L501"/>
    <mergeCell ref="W501"/>
    <mergeCell ref="D504"/>
    <mergeCell ref="J503"/>
    <mergeCell ref="I504"/>
    <mergeCell ref="H504"/>
    <mergeCell ref="I503"/>
    <mergeCell ref="F504"/>
    <mergeCell ref="G504"/>
    <mergeCell ref="J504"/>
    <mergeCell ref="J502"/>
    <mergeCell ref="C504"/>
    <mergeCell ref="M503"/>
    <mergeCell ref="B503"/>
    <mergeCell ref="V502"/>
    <mergeCell ref="B501"/>
    <mergeCell ref="O506"/>
    <mergeCell ref="L506"/>
    <mergeCell ref="B502"/>
    <mergeCell ref="H516"/>
    <mergeCell ref="J492"/>
    <mergeCell ref="I493"/>
    <mergeCell ref="R493"/>
    <mergeCell ref="K493"/>
    <mergeCell ref="O493"/>
    <mergeCell ref="D494"/>
    <mergeCell ref="E494"/>
    <mergeCell ref="F494"/>
    <mergeCell ref="P508"/>
    <mergeCell ref="V509"/>
    <mergeCell ref="Q510"/>
    <mergeCell ref="G508"/>
    <mergeCell ref="S508"/>
    <mergeCell ref="F508"/>
    <mergeCell ref="L509"/>
    <mergeCell ref="K509"/>
    <mergeCell ref="H509"/>
    <mergeCell ref="G505"/>
    <mergeCell ref="K505"/>
    <mergeCell ref="T506"/>
    <mergeCell ref="J506"/>
    <mergeCell ref="I505"/>
    <mergeCell ref="P506"/>
    <mergeCell ref="C493"/>
    <mergeCell ref="P507"/>
    <mergeCell ref="V507"/>
    <mergeCell ref="N507"/>
    <mergeCell ref="J508"/>
    <mergeCell ref="C511"/>
    <mergeCell ref="D500"/>
    <mergeCell ref="P503"/>
    <mergeCell ref="T502"/>
    <mergeCell ref="U497"/>
    <mergeCell ref="P497"/>
    <mergeCell ref="R497"/>
    <mergeCell ref="T497"/>
    <mergeCell ref="E516"/>
    <mergeCell ref="R515"/>
    <mergeCell ref="Q493"/>
    <mergeCell ref="M496"/>
    <mergeCell ref="X524"/>
    <mergeCell ref="E525"/>
    <mergeCell ref="L523"/>
    <mergeCell ref="A510"/>
    <mergeCell ref="B510"/>
    <mergeCell ref="C510"/>
    <mergeCell ref="P509"/>
    <mergeCell ref="I500"/>
    <mergeCell ref="Y495"/>
    <mergeCell ref="O495"/>
    <mergeCell ref="S495"/>
    <mergeCell ref="P495"/>
    <mergeCell ref="W495"/>
    <mergeCell ref="A494"/>
    <mergeCell ref="A527"/>
    <mergeCell ref="Q515"/>
    <mergeCell ref="S515"/>
    <mergeCell ref="N516"/>
    <mergeCell ref="X516"/>
    <mergeCell ref="T516"/>
    <mergeCell ref="V516"/>
    <mergeCell ref="O515"/>
    <mergeCell ref="K516"/>
    <mergeCell ref="Q516"/>
    <mergeCell ref="L516"/>
    <mergeCell ref="U516"/>
    <mergeCell ref="P516"/>
    <mergeCell ref="R516"/>
    <mergeCell ref="I513"/>
    <mergeCell ref="K514"/>
    <mergeCell ref="V514"/>
    <mergeCell ref="E515"/>
    <mergeCell ref="N515"/>
    <mergeCell ref="S518"/>
    <mergeCell ref="X518"/>
    <mergeCell ref="G519"/>
    <mergeCell ref="N518"/>
    <mergeCell ref="W518"/>
    <mergeCell ref="M494"/>
    <mergeCell ref="A496"/>
    <mergeCell ref="N497"/>
    <mergeCell ref="Q497"/>
    <mergeCell ref="N501"/>
    <mergeCell ref="Y501"/>
    <mergeCell ref="R501"/>
    <mergeCell ref="T501"/>
    <mergeCell ref="U496"/>
    <mergeCell ref="E497"/>
    <mergeCell ref="X497"/>
    <mergeCell ref="E509"/>
    <mergeCell ref="A505"/>
    <mergeCell ref="N508"/>
    <mergeCell ref="I516"/>
    <mergeCell ref="A506"/>
    <mergeCell ref="N494"/>
    <mergeCell ref="A515"/>
    <mergeCell ref="A502"/>
    <mergeCell ref="K517"/>
    <mergeCell ref="V517"/>
    <mergeCell ref="T495"/>
    <mergeCell ref="L494"/>
    <mergeCell ref="V495"/>
    <mergeCell ref="Y507"/>
    <mergeCell ref="Z507"/>
    <mergeCell ref="T507"/>
    <mergeCell ref="I506"/>
    <mergeCell ref="V527"/>
    <mergeCell ref="T527"/>
    <mergeCell ref="C527"/>
    <mergeCell ref="N525"/>
    <mergeCell ref="K526"/>
    <mergeCell ref="W519"/>
    <mergeCell ref="B514"/>
    <mergeCell ref="C514"/>
    <mergeCell ref="Z500"/>
    <mergeCell ref="H495"/>
    <mergeCell ref="I494"/>
    <mergeCell ref="N495"/>
    <mergeCell ref="B507"/>
    <mergeCell ref="Z496"/>
    <mergeCell ref="C502"/>
    <mergeCell ref="L502"/>
    <mergeCell ref="E502"/>
    <mergeCell ref="G502"/>
    <mergeCell ref="Q502"/>
    <mergeCell ref="F502"/>
    <mergeCell ref="O502"/>
    <mergeCell ref="N502"/>
    <mergeCell ref="K502"/>
    <mergeCell ref="I502"/>
    <mergeCell ref="M502"/>
    <mergeCell ref="D501"/>
    <mergeCell ref="Q501"/>
    <mergeCell ref="J501"/>
    <mergeCell ref="U501"/>
    <mergeCell ref="M498"/>
    <mergeCell ref="W498"/>
    <mergeCell ref="R498"/>
    <mergeCell ref="T498"/>
    <mergeCell ref="G499"/>
    <mergeCell ref="H499"/>
    <mergeCell ref="C501"/>
    <mergeCell ref="M501"/>
    <mergeCell ref="G501"/>
    <mergeCell ref="E501"/>
    <mergeCell ref="Z502"/>
    <mergeCell ref="Z499"/>
    <mergeCell ref="D499"/>
    <mergeCell ref="E499"/>
    <mergeCell ref="F499"/>
    <mergeCell ref="E526"/>
    <mergeCell ref="F526"/>
    <mergeCell ref="G526"/>
    <mergeCell ref="H526"/>
    <mergeCell ref="Q523"/>
    <mergeCell ref="F525"/>
    <mergeCell ref="P527"/>
    <mergeCell ref="S516"/>
    <mergeCell ref="D516"/>
    <mergeCell ref="G494"/>
    <mergeCell ref="S509"/>
    <mergeCell ref="B511"/>
    <mergeCell ref="X503"/>
    <mergeCell ref="Y500"/>
    <mergeCell ref="V497"/>
    <mergeCell ref="K525"/>
    <mergeCell ref="E491"/>
    <mergeCell ref="I491"/>
    <mergeCell ref="H491"/>
    <mergeCell ref="F491"/>
    <mergeCell ref="G491"/>
    <mergeCell ref="G495"/>
    <mergeCell ref="B495"/>
    <mergeCell ref="E495"/>
    <mergeCell ref="F495"/>
    <mergeCell ref="C468"/>
    <mergeCell ref="P473"/>
    <mergeCell ref="X473"/>
    <mergeCell ref="W473"/>
    <mergeCell ref="T473"/>
    <mergeCell ref="Q473"/>
    <mergeCell ref="V473"/>
    <mergeCell ref="Z525"/>
    <mergeCell ref="J526"/>
    <mergeCell ref="I525"/>
    <mergeCell ref="M528"/>
    <mergeCell ref="X528"/>
    <mergeCell ref="B505"/>
    <mergeCell ref="C505"/>
    <mergeCell ref="X508"/>
    <mergeCell ref="T508"/>
    <mergeCell ref="R508"/>
    <mergeCell ref="Q508"/>
    <mergeCell ref="V508"/>
    <mergeCell ref="F524"/>
    <mergeCell ref="J522"/>
    <mergeCell ref="K524"/>
    <mergeCell ref="B525"/>
    <mergeCell ref="C525"/>
    <mergeCell ref="D525"/>
    <mergeCell ref="I523"/>
    <mergeCell ref="Y523"/>
    <mergeCell ref="Z516"/>
    <mergeCell ref="S517"/>
    <mergeCell ref="L519"/>
    <mergeCell ref="U519"/>
    <mergeCell ref="U517"/>
    <mergeCell ref="J519"/>
    <mergeCell ref="H523"/>
    <mergeCell ref="V524"/>
    <mergeCell ref="Z508"/>
    <mergeCell ref="R509"/>
    <mergeCell ref="X509"/>
    <mergeCell ref="Y509"/>
    <mergeCell ref="Z509"/>
    <mergeCell ref="H510"/>
    <mergeCell ref="F509"/>
    <mergeCell ref="Q476"/>
    <mergeCell ref="I477"/>
    <mergeCell ref="L478"/>
    <mergeCell ref="B468"/>
    <mergeCell ref="T468"/>
    <mergeCell ref="E469"/>
    <mergeCell ref="J525"/>
    <mergeCell ref="M469"/>
    <mergeCell ref="N469"/>
    <mergeCell ref="W469"/>
    <mergeCell ref="P469"/>
    <mergeCell ref="X469"/>
    <mergeCell ref="W470"/>
    <mergeCell ref="T462"/>
    <mergeCell ref="I463"/>
    <mergeCell ref="J473"/>
    <mergeCell ref="P465"/>
    <mergeCell ref="B466"/>
    <mergeCell ref="C466"/>
    <mergeCell ref="L466"/>
    <mergeCell ref="W466"/>
    <mergeCell ref="U466"/>
    <mergeCell ref="P466"/>
    <mergeCell ref="C467"/>
    <mergeCell ref="O466"/>
    <mergeCell ref="G467"/>
    <mergeCell ref="F467"/>
    <mergeCell ref="E467"/>
    <mergeCell ref="N466"/>
    <mergeCell ref="K466"/>
    <mergeCell ref="E466"/>
    <mergeCell ref="B464"/>
    <mergeCell ref="J465"/>
    <mergeCell ref="S464"/>
    <mergeCell ref="X465"/>
    <mergeCell ref="L468"/>
    <mergeCell ref="V466"/>
    <mergeCell ref="L467"/>
    <mergeCell ref="M467"/>
    <mergeCell ref="J471"/>
    <mergeCell ref="S471"/>
    <mergeCell ref="O463"/>
    <mergeCell ref="K462"/>
    <mergeCell ref="N463"/>
    <mergeCell ref="M463"/>
    <mergeCell ref="B473"/>
    <mergeCell ref="B469"/>
    <mergeCell ref="K469"/>
    <mergeCell ref="J469"/>
    <mergeCell ref="G469"/>
    <mergeCell ref="F469"/>
    <mergeCell ref="H469"/>
    <mergeCell ref="P467"/>
    <mergeCell ref="Z495"/>
    <mergeCell ref="G496"/>
    <mergeCell ref="Z471"/>
    <mergeCell ref="V470"/>
    <mergeCell ref="L469"/>
    <mergeCell ref="U469"/>
    <mergeCell ref="G472"/>
    <mergeCell ref="P472"/>
    <mergeCell ref="X471"/>
    <mergeCell ref="D472"/>
    <mergeCell ref="G461"/>
    <mergeCell ref="Y472"/>
    <mergeCell ref="A472"/>
    <mergeCell ref="B472"/>
    <mergeCell ref="B471"/>
    <mergeCell ref="A470"/>
    <mergeCell ref="B470"/>
    <mergeCell ref="C470"/>
    <mergeCell ref="F466"/>
    <mergeCell ref="M479"/>
    <mergeCell ref="Y469"/>
    <mergeCell ref="K470"/>
    <mergeCell ref="Y471"/>
    <mergeCell ref="A481"/>
    <mergeCell ref="B481"/>
    <mergeCell ref="M481"/>
    <mergeCell ref="A493"/>
    <mergeCell ref="B493"/>
    <mergeCell ref="Z461"/>
    <mergeCell ref="C480"/>
    <mergeCell ref="S478"/>
    <mergeCell ref="W479"/>
    <mergeCell ref="G480"/>
    <mergeCell ref="F481"/>
    <mergeCell ref="G481"/>
    <mergeCell ref="H481"/>
    <mergeCell ref="I481"/>
    <mergeCell ref="J481"/>
    <mergeCell ref="K481"/>
    <mergeCell ref="V478"/>
    <mergeCell ref="V472"/>
    <mergeCell ref="W471"/>
    <mergeCell ref="C472"/>
    <mergeCell ref="R471"/>
    <mergeCell ref="D477"/>
    <mergeCell ref="E477"/>
    <mergeCell ref="F475"/>
    <mergeCell ref="U478"/>
    <mergeCell ref="A479"/>
    <mergeCell ref="B479"/>
    <mergeCell ref="C479"/>
    <mergeCell ref="Y478"/>
    <mergeCell ref="K479"/>
    <mergeCell ref="S476"/>
    <mergeCell ref="F478"/>
    <mergeCell ref="V479"/>
    <mergeCell ref="C464"/>
    <mergeCell ref="T472"/>
    <mergeCell ref="O472"/>
    <mergeCell ref="P463"/>
    <mergeCell ref="Q482"/>
    <mergeCell ref="W476"/>
    <mergeCell ref="H477"/>
    <mergeCell ref="K477"/>
    <mergeCell ref="Z457"/>
    <mergeCell ref="J458"/>
    <mergeCell ref="M457"/>
    <mergeCell ref="V457"/>
    <mergeCell ref="A458"/>
    <mergeCell ref="B458"/>
    <mergeCell ref="C458"/>
    <mergeCell ref="Y463"/>
    <mergeCell ref="Q463"/>
    <mergeCell ref="W463"/>
    <mergeCell ref="S463"/>
    <mergeCell ref="T463"/>
    <mergeCell ref="T481"/>
    <mergeCell ref="X479"/>
    <mergeCell ref="N481"/>
    <mergeCell ref="L481"/>
    <mergeCell ref="V481"/>
    <mergeCell ref="W481"/>
    <mergeCell ref="O481"/>
    <mergeCell ref="S481"/>
    <mergeCell ref="R481"/>
    <mergeCell ref="A473"/>
    <mergeCell ref="Y475"/>
    <mergeCell ref="O476"/>
    <mergeCell ref="N478"/>
    <mergeCell ref="W478"/>
    <mergeCell ref="R478"/>
    <mergeCell ref="P478"/>
    <mergeCell ref="D479"/>
    <mergeCell ref="E479"/>
    <mergeCell ref="F479"/>
    <mergeCell ref="G479"/>
    <mergeCell ref="B478"/>
    <mergeCell ref="X477"/>
    <mergeCell ref="T477"/>
    <mergeCell ref="V477"/>
    <mergeCell ref="W477"/>
    <mergeCell ref="U477"/>
    <mergeCell ref="L477"/>
    <mergeCell ref="D478"/>
    <mergeCell ref="I479"/>
    <mergeCell ref="Q478"/>
    <mergeCell ref="O478"/>
    <mergeCell ref="A475"/>
    <mergeCell ref="Z468"/>
    <mergeCell ref="C469"/>
    <mergeCell ref="J470"/>
    <mergeCell ref="T469"/>
    <mergeCell ref="G477"/>
    <mergeCell ref="F477"/>
    <mergeCell ref="U474"/>
    <mergeCell ref="G475"/>
    <mergeCell ref="C473"/>
    <mergeCell ref="M473"/>
    <mergeCell ref="V471"/>
    <mergeCell ref="E472"/>
    <mergeCell ref="H472"/>
    <mergeCell ref="L471"/>
    <mergeCell ref="F472"/>
    <mergeCell ref="K472"/>
    <mergeCell ref="J463"/>
    <mergeCell ref="X463"/>
    <mergeCell ref="H464"/>
    <mergeCell ref="I464"/>
    <mergeCell ref="I461"/>
    <mergeCell ref="S461"/>
    <mergeCell ref="N461"/>
    <mergeCell ref="L461"/>
    <mergeCell ref="Y441"/>
    <mergeCell ref="A442"/>
    <mergeCell ref="S441"/>
    <mergeCell ref="S453"/>
    <mergeCell ref="K454"/>
    <mergeCell ref="L453"/>
    <mergeCell ref="A445"/>
    <mergeCell ref="B445"/>
    <mergeCell ref="C445"/>
    <mergeCell ref="D445"/>
    <mergeCell ref="A447"/>
    <mergeCell ref="Y445"/>
    <mergeCell ref="Q445"/>
    <mergeCell ref="W445"/>
    <mergeCell ref="S445"/>
    <mergeCell ref="V445"/>
    <mergeCell ref="E442"/>
    <mergeCell ref="J444"/>
    <mergeCell ref="O445"/>
    <mergeCell ref="N445"/>
    <mergeCell ref="K445"/>
    <mergeCell ref="L445"/>
    <mergeCell ref="I445"/>
    <mergeCell ref="T443"/>
    <mergeCell ref="D444"/>
    <mergeCell ref="I442"/>
    <mergeCell ref="T442"/>
    <mergeCell ref="V442"/>
    <mergeCell ref="W442"/>
    <mergeCell ref="X442"/>
    <mergeCell ref="H444"/>
    <mergeCell ref="X444"/>
    <mergeCell ref="C442"/>
    <mergeCell ref="L442"/>
    <mergeCell ref="A443"/>
    <mergeCell ref="B443"/>
    <mergeCell ref="B444"/>
    <mergeCell ref="P444"/>
    <mergeCell ref="G445"/>
    <mergeCell ref="H445"/>
    <mergeCell ref="M444"/>
    <mergeCell ref="K444"/>
    <mergeCell ref="D446"/>
    <mergeCell ref="E446"/>
    <mergeCell ref="K458"/>
    <mergeCell ref="R458"/>
    <mergeCell ref="Q458"/>
    <mergeCell ref="N458"/>
    <mergeCell ref="B447"/>
    <mergeCell ref="A448"/>
    <mergeCell ref="G450"/>
    <mergeCell ref="H456"/>
    <mergeCell ref="O444"/>
    <mergeCell ref="L446"/>
    <mergeCell ref="U446"/>
    <mergeCell ref="P446"/>
    <mergeCell ref="O446"/>
    <mergeCell ref="N460"/>
    <mergeCell ref="L460"/>
    <mergeCell ref="Q459"/>
    <mergeCell ref="P440"/>
    <mergeCell ref="Q440"/>
    <mergeCell ref="S440"/>
    <mergeCell ref="X440"/>
    <mergeCell ref="F441"/>
    <mergeCell ref="G441"/>
    <mergeCell ref="E440"/>
    <mergeCell ref="F440"/>
    <mergeCell ref="N440"/>
    <mergeCell ref="K441"/>
    <mergeCell ref="Q441"/>
    <mergeCell ref="J441"/>
    <mergeCell ref="H441"/>
    <mergeCell ref="G437"/>
    <mergeCell ref="H437"/>
    <mergeCell ref="I437"/>
    <mergeCell ref="M437"/>
    <mergeCell ref="C447"/>
    <mergeCell ref="L447"/>
    <mergeCell ref="G447"/>
    <mergeCell ref="H447"/>
    <mergeCell ref="I447"/>
    <mergeCell ref="P447"/>
    <mergeCell ref="K442"/>
    <mergeCell ref="Y442"/>
    <mergeCell ref="M442"/>
    <mergeCell ref="S442"/>
    <mergeCell ref="R440"/>
    <mergeCell ref="H439"/>
    <mergeCell ref="S439"/>
    <mergeCell ref="C440"/>
    <mergeCell ref="D440"/>
    <mergeCell ref="Z439"/>
    <mergeCell ref="L440"/>
    <mergeCell ref="L439"/>
    <mergeCell ref="Z446"/>
    <mergeCell ref="D401"/>
    <mergeCell ref="E401"/>
    <mergeCell ref="K402"/>
    <mergeCell ref="G403"/>
    <mergeCell ref="H403"/>
    <mergeCell ref="D402"/>
    <mergeCell ref="Q424"/>
    <mergeCell ref="R424"/>
    <mergeCell ref="P424"/>
    <mergeCell ref="L423"/>
    <mergeCell ref="E423"/>
    <mergeCell ref="G423"/>
    <mergeCell ref="K422"/>
    <mergeCell ref="K407"/>
    <mergeCell ref="V407"/>
    <mergeCell ref="I412"/>
    <mergeCell ref="E409"/>
    <mergeCell ref="F409"/>
    <mergeCell ref="I416"/>
    <mergeCell ref="U416"/>
    <mergeCell ref="D413"/>
    <mergeCell ref="G415"/>
    <mergeCell ref="V415"/>
    <mergeCell ref="M415"/>
    <mergeCell ref="P415"/>
    <mergeCell ref="N415"/>
    <mergeCell ref="Q415"/>
    <mergeCell ref="R415"/>
    <mergeCell ref="T415"/>
    <mergeCell ref="V409"/>
    <mergeCell ref="R419"/>
    <mergeCell ref="P414"/>
    <mergeCell ref="U413"/>
    <mergeCell ref="O413"/>
    <mergeCell ref="P406"/>
    <mergeCell ref="P402"/>
    <mergeCell ref="U402"/>
    <mergeCell ref="F419"/>
    <mergeCell ref="Q419"/>
    <mergeCell ref="J419"/>
    <mergeCell ref="S420"/>
    <mergeCell ref="H411"/>
    <mergeCell ref="D418"/>
    <mergeCell ref="E411"/>
    <mergeCell ref="F411"/>
    <mergeCell ref="O408"/>
    <mergeCell ref="M409"/>
    <mergeCell ref="S409"/>
    <mergeCell ref="Q405"/>
    <mergeCell ref="O405"/>
    <mergeCell ref="E421"/>
    <mergeCell ref="T421"/>
    <mergeCell ref="N421"/>
    <mergeCell ref="V421"/>
    <mergeCell ref="S406"/>
    <mergeCell ref="L406"/>
    <mergeCell ref="Y404"/>
    <mergeCell ref="Z415"/>
    <mergeCell ref="D414"/>
    <mergeCell ref="H416"/>
    <mergeCell ref="Z417"/>
    <mergeCell ref="Z416"/>
    <mergeCell ref="C417"/>
    <mergeCell ref="G416"/>
    <mergeCell ref="Q416"/>
    <mergeCell ref="E413"/>
    <mergeCell ref="U415"/>
    <mergeCell ref="J416"/>
    <mergeCell ref="I419"/>
    <mergeCell ref="B420"/>
    <mergeCell ref="L420"/>
    <mergeCell ref="C412"/>
    <mergeCell ref="C419"/>
    <mergeCell ref="W402"/>
    <mergeCell ref="N405"/>
    <mergeCell ref="W403"/>
    <mergeCell ref="M404"/>
    <mergeCell ref="L404"/>
    <mergeCell ref="R403"/>
    <mergeCell ref="U403"/>
    <mergeCell ref="Q403"/>
    <mergeCell ref="C403"/>
    <mergeCell ref="Z402"/>
    <mergeCell ref="M403"/>
    <mergeCell ref="E414"/>
    <mergeCell ref="L415"/>
    <mergeCell ref="D415"/>
    <mergeCell ref="E415"/>
    <mergeCell ref="J415"/>
    <mergeCell ref="K415"/>
    <mergeCell ref="F415"/>
    <mergeCell ref="S415"/>
    <mergeCell ref="F407"/>
    <mergeCell ref="Z412"/>
    <mergeCell ref="D416"/>
    <mergeCell ref="I404"/>
    <mergeCell ref="O402"/>
    <mergeCell ref="X402"/>
    <mergeCell ref="S402"/>
    <mergeCell ref="Q402"/>
    <mergeCell ref="D405"/>
    <mergeCell ref="U404"/>
    <mergeCell ref="X420"/>
    <mergeCell ref="N404"/>
    <mergeCell ref="D403"/>
    <mergeCell ref="K417"/>
    <mergeCell ref="W417"/>
    <mergeCell ref="D419"/>
    <mergeCell ref="G419"/>
    <mergeCell ref="E419"/>
    <mergeCell ref="W418"/>
    <mergeCell ref="N403"/>
    <mergeCell ref="V403"/>
    <mergeCell ref="E404"/>
    <mergeCell ref="F404"/>
    <mergeCell ref="G404"/>
    <mergeCell ref="X419"/>
    <mergeCell ref="M419"/>
    <mergeCell ref="O416"/>
    <mergeCell ref="W419"/>
    <mergeCell ref="B409"/>
    <mergeCell ref="A411"/>
    <mergeCell ref="B411"/>
    <mergeCell ref="A413"/>
    <mergeCell ref="B413"/>
    <mergeCell ref="A414"/>
    <mergeCell ref="B414"/>
    <mergeCell ref="B403"/>
    <mergeCell ref="I406"/>
    <mergeCell ref="Q404"/>
    <mergeCell ref="S404"/>
    <mergeCell ref="O403"/>
    <mergeCell ref="V404"/>
    <mergeCell ref="J404"/>
    <mergeCell ref="A421"/>
    <mergeCell ref="C415"/>
    <mergeCell ref="C418"/>
    <mergeCell ref="L418"/>
    <mergeCell ref="E418"/>
    <mergeCell ref="G418"/>
    <mergeCell ref="B418"/>
    <mergeCell ref="P419"/>
    <mergeCell ref="G408"/>
    <mergeCell ref="L421"/>
    <mergeCell ref="O420"/>
    <mergeCell ref="K403"/>
    <mergeCell ref="T419"/>
    <mergeCell ref="N419"/>
    <mergeCell ref="V419"/>
    <mergeCell ref="I420"/>
    <mergeCell ref="H420"/>
    <mergeCell ref="D420"/>
    <mergeCell ref="U419"/>
    <mergeCell ref="C407"/>
    <mergeCell ref="B410"/>
    <mergeCell ref="C410"/>
    <mergeCell ref="U407"/>
    <mergeCell ref="L409"/>
    <mergeCell ref="D407"/>
    <mergeCell ref="N406"/>
    <mergeCell ref="J408"/>
    <mergeCell ref="O419"/>
    <mergeCell ref="A415"/>
    <mergeCell ref="B417"/>
    <mergeCell ref="C414"/>
    <mergeCell ref="C413"/>
    <mergeCell ref="P405"/>
    <mergeCell ref="V405"/>
    <mergeCell ref="R405"/>
    <mergeCell ref="U405"/>
    <mergeCell ref="C405"/>
    <mergeCell ref="B422"/>
    <mergeCell ref="B416"/>
    <mergeCell ref="A417"/>
    <mergeCell ref="A416"/>
    <mergeCell ref="A420"/>
    <mergeCell ref="Y409"/>
    <mergeCell ref="K410"/>
    <mergeCell ref="P399"/>
    <mergeCell ref="B402"/>
    <mergeCell ref="H399"/>
    <mergeCell ref="X398"/>
    <mergeCell ref="A400"/>
    <mergeCell ref="Y399"/>
    <mergeCell ref="B400"/>
    <mergeCell ref="C400"/>
    <mergeCell ref="D400"/>
    <mergeCell ref="A401"/>
    <mergeCell ref="N399"/>
    <mergeCell ref="P400"/>
    <mergeCell ref="A402"/>
    <mergeCell ref="O400"/>
    <mergeCell ref="B401"/>
    <mergeCell ref="K400"/>
    <mergeCell ref="M400"/>
    <mergeCell ref="N400"/>
    <mergeCell ref="G400"/>
    <mergeCell ref="O404"/>
    <mergeCell ref="X404"/>
    <mergeCell ref="A405"/>
    <mergeCell ref="B405"/>
    <mergeCell ref="A404"/>
    <mergeCell ref="B404"/>
    <mergeCell ref="R401"/>
    <mergeCell ref="A398"/>
    <mergeCell ref="B398"/>
    <mergeCell ref="A408"/>
    <mergeCell ref="A409"/>
    <mergeCell ref="D408"/>
    <mergeCell ref="E408"/>
    <mergeCell ref="F408"/>
    <mergeCell ref="D421"/>
    <mergeCell ref="O421"/>
    <mergeCell ref="R421"/>
    <mergeCell ref="J421"/>
    <mergeCell ref="U421"/>
    <mergeCell ref="H421"/>
    <mergeCell ref="S421"/>
    <mergeCell ref="F421"/>
    <mergeCell ref="Q421"/>
    <mergeCell ref="X421"/>
    <mergeCell ref="M421"/>
    <mergeCell ref="I421"/>
    <mergeCell ref="L419"/>
    <mergeCell ref="K409"/>
    <mergeCell ref="U409"/>
    <mergeCell ref="K419"/>
    <mergeCell ref="W420"/>
    <mergeCell ref="W421"/>
    <mergeCell ref="P421"/>
    <mergeCell ref="A407"/>
    <mergeCell ref="B407"/>
    <mergeCell ref="V406"/>
    <mergeCell ref="Q406"/>
    <mergeCell ref="T406"/>
    <mergeCell ref="A395"/>
    <mergeCell ref="R395"/>
    <mergeCell ref="N395"/>
    <mergeCell ref="E435"/>
    <mergeCell ref="O433"/>
    <mergeCell ref="S434"/>
    <mergeCell ref="B427"/>
    <mergeCell ref="H394"/>
    <mergeCell ref="O394"/>
    <mergeCell ref="I393"/>
    <mergeCell ref="M394"/>
    <mergeCell ref="U391"/>
    <mergeCell ref="A389"/>
    <mergeCell ref="A393"/>
    <mergeCell ref="A419"/>
    <mergeCell ref="C420"/>
    <mergeCell ref="V420"/>
    <mergeCell ref="N420"/>
    <mergeCell ref="U420"/>
    <mergeCell ref="P420"/>
    <mergeCell ref="Q420"/>
    <mergeCell ref="R420"/>
    <mergeCell ref="T420"/>
    <mergeCell ref="H419"/>
    <mergeCell ref="S419"/>
    <mergeCell ref="B423"/>
    <mergeCell ref="A424"/>
    <mergeCell ref="K425"/>
    <mergeCell ref="H431"/>
    <mergeCell ref="G430"/>
    <mergeCell ref="C401"/>
    <mergeCell ref="U400"/>
    <mergeCell ref="J400"/>
    <mergeCell ref="C402"/>
    <mergeCell ref="A433"/>
    <mergeCell ref="H408"/>
    <mergeCell ref="I408"/>
    <mergeCell ref="C404"/>
    <mergeCell ref="J405"/>
    <mergeCell ref="T408"/>
    <mergeCell ref="D409"/>
    <mergeCell ref="H401"/>
    <mergeCell ref="N402"/>
    <mergeCell ref="M402"/>
    <mergeCell ref="I402"/>
    <mergeCell ref="J402"/>
    <mergeCell ref="A403"/>
    <mergeCell ref="A410"/>
    <mergeCell ref="A435"/>
    <mergeCell ref="H433"/>
    <mergeCell ref="B435"/>
    <mergeCell ref="D433"/>
    <mergeCell ref="F433"/>
    <mergeCell ref="E434"/>
    <mergeCell ref="K393"/>
    <mergeCell ref="S393"/>
    <mergeCell ref="O393"/>
    <mergeCell ref="M393"/>
    <mergeCell ref="D393"/>
    <mergeCell ref="B391"/>
    <mergeCell ref="O425"/>
    <mergeCell ref="J425"/>
    <mergeCell ref="O391"/>
    <mergeCell ref="C398"/>
    <mergeCell ref="C393"/>
    <mergeCell ref="S391"/>
    <mergeCell ref="Z392"/>
    <mergeCell ref="M396"/>
    <mergeCell ref="U396"/>
    <mergeCell ref="S390"/>
    <mergeCell ref="T390"/>
    <mergeCell ref="J390"/>
    <mergeCell ref="P390"/>
    <mergeCell ref="R390"/>
    <mergeCell ref="V399"/>
    <mergeCell ref="L398"/>
    <mergeCell ref="U398"/>
    <mergeCell ref="I394"/>
    <mergeCell ref="V394"/>
    <mergeCell ref="C390"/>
    <mergeCell ref="D390"/>
    <mergeCell ref="E390"/>
    <mergeCell ref="F390"/>
    <mergeCell ref="D395"/>
    <mergeCell ref="E395"/>
    <mergeCell ref="W399"/>
    <mergeCell ref="I392"/>
    <mergeCell ref="K392"/>
    <mergeCell ref="R392"/>
    <mergeCell ref="Z397"/>
    <mergeCell ref="F392"/>
    <mergeCell ref="G392"/>
    <mergeCell ref="H392"/>
    <mergeCell ref="N391"/>
    <mergeCell ref="X391"/>
    <mergeCell ref="C397"/>
    <mergeCell ref="P393"/>
    <mergeCell ref="K394"/>
    <mergeCell ref="T394"/>
    <mergeCell ref="J395"/>
    <mergeCell ref="Z396"/>
    <mergeCell ref="I397"/>
    <mergeCell ref="R396"/>
    <mergeCell ref="Y394"/>
    <mergeCell ref="P394"/>
    <mergeCell ref="S394"/>
    <mergeCell ref="C395"/>
    <mergeCell ref="D398"/>
    <mergeCell ref="E398"/>
    <mergeCell ref="F398"/>
    <mergeCell ref="S398"/>
    <mergeCell ref="F394"/>
    <mergeCell ref="L393"/>
    <mergeCell ref="Q377"/>
    <mergeCell ref="E378"/>
    <mergeCell ref="F378"/>
    <mergeCell ref="G378"/>
    <mergeCell ref="P378"/>
    <mergeCell ref="Y378"/>
    <mergeCell ref="T378"/>
    <mergeCell ref="V378"/>
    <mergeCell ref="D379"/>
    <mergeCell ref="E379"/>
    <mergeCell ref="X377"/>
    <mergeCell ref="L378"/>
    <mergeCell ref="K378"/>
    <mergeCell ref="U377"/>
    <mergeCell ref="H379"/>
    <mergeCell ref="I379"/>
    <mergeCell ref="W378"/>
    <mergeCell ref="A380"/>
    <mergeCell ref="A381"/>
    <mergeCell ref="C380"/>
    <mergeCell ref="B380"/>
    <mergeCell ref="C379"/>
    <mergeCell ref="B379"/>
    <mergeCell ref="W388"/>
    <mergeCell ref="V388"/>
    <mergeCell ref="S388"/>
    <mergeCell ref="Q388"/>
    <mergeCell ref="U388"/>
    <mergeCell ref="K386"/>
    <mergeCell ref="T386"/>
    <mergeCell ref="M386"/>
    <mergeCell ref="O386"/>
    <mergeCell ref="C387"/>
    <mergeCell ref="O383"/>
    <mergeCell ref="S384"/>
    <mergeCell ref="W387"/>
    <mergeCell ref="O387"/>
    <mergeCell ref="S387"/>
    <mergeCell ref="Q387"/>
    <mergeCell ref="U387"/>
    <mergeCell ref="X387"/>
    <mergeCell ref="Y387"/>
    <mergeCell ref="J385"/>
    <mergeCell ref="B385"/>
    <mergeCell ref="R383"/>
    <mergeCell ref="P386"/>
    <mergeCell ref="F387"/>
    <mergeCell ref="G387"/>
    <mergeCell ref="H387"/>
    <mergeCell ref="L387"/>
    <mergeCell ref="T387"/>
    <mergeCell ref="O382"/>
    <mergeCell ref="F383"/>
    <mergeCell ref="B382"/>
    <mergeCell ref="C382"/>
    <mergeCell ref="Q382"/>
    <mergeCell ref="U380"/>
    <mergeCell ref="X385"/>
    <mergeCell ref="J386"/>
    <mergeCell ref="R387"/>
    <mergeCell ref="D385"/>
    <mergeCell ref="G384"/>
    <mergeCell ref="F384"/>
    <mergeCell ref="Q383"/>
    <mergeCell ref="K374"/>
    <mergeCell ref="J375"/>
    <mergeCell ref="K375"/>
    <mergeCell ref="L375"/>
    <mergeCell ref="M375"/>
    <mergeCell ref="N374"/>
    <mergeCell ref="Y374"/>
    <mergeCell ref="N375"/>
    <mergeCell ref="O375"/>
    <mergeCell ref="H373"/>
    <mergeCell ref="D375"/>
    <mergeCell ref="I375"/>
    <mergeCell ref="E375"/>
    <mergeCell ref="F375"/>
    <mergeCell ref="G375"/>
    <mergeCell ref="H374"/>
    <mergeCell ref="M378"/>
    <mergeCell ref="B374"/>
    <mergeCell ref="M374"/>
    <mergeCell ref="D372"/>
    <mergeCell ref="E372"/>
    <mergeCell ref="F372"/>
    <mergeCell ref="G372"/>
    <mergeCell ref="R394"/>
    <mergeCell ref="Q394"/>
    <mergeCell ref="W394"/>
    <mergeCell ref="C389"/>
    <mergeCell ref="V398"/>
    <mergeCell ref="M399"/>
    <mergeCell ref="X399"/>
    <mergeCell ref="M391"/>
    <mergeCell ref="Z395"/>
    <mergeCell ref="G399"/>
    <mergeCell ref="L395"/>
    <mergeCell ref="V390"/>
    <mergeCell ref="Z389"/>
    <mergeCell ref="D389"/>
    <mergeCell ref="E389"/>
    <mergeCell ref="J394"/>
    <mergeCell ref="Z387"/>
    <mergeCell ref="U394"/>
    <mergeCell ref="Z391"/>
    <mergeCell ref="Y391"/>
    <mergeCell ref="E393"/>
    <mergeCell ref="G393"/>
    <mergeCell ref="W392"/>
    <mergeCell ref="H393"/>
    <mergeCell ref="C392"/>
    <mergeCell ref="W391"/>
    <mergeCell ref="Y392"/>
    <mergeCell ref="B393"/>
    <mergeCell ref="O395"/>
    <mergeCell ref="X395"/>
    <mergeCell ref="T395"/>
    <mergeCell ref="Q395"/>
    <mergeCell ref="U395"/>
    <mergeCell ref="W395"/>
    <mergeCell ref="N394"/>
    <mergeCell ref="S395"/>
    <mergeCell ref="G395"/>
    <mergeCell ref="H395"/>
    <mergeCell ref="I395"/>
    <mergeCell ref="X394"/>
    <mergeCell ref="M395"/>
    <mergeCell ref="B366"/>
    <mergeCell ref="S365"/>
    <mergeCell ref="Y424"/>
    <mergeCell ref="B372"/>
    <mergeCell ref="X423"/>
    <mergeCell ref="O424"/>
    <mergeCell ref="L422"/>
    <mergeCell ref="A373"/>
    <mergeCell ref="R372"/>
    <mergeCell ref="T377"/>
    <mergeCell ref="K377"/>
    <mergeCell ref="N377"/>
    <mergeCell ref="M377"/>
    <mergeCell ref="L377"/>
    <mergeCell ref="P377"/>
    <mergeCell ref="R377"/>
    <mergeCell ref="A378"/>
    <mergeCell ref="V375"/>
    <mergeCell ref="F376"/>
    <mergeCell ref="E376"/>
    <mergeCell ref="Y376"/>
    <mergeCell ref="A377"/>
    <mergeCell ref="R375"/>
    <mergeCell ref="X375"/>
    <mergeCell ref="Y375"/>
    <mergeCell ref="Y389"/>
    <mergeCell ref="D381"/>
    <mergeCell ref="E381"/>
    <mergeCell ref="O381"/>
    <mergeCell ref="W381"/>
    <mergeCell ref="S381"/>
    <mergeCell ref="R381"/>
    <mergeCell ref="V385"/>
    <mergeCell ref="G386"/>
    <mergeCell ref="H386"/>
    <mergeCell ref="L385"/>
    <mergeCell ref="C383"/>
    <mergeCell ref="A385"/>
    <mergeCell ref="B383"/>
    <mergeCell ref="N385"/>
    <mergeCell ref="L386"/>
    <mergeCell ref="X386"/>
    <mergeCell ref="I387"/>
    <mergeCell ref="J387"/>
    <mergeCell ref="K387"/>
    <mergeCell ref="A382"/>
    <mergeCell ref="A375"/>
    <mergeCell ref="B375"/>
    <mergeCell ref="A376"/>
    <mergeCell ref="M372"/>
    <mergeCell ref="V372"/>
    <mergeCell ref="Y372"/>
    <mergeCell ref="X372"/>
    <mergeCell ref="D377"/>
    <mergeCell ref="S377"/>
    <mergeCell ref="O378"/>
    <mergeCell ref="U378"/>
    <mergeCell ref="I376"/>
    <mergeCell ref="X382"/>
    <mergeCell ref="N384"/>
    <mergeCell ref="X384"/>
    <mergeCell ref="A387"/>
    <mergeCell ref="B387"/>
    <mergeCell ref="F388"/>
    <mergeCell ref="R367"/>
    <mergeCell ref="F369"/>
    <mergeCell ref="L370"/>
    <mergeCell ref="Y370"/>
    <mergeCell ref="W370"/>
    <mergeCell ref="O370"/>
    <mergeCell ref="I369"/>
    <mergeCell ref="Q369"/>
    <mergeCell ref="M369"/>
    <mergeCell ref="L369"/>
    <mergeCell ref="U365"/>
    <mergeCell ref="G364"/>
    <mergeCell ref="C374"/>
    <mergeCell ref="S376"/>
    <mergeCell ref="K376"/>
    <mergeCell ref="M376"/>
    <mergeCell ref="N376"/>
    <mergeCell ref="O376"/>
    <mergeCell ref="P376"/>
    <mergeCell ref="Q376"/>
    <mergeCell ref="W375"/>
    <mergeCell ref="D376"/>
    <mergeCell ref="T375"/>
    <mergeCell ref="P374"/>
    <mergeCell ref="R376"/>
    <mergeCell ref="X376"/>
    <mergeCell ref="W376"/>
    <mergeCell ref="V376"/>
    <mergeCell ref="U376"/>
    <mergeCell ref="T376"/>
    <mergeCell ref="P369"/>
    <mergeCell ref="X369"/>
    <mergeCell ref="W369"/>
    <mergeCell ref="R369"/>
    <mergeCell ref="T369"/>
    <mergeCell ref="V369"/>
    <mergeCell ref="Q373"/>
    <mergeCell ref="O373"/>
    <mergeCell ref="S373"/>
    <mergeCell ref="K373"/>
    <mergeCell ref="V373"/>
    <mergeCell ref="J373"/>
    <mergeCell ref="C376"/>
    <mergeCell ref="U375"/>
    <mergeCell ref="R373"/>
    <mergeCell ref="N373"/>
    <mergeCell ref="L373"/>
    <mergeCell ref="Q372"/>
    <mergeCell ref="I373"/>
    <mergeCell ref="I371"/>
    <mergeCell ref="T370"/>
    <mergeCell ref="T371"/>
    <mergeCell ref="W372"/>
    <mergeCell ref="U372"/>
    <mergeCell ref="K372"/>
    <mergeCell ref="E373"/>
    <mergeCell ref="P373"/>
    <mergeCell ref="H372"/>
    <mergeCell ref="I372"/>
    <mergeCell ref="P372"/>
    <mergeCell ref="S375"/>
    <mergeCell ref="J376"/>
    <mergeCell ref="J372"/>
    <mergeCell ref="D374"/>
    <mergeCell ref="N352"/>
    <mergeCell ref="I352"/>
    <mergeCell ref="J352"/>
    <mergeCell ref="K352"/>
    <mergeCell ref="M352"/>
    <mergeCell ref="C351"/>
    <mergeCell ref="O352"/>
    <mergeCell ref="Z347"/>
    <mergeCell ref="Y352"/>
    <mergeCell ref="O353"/>
    <mergeCell ref="I356"/>
    <mergeCell ref="P347"/>
    <mergeCell ref="X347"/>
    <mergeCell ref="W347"/>
    <mergeCell ref="T355"/>
    <mergeCell ref="U355"/>
    <mergeCell ref="Z355"/>
    <mergeCell ref="E356"/>
    <mergeCell ref="O355"/>
    <mergeCell ref="K354"/>
    <mergeCell ref="F356"/>
    <mergeCell ref="G356"/>
    <mergeCell ref="J353"/>
    <mergeCell ref="K390"/>
    <mergeCell ref="W390"/>
    <mergeCell ref="E391"/>
    <mergeCell ref="V365"/>
    <mergeCell ref="C366"/>
    <mergeCell ref="U369"/>
    <mergeCell ref="G370"/>
    <mergeCell ref="J374"/>
    <mergeCell ref="E374"/>
    <mergeCell ref="V371"/>
    <mergeCell ref="W374"/>
    <mergeCell ref="F374"/>
    <mergeCell ref="O374"/>
    <mergeCell ref="C388"/>
    <mergeCell ref="Z360"/>
    <mergeCell ref="Y358"/>
    <mergeCell ref="G383"/>
    <mergeCell ref="H383"/>
    <mergeCell ref="Z382"/>
    <mergeCell ref="M383"/>
    <mergeCell ref="G381"/>
    <mergeCell ref="F382"/>
    <mergeCell ref="G382"/>
    <mergeCell ref="P382"/>
    <mergeCell ref="Y383"/>
    <mergeCell ref="C348"/>
    <mergeCell ref="E350"/>
    <mergeCell ref="L352"/>
    <mergeCell ref="C350"/>
    <mergeCell ref="G352"/>
    <mergeCell ref="F352"/>
    <mergeCell ref="D352"/>
    <mergeCell ref="K349"/>
    <mergeCell ref="W349"/>
    <mergeCell ref="C372"/>
    <mergeCell ref="D382"/>
    <mergeCell ref="E382"/>
    <mergeCell ref="X371"/>
    <mergeCell ref="P380"/>
    <mergeCell ref="M380"/>
    <mergeCell ref="W380"/>
    <mergeCell ref="Z423"/>
    <mergeCell ref="N424"/>
    <mergeCell ref="M423"/>
    <mergeCell ref="K358"/>
    <mergeCell ref="L358"/>
    <mergeCell ref="I378"/>
    <mergeCell ref="W377"/>
    <mergeCell ref="T382"/>
    <mergeCell ref="M363"/>
    <mergeCell ref="S364"/>
    <mergeCell ref="O364"/>
    <mergeCell ref="L365"/>
    <mergeCell ref="R365"/>
    <mergeCell ref="Z378"/>
    <mergeCell ref="Q378"/>
    <mergeCell ref="S378"/>
    <mergeCell ref="R378"/>
    <mergeCell ref="X378"/>
    <mergeCell ref="F379"/>
    <mergeCell ref="G379"/>
    <mergeCell ref="V380"/>
    <mergeCell ref="N381"/>
    <mergeCell ref="X380"/>
    <mergeCell ref="J381"/>
    <mergeCell ref="M381"/>
    <mergeCell ref="R380"/>
    <mergeCell ref="K381"/>
    <mergeCell ref="R351"/>
    <mergeCell ref="O350"/>
    <mergeCell ref="Y351"/>
    <mergeCell ref="X351"/>
    <mergeCell ref="W351"/>
    <mergeCell ref="V351"/>
    <mergeCell ref="U351"/>
    <mergeCell ref="T351"/>
    <mergeCell ref="F353"/>
    <mergeCell ref="P358"/>
    <mergeCell ref="F358"/>
    <mergeCell ref="M357"/>
    <mergeCell ref="J357"/>
    <mergeCell ref="Z358"/>
    <mergeCell ref="S358"/>
    <mergeCell ref="I357"/>
    <mergeCell ref="V358"/>
    <mergeCell ref="K357"/>
    <mergeCell ref="V357"/>
    <mergeCell ref="T357"/>
    <mergeCell ref="O357"/>
    <mergeCell ref="G358"/>
    <mergeCell ref="H358"/>
    <mergeCell ref="V356"/>
    <mergeCell ref="H357"/>
    <mergeCell ref="W357"/>
    <mergeCell ref="L357"/>
    <mergeCell ref="U357"/>
    <mergeCell ref="Q357"/>
    <mergeCell ref="S357"/>
    <mergeCell ref="X357"/>
    <mergeCell ref="Y357"/>
    <mergeCell ref="Z357"/>
    <mergeCell ref="G357"/>
    <mergeCell ref="P357"/>
    <mergeCell ref="Z352"/>
    <mergeCell ref="X381"/>
    <mergeCell ref="J341"/>
    <mergeCell ref="W341"/>
    <mergeCell ref="U341"/>
    <mergeCell ref="P341"/>
    <mergeCell ref="O430"/>
    <mergeCell ref="J358"/>
    <mergeCell ref="I370"/>
    <mergeCell ref="S370"/>
    <mergeCell ref="L367"/>
    <mergeCell ref="U367"/>
    <mergeCell ref="L427"/>
    <mergeCell ref="K383"/>
    <mergeCell ref="L383"/>
    <mergeCell ref="R382"/>
    <mergeCell ref="T383"/>
    <mergeCell ref="G374"/>
    <mergeCell ref="S374"/>
    <mergeCell ref="Q374"/>
    <mergeCell ref="I374"/>
    <mergeCell ref="Q354"/>
    <mergeCell ref="P354"/>
    <mergeCell ref="L354"/>
    <mergeCell ref="D355"/>
    <mergeCell ref="H353"/>
    <mergeCell ref="R353"/>
    <mergeCell ref="F354"/>
    <mergeCell ref="G354"/>
    <mergeCell ref="H354"/>
    <mergeCell ref="E355"/>
    <mergeCell ref="U354"/>
    <mergeCell ref="P355"/>
    <mergeCell ref="T425"/>
    <mergeCell ref="A342"/>
    <mergeCell ref="O363"/>
    <mergeCell ref="E366"/>
    <mergeCell ref="R366"/>
    <mergeCell ref="T366"/>
    <mergeCell ref="N364"/>
    <mergeCell ref="F366"/>
    <mergeCell ref="E364"/>
    <mergeCell ref="T384"/>
    <mergeCell ref="W383"/>
    <mergeCell ref="P383"/>
    <mergeCell ref="V382"/>
    <mergeCell ref="L384"/>
    <mergeCell ref="K382"/>
    <mergeCell ref="W382"/>
    <mergeCell ref="I383"/>
    <mergeCell ref="J383"/>
    <mergeCell ref="H384"/>
    <mergeCell ref="I384"/>
    <mergeCell ref="J384"/>
    <mergeCell ref="K384"/>
    <mergeCell ref="E422"/>
    <mergeCell ref="Q422"/>
    <mergeCell ref="C425"/>
    <mergeCell ref="D349"/>
    <mergeCell ref="A343"/>
    <mergeCell ref="C358"/>
    <mergeCell ref="E358"/>
    <mergeCell ref="D358"/>
    <mergeCell ref="H349"/>
    <mergeCell ref="K353"/>
    <mergeCell ref="B350"/>
    <mergeCell ref="Z426"/>
    <mergeCell ref="P427"/>
    <mergeCell ref="X429"/>
    <mergeCell ref="P429"/>
    <mergeCell ref="T432"/>
    <mergeCell ref="J432"/>
    <mergeCell ref="D432"/>
    <mergeCell ref="M432"/>
    <mergeCell ref="X436"/>
    <mergeCell ref="M434"/>
    <mergeCell ref="R434"/>
    <mergeCell ref="P434"/>
    <mergeCell ref="O434"/>
    <mergeCell ref="Q434"/>
    <mergeCell ref="F435"/>
    <mergeCell ref="G435"/>
    <mergeCell ref="S422"/>
    <mergeCell ref="H425"/>
    <mergeCell ref="I425"/>
    <mergeCell ref="Y430"/>
    <mergeCell ref="T429"/>
    <mergeCell ref="E432"/>
    <mergeCell ref="X432"/>
    <mergeCell ref="L433"/>
    <mergeCell ref="K432"/>
    <mergeCell ref="R435"/>
    <mergeCell ref="Q426"/>
    <mergeCell ref="Z429"/>
    <mergeCell ref="M425"/>
    <mergeCell ref="X424"/>
    <mergeCell ref="F425"/>
    <mergeCell ref="G425"/>
    <mergeCell ref="T424"/>
    <mergeCell ref="Z427"/>
    <mergeCell ref="V426"/>
    <mergeCell ref="S427"/>
    <mergeCell ref="U427"/>
    <mergeCell ref="V427"/>
    <mergeCell ref="Z425"/>
    <mergeCell ref="Y425"/>
    <mergeCell ref="T434"/>
    <mergeCell ref="J436"/>
    <mergeCell ref="P435"/>
    <mergeCell ref="L436"/>
    <mergeCell ref="R436"/>
    <mergeCell ref="X425"/>
    <mergeCell ref="P425"/>
    <mergeCell ref="V425"/>
    <mergeCell ref="J428"/>
    <mergeCell ref="M427"/>
    <mergeCell ref="D428"/>
    <mergeCell ref="K428"/>
    <mergeCell ref="L428"/>
    <mergeCell ref="M428"/>
    <mergeCell ref="N428"/>
    <mergeCell ref="O427"/>
    <mergeCell ref="U426"/>
    <mergeCell ref="O428"/>
    <mergeCell ref="P428"/>
    <mergeCell ref="H426"/>
    <mergeCell ref="S426"/>
    <mergeCell ref="H428"/>
    <mergeCell ref="N429"/>
    <mergeCell ref="F430"/>
    <mergeCell ref="C426"/>
    <mergeCell ref="H429"/>
    <mergeCell ref="X430"/>
    <mergeCell ref="A429"/>
    <mergeCell ref="B429"/>
    <mergeCell ref="L429"/>
    <mergeCell ref="A431"/>
    <mergeCell ref="R431"/>
    <mergeCell ref="W431"/>
    <mergeCell ref="X431"/>
    <mergeCell ref="T431"/>
    <mergeCell ref="U431"/>
    <mergeCell ref="D423"/>
    <mergeCell ref="P423"/>
    <mergeCell ref="W422"/>
    <mergeCell ref="F423"/>
    <mergeCell ref="R423"/>
    <mergeCell ref="C424"/>
    <mergeCell ref="D424"/>
    <mergeCell ref="E424"/>
    <mergeCell ref="A425"/>
    <mergeCell ref="B425"/>
    <mergeCell ref="M424"/>
    <mergeCell ref="Q423"/>
    <mergeCell ref="U424"/>
    <mergeCell ref="I423"/>
    <mergeCell ref="T423"/>
    <mergeCell ref="F424"/>
    <mergeCell ref="G424"/>
    <mergeCell ref="H424"/>
    <mergeCell ref="W425"/>
    <mergeCell ref="E426"/>
    <mergeCell ref="R426"/>
    <mergeCell ref="S425"/>
    <mergeCell ref="A427"/>
    <mergeCell ref="J427"/>
    <mergeCell ref="N426"/>
    <mergeCell ref="K427"/>
    <mergeCell ref="C427"/>
    <mergeCell ref="G427"/>
    <mergeCell ref="F427"/>
    <mergeCell ref="E427"/>
    <mergeCell ref="T428"/>
    <mergeCell ref="T426"/>
    <mergeCell ref="W427"/>
    <mergeCell ref="R428"/>
    <mergeCell ref="U428"/>
    <mergeCell ref="S428"/>
    <mergeCell ref="W428"/>
    <mergeCell ref="B424"/>
    <mergeCell ref="C423"/>
    <mergeCell ref="G422"/>
    <mergeCell ref="Q425"/>
    <mergeCell ref="K423"/>
    <mergeCell ref="V423"/>
    <mergeCell ref="I424"/>
    <mergeCell ref="J424"/>
    <mergeCell ref="K424"/>
    <mergeCell ref="L424"/>
    <mergeCell ref="D422"/>
    <mergeCell ref="M422"/>
    <mergeCell ref="F422"/>
    <mergeCell ref="H422"/>
    <mergeCell ref="H423"/>
    <mergeCell ref="A432"/>
    <mergeCell ref="B432"/>
    <mergeCell ref="V429"/>
    <mergeCell ref="S431"/>
    <mergeCell ref="S430"/>
    <mergeCell ref="K429"/>
    <mergeCell ref="W429"/>
    <mergeCell ref="M429"/>
    <mergeCell ref="F431"/>
    <mergeCell ref="J429"/>
    <mergeCell ref="K431"/>
    <mergeCell ref="L431"/>
    <mergeCell ref="M431"/>
    <mergeCell ref="M430"/>
    <mergeCell ref="G431"/>
    <mergeCell ref="B431"/>
    <mergeCell ref="A430"/>
    <mergeCell ref="D431"/>
    <mergeCell ref="E430"/>
    <mergeCell ref="N430"/>
    <mergeCell ref="O431"/>
    <mergeCell ref="Q432"/>
    <mergeCell ref="B430"/>
    <mergeCell ref="P431"/>
    <mergeCell ref="V431"/>
    <mergeCell ref="O432"/>
    <mergeCell ref="X428"/>
    <mergeCell ref="A428"/>
    <mergeCell ref="R425"/>
    <mergeCell ref="U425"/>
    <mergeCell ref="S423"/>
    <mergeCell ref="D427"/>
    <mergeCell ref="G426"/>
    <mergeCell ref="O426"/>
    <mergeCell ref="K426"/>
    <mergeCell ref="X427"/>
    <mergeCell ref="T427"/>
    <mergeCell ref="B428"/>
    <mergeCell ref="E428"/>
    <mergeCell ref="C428"/>
    <mergeCell ref="B426"/>
    <mergeCell ref="I427"/>
    <mergeCell ref="F426"/>
    <mergeCell ref="I426"/>
    <mergeCell ref="W426"/>
    <mergeCell ref="N425"/>
    <mergeCell ref="J426"/>
    <mergeCell ref="D425"/>
    <mergeCell ref="V424"/>
    <mergeCell ref="S424"/>
    <mergeCell ref="L425"/>
    <mergeCell ref="W424"/>
    <mergeCell ref="A426"/>
    <mergeCell ref="D426"/>
    <mergeCell ref="X426"/>
    <mergeCell ref="Q427"/>
    <mergeCell ref="P426"/>
    <mergeCell ref="I428"/>
    <mergeCell ref="D429"/>
    <mergeCell ref="G429"/>
    <mergeCell ref="F429"/>
    <mergeCell ref="E429"/>
    <mergeCell ref="G428"/>
    <mergeCell ref="F428"/>
    <mergeCell ref="B433"/>
    <mergeCell ref="G433"/>
    <mergeCell ref="E433"/>
    <mergeCell ref="I433"/>
    <mergeCell ref="J433"/>
    <mergeCell ref="I436"/>
    <mergeCell ref="T436"/>
    <mergeCell ref="X433"/>
    <mergeCell ref="U436"/>
    <mergeCell ref="P437"/>
    <mergeCell ref="O437"/>
    <mergeCell ref="P436"/>
    <mergeCell ref="O436"/>
    <mergeCell ref="N436"/>
    <mergeCell ref="K437"/>
    <mergeCell ref="W436"/>
    <mergeCell ref="V435"/>
    <mergeCell ref="K436"/>
    <mergeCell ref="Q435"/>
    <mergeCell ref="U435"/>
    <mergeCell ref="W435"/>
    <mergeCell ref="T435"/>
    <mergeCell ref="S435"/>
    <mergeCell ref="V436"/>
    <mergeCell ref="Q436"/>
    <mergeCell ref="J431"/>
    <mergeCell ref="I431"/>
    <mergeCell ref="R429"/>
    <mergeCell ref="J430"/>
    <mergeCell ref="I429"/>
    <mergeCell ref="U429"/>
    <mergeCell ref="P430"/>
    <mergeCell ref="I430"/>
    <mergeCell ref="K430"/>
    <mergeCell ref="L430"/>
    <mergeCell ref="Q430"/>
    <mergeCell ref="R430"/>
    <mergeCell ref="H430"/>
    <mergeCell ref="C429"/>
    <mergeCell ref="H435"/>
    <mergeCell ref="I435"/>
    <mergeCell ref="J435"/>
    <mergeCell ref="K435"/>
    <mergeCell ref="L435"/>
    <mergeCell ref="L437"/>
    <mergeCell ref="J477"/>
    <mergeCell ref="C456"/>
    <mergeCell ref="Y455"/>
    <mergeCell ref="E456"/>
    <mergeCell ref="W455"/>
    <mergeCell ref="M455"/>
    <mergeCell ref="A462"/>
    <mergeCell ref="A463"/>
    <mergeCell ref="Z477"/>
    <mergeCell ref="L449"/>
    <mergeCell ref="X449"/>
    <mergeCell ref="V449"/>
    <mergeCell ref="O449"/>
    <mergeCell ref="T449"/>
    <mergeCell ref="B450"/>
    <mergeCell ref="B460"/>
    <mergeCell ref="S469"/>
    <mergeCell ref="G470"/>
    <mergeCell ref="H470"/>
    <mergeCell ref="A482"/>
    <mergeCell ref="A440"/>
    <mergeCell ref="B440"/>
    <mergeCell ref="B442"/>
    <mergeCell ref="A441"/>
    <mergeCell ref="B441"/>
    <mergeCell ref="V441"/>
    <mergeCell ref="W441"/>
    <mergeCell ref="X441"/>
    <mergeCell ref="B438"/>
    <mergeCell ref="C438"/>
    <mergeCell ref="A439"/>
    <mergeCell ref="A438"/>
    <mergeCell ref="M472"/>
    <mergeCell ref="I449"/>
    <mergeCell ref="H448"/>
    <mergeCell ref="W448"/>
    <mergeCell ref="B449"/>
    <mergeCell ref="C449"/>
    <mergeCell ref="P470"/>
    <mergeCell ref="N470"/>
    <mergeCell ref="R470"/>
    <mergeCell ref="S470"/>
    <mergeCell ref="T470"/>
    <mergeCell ref="V469"/>
    <mergeCell ref="M470"/>
    <mergeCell ref="X470"/>
    <mergeCell ref="M468"/>
    <mergeCell ref="D464"/>
    <mergeCell ref="S472"/>
    <mergeCell ref="X472"/>
    <mergeCell ref="Z462"/>
    <mergeCell ref="X457"/>
    <mergeCell ref="T457"/>
    <mergeCell ref="S457"/>
    <mergeCell ref="D458"/>
    <mergeCell ref="E458"/>
    <mergeCell ref="F458"/>
    <mergeCell ref="Z467"/>
    <mergeCell ref="Z469"/>
    <mergeCell ref="Z470"/>
    <mergeCell ref="Z440"/>
    <mergeCell ref="Z441"/>
    <mergeCell ref="Z442"/>
    <mergeCell ref="Q442"/>
    <mergeCell ref="Z466"/>
    <mergeCell ref="N467"/>
    <mergeCell ref="M466"/>
    <mergeCell ref="H466"/>
    <mergeCell ref="Q466"/>
    <mergeCell ref="R466"/>
    <mergeCell ref="O467"/>
    <mergeCell ref="U467"/>
    <mergeCell ref="A456"/>
    <mergeCell ref="T455"/>
    <mergeCell ref="S455"/>
    <mergeCell ref="P455"/>
    <mergeCell ref="Q455"/>
    <mergeCell ref="R455"/>
    <mergeCell ref="O455"/>
    <mergeCell ref="K460"/>
    <mergeCell ref="A450"/>
    <mergeCell ref="D448"/>
    <mergeCell ref="O448"/>
    <mergeCell ref="J449"/>
    <mergeCell ref="P449"/>
    <mergeCell ref="H449"/>
    <mergeCell ref="R449"/>
    <mergeCell ref="U448"/>
    <mergeCell ref="V437"/>
    <mergeCell ref="U437"/>
    <mergeCell ref="T437"/>
    <mergeCell ref="S437"/>
    <mergeCell ref="X437"/>
    <mergeCell ref="J437"/>
    <mergeCell ref="R437"/>
    <mergeCell ref="W437"/>
    <mergeCell ref="A437"/>
    <mergeCell ref="B437"/>
    <mergeCell ref="C437"/>
    <mergeCell ref="P442"/>
    <mergeCell ref="O442"/>
    <mergeCell ref="U442"/>
    <mergeCell ref="J440"/>
    <mergeCell ref="Y439"/>
    <mergeCell ref="V439"/>
    <mergeCell ref="X439"/>
    <mergeCell ref="C443"/>
    <mergeCell ref="H442"/>
    <mergeCell ref="I443"/>
    <mergeCell ref="G442"/>
    <mergeCell ref="R442"/>
    <mergeCell ref="U441"/>
    <mergeCell ref="N444"/>
    <mergeCell ref="X443"/>
    <mergeCell ref="T441"/>
    <mergeCell ref="J443"/>
    <mergeCell ref="G443"/>
    <mergeCell ref="H443"/>
    <mergeCell ref="E443"/>
    <mergeCell ref="K440"/>
    <mergeCell ref="T458"/>
    <mergeCell ref="G459"/>
    <mergeCell ref="D450"/>
    <mergeCell ref="N450"/>
    <mergeCell ref="Q448"/>
    <mergeCell ref="T448"/>
    <mergeCell ref="R448"/>
    <mergeCell ref="Y437"/>
    <mergeCell ref="Y434"/>
    <mergeCell ref="X434"/>
    <mergeCell ref="W434"/>
    <mergeCell ref="V434"/>
    <mergeCell ref="C435"/>
    <mergeCell ref="D435"/>
    <mergeCell ref="B439"/>
    <mergeCell ref="C439"/>
    <mergeCell ref="D439"/>
    <mergeCell ref="D438"/>
    <mergeCell ref="Z436"/>
    <mergeCell ref="L434"/>
    <mergeCell ref="A434"/>
    <mergeCell ref="B434"/>
    <mergeCell ref="S436"/>
    <mergeCell ref="D437"/>
    <mergeCell ref="E437"/>
    <mergeCell ref="F437"/>
    <mergeCell ref="W444"/>
    <mergeCell ref="V444"/>
    <mergeCell ref="O440"/>
    <mergeCell ref="Y440"/>
    <mergeCell ref="T440"/>
    <mergeCell ref="V440"/>
    <mergeCell ref="D441"/>
    <mergeCell ref="E441"/>
    <mergeCell ref="Z444"/>
    <mergeCell ref="R441"/>
    <mergeCell ref="M440"/>
    <mergeCell ref="W440"/>
    <mergeCell ref="Z435"/>
    <mergeCell ref="H438"/>
    <mergeCell ref="M438"/>
    <mergeCell ref="S438"/>
    <mergeCell ref="L438"/>
    <mergeCell ref="I438"/>
    <mergeCell ref="J438"/>
    <mergeCell ref="N438"/>
    <mergeCell ref="W438"/>
    <mergeCell ref="R438"/>
    <mergeCell ref="T438"/>
    <mergeCell ref="X438"/>
    <mergeCell ref="O438"/>
    <mergeCell ref="V438"/>
    <mergeCell ref="O435"/>
    <mergeCell ref="G439"/>
    <mergeCell ref="A436"/>
    <mergeCell ref="F434"/>
    <mergeCell ref="B436"/>
    <mergeCell ref="O439"/>
    <mergeCell ref="K439"/>
    <mergeCell ref="I439"/>
    <mergeCell ref="Q438"/>
    <mergeCell ref="P438"/>
    <mergeCell ref="U440"/>
    <mergeCell ref="G438"/>
    <mergeCell ref="D442"/>
    <mergeCell ref="N443"/>
    <mergeCell ref="F444"/>
    <mergeCell ref="Q444"/>
    <mergeCell ref="Y444"/>
    <mergeCell ref="C444"/>
    <mergeCell ref="K438"/>
    <mergeCell ref="U438"/>
    <mergeCell ref="X435"/>
    <mergeCell ref="C436"/>
    <mergeCell ref="S380"/>
    <mergeCell ref="F381"/>
    <mergeCell ref="P381"/>
    <mergeCell ref="T381"/>
    <mergeCell ref="Q381"/>
    <mergeCell ref="V381"/>
    <mergeCell ref="Y381"/>
    <mergeCell ref="Z381"/>
    <mergeCell ref="B371"/>
    <mergeCell ref="T372"/>
    <mergeCell ref="X373"/>
    <mergeCell ref="Y373"/>
    <mergeCell ref="J377"/>
    <mergeCell ref="H377"/>
    <mergeCell ref="B377"/>
    <mergeCell ref="C377"/>
    <mergeCell ref="B376"/>
    <mergeCell ref="Y371"/>
    <mergeCell ref="L372"/>
    <mergeCell ref="S372"/>
    <mergeCell ref="C373"/>
    <mergeCell ref="W373"/>
    <mergeCell ref="M373"/>
    <mergeCell ref="U373"/>
    <mergeCell ref="H381"/>
    <mergeCell ref="T380"/>
    <mergeCell ref="O372"/>
    <mergeCell ref="K371"/>
    <mergeCell ref="Z372"/>
    <mergeCell ref="G377"/>
    <mergeCell ref="T373"/>
    <mergeCell ref="F373"/>
    <mergeCell ref="G373"/>
    <mergeCell ref="D373"/>
    <mergeCell ref="J379"/>
    <mergeCell ref="T379"/>
    <mergeCell ref="D380"/>
    <mergeCell ref="E380"/>
    <mergeCell ref="F371"/>
    <mergeCell ref="G371"/>
    <mergeCell ref="Z371"/>
    <mergeCell ref="Z373"/>
    <mergeCell ref="Z376"/>
    <mergeCell ref="I381"/>
    <mergeCell ref="W371"/>
    <mergeCell ref="N371"/>
    <mergeCell ref="B381"/>
    <mergeCell ref="B373"/>
    <mergeCell ref="H378"/>
    <mergeCell ref="Y377"/>
    <mergeCell ref="I377"/>
    <mergeCell ref="F377"/>
    <mergeCell ref="O377"/>
    <mergeCell ref="E377"/>
    <mergeCell ref="B378"/>
    <mergeCell ref="C378"/>
    <mergeCell ref="D378"/>
    <mergeCell ref="P375"/>
    <mergeCell ref="X374"/>
    <mergeCell ref="V374"/>
    <mergeCell ref="N434"/>
    <mergeCell ref="U434"/>
    <mergeCell ref="U374"/>
    <mergeCell ref="R374"/>
    <mergeCell ref="T374"/>
    <mergeCell ref="C375"/>
    <mergeCell ref="M478"/>
    <mergeCell ref="N356"/>
    <mergeCell ref="Y356"/>
    <mergeCell ref="H356"/>
    <mergeCell ref="M355"/>
    <mergeCell ref="L356"/>
    <mergeCell ref="K355"/>
    <mergeCell ref="M356"/>
    <mergeCell ref="X349"/>
    <mergeCell ref="P350"/>
    <mergeCell ref="Q350"/>
    <mergeCell ref="T349"/>
    <mergeCell ref="U349"/>
    <mergeCell ref="X350"/>
    <mergeCell ref="Y355"/>
    <mergeCell ref="Q355"/>
    <mergeCell ref="W355"/>
    <mergeCell ref="R355"/>
    <mergeCell ref="S355"/>
    <mergeCell ref="N350"/>
    <mergeCell ref="S349"/>
    <mergeCell ref="G351"/>
    <mergeCell ref="F350"/>
    <mergeCell ref="Z349"/>
    <mergeCell ref="S351"/>
    <mergeCell ref="Z351"/>
    <mergeCell ref="F351"/>
    <mergeCell ref="L349"/>
    <mergeCell ref="L351"/>
    <mergeCell ref="K351"/>
    <mergeCell ref="J351"/>
    <mergeCell ref="J349"/>
    <mergeCell ref="I351"/>
    <mergeCell ref="M351"/>
    <mergeCell ref="O349"/>
    <mergeCell ref="H351"/>
    <mergeCell ref="N351"/>
    <mergeCell ref="O351"/>
    <mergeCell ref="P351"/>
    <mergeCell ref="Q351"/>
    <mergeCell ref="L426"/>
    <mergeCell ref="N427"/>
    <mergeCell ref="Z422"/>
    <mergeCell ref="O422"/>
    <mergeCell ref="V422"/>
    <mergeCell ref="P422"/>
    <mergeCell ref="X422"/>
    <mergeCell ref="Y428"/>
    <mergeCell ref="Z434"/>
    <mergeCell ref="Y427"/>
    <mergeCell ref="Y426"/>
    <mergeCell ref="Z374"/>
    <mergeCell ref="Z375"/>
    <mergeCell ref="N448"/>
    <mergeCell ref="M448"/>
    <mergeCell ref="J448"/>
    <mergeCell ref="I448"/>
    <mergeCell ref="K448"/>
    <mergeCell ref="L448"/>
    <mergeCell ref="Y431"/>
    <mergeCell ref="Z380"/>
    <mergeCell ref="I354"/>
    <mergeCell ref="M353"/>
    <mergeCell ref="O354"/>
    <mergeCell ref="U358"/>
    <mergeCell ref="Q358"/>
    <mergeCell ref="T353"/>
    <mergeCell ref="J354"/>
    <mergeCell ref="H355"/>
    <mergeCell ref="X356"/>
    <mergeCell ref="F357"/>
    <mergeCell ref="T356"/>
    <mergeCell ref="R356"/>
    <mergeCell ref="S356"/>
    <mergeCell ref="L381"/>
    <mergeCell ref="U381"/>
    <mergeCell ref="M379"/>
    <mergeCell ref="V379"/>
    <mergeCell ref="O379"/>
    <mergeCell ref="S379"/>
    <mergeCell ref="G380"/>
    <mergeCell ref="H380"/>
    <mergeCell ref="N378"/>
    <mergeCell ref="L379"/>
    <mergeCell ref="R379"/>
    <mergeCell ref="I380"/>
    <mergeCell ref="J380"/>
    <mergeCell ref="K380"/>
    <mergeCell ref="L380"/>
    <mergeCell ref="Y379"/>
    <mergeCell ref="L359"/>
    <mergeCell ref="K359"/>
    <mergeCell ref="U423"/>
    <mergeCell ref="O423"/>
    <mergeCell ref="W423"/>
    <mergeCell ref="I390"/>
    <mergeCell ref="Q389"/>
    <mergeCell ref="O389"/>
    <mergeCell ref="L389"/>
    <mergeCell ref="I382"/>
    <mergeCell ref="J382"/>
    <mergeCell ref="S382"/>
    <mergeCell ref="L382"/>
    <mergeCell ref="N382"/>
    <mergeCell ref="M382"/>
    <mergeCell ref="Y382"/>
    <mergeCell ref="S389"/>
    <mergeCell ref="G390"/>
    <mergeCell ref="M389"/>
    <mergeCell ref="N389"/>
    <mergeCell ref="W389"/>
    <mergeCell ref="P389"/>
    <mergeCell ref="R389"/>
    <mergeCell ref="V384"/>
    <mergeCell ref="W384"/>
    <mergeCell ref="H382"/>
    <mergeCell ref="I385"/>
    <mergeCell ref="Y384"/>
    <mergeCell ref="X383"/>
    <mergeCell ref="M358"/>
    <mergeCell ref="N358"/>
    <mergeCell ref="U382"/>
    <mergeCell ref="Q380"/>
    <mergeCell ref="Y380"/>
    <mergeCell ref="Z369"/>
    <mergeCell ref="U371"/>
    <mergeCell ref="L371"/>
    <mergeCell ref="G376"/>
    <mergeCell ref="Q375"/>
    <mergeCell ref="H375"/>
    <mergeCell ref="L376"/>
    <mergeCell ref="L374"/>
    <mergeCell ref="Z379"/>
    <mergeCell ref="P356"/>
    <mergeCell ref="O356"/>
    <mergeCell ref="K356"/>
    <mergeCell ref="J355"/>
    <mergeCell ref="X355"/>
    <mergeCell ref="Z356"/>
    <mergeCell ref="P363"/>
    <mergeCell ref="Z363"/>
    <mergeCell ref="Z364"/>
    <mergeCell ref="N359"/>
    <mergeCell ref="X359"/>
    <mergeCell ref="R358"/>
    <mergeCell ref="Y359"/>
    <mergeCell ref="K360"/>
    <mergeCell ref="U360"/>
    <mergeCell ref="Z365"/>
    <mergeCell ref="Z353"/>
    <mergeCell ref="N369"/>
    <mergeCell ref="J370"/>
    <mergeCell ref="Q370"/>
    <mergeCell ref="M370"/>
    <mergeCell ref="X370"/>
    <mergeCell ref="P490"/>
    <mergeCell ref="J491"/>
    <mergeCell ref="O491"/>
    <mergeCell ref="M491"/>
    <mergeCell ref="K491"/>
    <mergeCell ref="K467"/>
    <mergeCell ref="G464"/>
    <mergeCell ref="W461"/>
    <mergeCell ref="Y429"/>
    <mergeCell ref="Z449"/>
    <mergeCell ref="S450"/>
    <mergeCell ref="M449"/>
    <mergeCell ref="N432"/>
    <mergeCell ref="W430"/>
    <mergeCell ref="V430"/>
    <mergeCell ref="U430"/>
    <mergeCell ref="T430"/>
    <mergeCell ref="Z430"/>
    <mergeCell ref="O429"/>
    <mergeCell ref="Z432"/>
    <mergeCell ref="Z431"/>
    <mergeCell ref="Z400"/>
    <mergeCell ref="N401"/>
    <mergeCell ref="U401"/>
    <mergeCell ref="V401"/>
    <mergeCell ref="W401"/>
    <mergeCell ref="X401"/>
    <mergeCell ref="Y401"/>
    <mergeCell ref="Z401"/>
    <mergeCell ref="Z428"/>
    <mergeCell ref="Q431"/>
    <mergeCell ref="Y423"/>
    <mergeCell ref="N423"/>
    <mergeCell ref="Y482"/>
    <mergeCell ref="T482"/>
    <mergeCell ref="U482"/>
    <mergeCell ref="C483"/>
    <mergeCell ref="L479"/>
    <mergeCell ref="E481"/>
    <mergeCell ref="O480"/>
    <mergeCell ref="F483"/>
    <mergeCell ref="X482"/>
    <mergeCell ref="I483"/>
    <mergeCell ref="H483"/>
    <mergeCell ref="W482"/>
    <mergeCell ref="S482"/>
    <mergeCell ref="R482"/>
    <mergeCell ref="V505"/>
    <mergeCell ref="R477"/>
    <mergeCell ref="D482"/>
    <mergeCell ref="M482"/>
    <mergeCell ref="L482"/>
    <mergeCell ref="K482"/>
    <mergeCell ref="J482"/>
    <mergeCell ref="I482"/>
    <mergeCell ref="S493"/>
    <mergeCell ref="I495"/>
    <mergeCell ref="G497"/>
    <mergeCell ref="O497"/>
    <mergeCell ref="W497"/>
    <mergeCell ref="Y497"/>
    <mergeCell ref="C490"/>
    <mergeCell ref="N490"/>
    <mergeCell ref="Y490"/>
    <mergeCell ref="W490"/>
    <mergeCell ref="R490"/>
    <mergeCell ref="W493"/>
    <mergeCell ref="Q494"/>
    <mergeCell ref="K497"/>
    <mergeCell ref="J497"/>
    <mergeCell ref="N489"/>
    <mergeCell ref="P489"/>
    <mergeCell ref="J489"/>
    <mergeCell ref="S489"/>
    <mergeCell ref="X495"/>
    <mergeCell ref="R495"/>
    <mergeCell ref="T504"/>
    <mergeCell ref="U505"/>
    <mergeCell ref="L504"/>
    <mergeCell ref="U504"/>
    <mergeCell ref="O504"/>
    <mergeCell ref="R504"/>
    <mergeCell ref="N480"/>
    <mergeCell ref="R486"/>
    <mergeCell ref="F487"/>
    <mergeCell ref="G487"/>
    <mergeCell ref="H487"/>
    <mergeCell ref="D486"/>
    <mergeCell ref="Y485"/>
    <mergeCell ref="E486"/>
    <mergeCell ref="F486"/>
    <mergeCell ref="M480"/>
    <mergeCell ref="J485"/>
    <mergeCell ref="C485"/>
    <mergeCell ref="C487"/>
    <mergeCell ref="J484"/>
    <mergeCell ref="E482"/>
    <mergeCell ref="B482"/>
    <mergeCell ref="L480"/>
    <mergeCell ref="H482"/>
    <mergeCell ref="F482"/>
    <mergeCell ref="I480"/>
    <mergeCell ref="A483"/>
    <mergeCell ref="R492"/>
    <mergeCell ref="G493"/>
    <mergeCell ref="Y491"/>
    <mergeCell ref="P483"/>
    <mergeCell ref="I484"/>
    <mergeCell ref="D485"/>
    <mergeCell ref="E485"/>
    <mergeCell ref="F485"/>
    <mergeCell ref="G485"/>
    <mergeCell ref="P481"/>
    <mergeCell ref="Q481"/>
    <mergeCell ref="U481"/>
    <mergeCell ref="X481"/>
    <mergeCell ref="J474"/>
    <mergeCell ref="Y474"/>
    <mergeCell ref="E474"/>
    <mergeCell ref="O474"/>
    <mergeCell ref="O483"/>
    <mergeCell ref="Q479"/>
    <mergeCell ref="B483"/>
    <mergeCell ref="P482"/>
    <mergeCell ref="Y477"/>
    <mergeCell ref="S477"/>
    <mergeCell ref="I474"/>
    <mergeCell ref="B484"/>
    <mergeCell ref="Q477"/>
    <mergeCell ref="M477"/>
    <mergeCell ref="N477"/>
    <mergeCell ref="O477"/>
    <mergeCell ref="P477"/>
    <mergeCell ref="A478"/>
    <mergeCell ref="K476"/>
    <mergeCell ref="X475"/>
    <mergeCell ref="B475"/>
    <mergeCell ref="N475"/>
    <mergeCell ref="O475"/>
    <mergeCell ref="P475"/>
    <mergeCell ref="A476"/>
    <mergeCell ref="A480"/>
    <mergeCell ref="B480"/>
    <mergeCell ref="L492"/>
    <mergeCell ref="Q491"/>
    <mergeCell ref="S491"/>
    <mergeCell ref="V484"/>
    <mergeCell ref="B487"/>
    <mergeCell ref="X484"/>
    <mergeCell ref="E489"/>
    <mergeCell ref="K489"/>
    <mergeCell ref="I489"/>
    <mergeCell ref="G489"/>
    <mergeCell ref="C478"/>
    <mergeCell ref="I485"/>
    <mergeCell ref="W484"/>
    <mergeCell ref="N486"/>
    <mergeCell ref="W486"/>
    <mergeCell ref="P486"/>
    <mergeCell ref="X480"/>
    <mergeCell ref="H480"/>
    <mergeCell ref="B456"/>
    <mergeCell ref="U453"/>
    <mergeCell ref="I454"/>
    <mergeCell ref="M454"/>
    <mergeCell ref="X454"/>
    <mergeCell ref="V454"/>
    <mergeCell ref="Q454"/>
    <mergeCell ref="G455"/>
    <mergeCell ref="H455"/>
    <mergeCell ref="L454"/>
    <mergeCell ref="T454"/>
    <mergeCell ref="P454"/>
    <mergeCell ref="O454"/>
    <mergeCell ref="C455"/>
    <mergeCell ref="D455"/>
    <mergeCell ref="E455"/>
    <mergeCell ref="F455"/>
    <mergeCell ref="K449"/>
    <mergeCell ref="K446"/>
    <mergeCell ref="F450"/>
    <mergeCell ref="H451"/>
    <mergeCell ref="R450"/>
    <mergeCell ref="W449"/>
    <mergeCell ref="W450"/>
    <mergeCell ref="V450"/>
    <mergeCell ref="U450"/>
    <mergeCell ref="U449"/>
    <mergeCell ref="X450"/>
    <mergeCell ref="M446"/>
    <mergeCell ref="W446"/>
    <mergeCell ref="R446"/>
    <mergeCell ref="J447"/>
    <mergeCell ref="H450"/>
    <mergeCell ref="M450"/>
    <mergeCell ref="L450"/>
    <mergeCell ref="K450"/>
    <mergeCell ref="J450"/>
    <mergeCell ref="O450"/>
    <mergeCell ref="N449"/>
    <mergeCell ref="E450"/>
    <mergeCell ref="B448"/>
    <mergeCell ref="E448"/>
    <mergeCell ref="X453"/>
    <mergeCell ref="B454"/>
    <mergeCell ref="C454"/>
    <mergeCell ref="T453"/>
    <mergeCell ref="I456"/>
    <mergeCell ref="S456"/>
    <mergeCell ref="F454"/>
    <mergeCell ref="J455"/>
    <mergeCell ref="G456"/>
    <mergeCell ref="P450"/>
    <mergeCell ref="Q446"/>
    <mergeCell ref="D447"/>
    <mergeCell ref="E447"/>
    <mergeCell ref="F447"/>
    <mergeCell ref="A449"/>
    <mergeCell ref="F446"/>
    <mergeCell ref="G446"/>
    <mergeCell ref="H446"/>
    <mergeCell ref="X447"/>
    <mergeCell ref="A446"/>
    <mergeCell ref="B446"/>
    <mergeCell ref="C446"/>
    <mergeCell ref="C451"/>
    <mergeCell ref="M451"/>
    <mergeCell ref="S447"/>
    <mergeCell ref="G448"/>
    <mergeCell ref="E449"/>
    <mergeCell ref="F449"/>
    <mergeCell ref="G449"/>
    <mergeCell ref="Y443"/>
    <mergeCell ref="O443"/>
    <mergeCell ref="W443"/>
    <mergeCell ref="V443"/>
    <mergeCell ref="R443"/>
    <mergeCell ref="S443"/>
    <mergeCell ref="U443"/>
    <mergeCell ref="Z443"/>
    <mergeCell ref="R444"/>
    <mergeCell ref="F445"/>
    <mergeCell ref="W447"/>
    <mergeCell ref="V446"/>
    <mergeCell ref="R447"/>
    <mergeCell ref="Y447"/>
    <mergeCell ref="X446"/>
    <mergeCell ref="N447"/>
    <mergeCell ref="Q447"/>
    <mergeCell ref="N446"/>
    <mergeCell ref="O447"/>
    <mergeCell ref="Z447"/>
    <mergeCell ref="Y446"/>
    <mergeCell ref="X445"/>
    <mergeCell ref="R445"/>
    <mergeCell ref="T445"/>
    <mergeCell ref="E445"/>
    <mergeCell ref="L444"/>
    <mergeCell ref="M445"/>
    <mergeCell ref="U445"/>
    <mergeCell ref="T446"/>
    <mergeCell ref="V447"/>
    <mergeCell ref="P448"/>
    <mergeCell ref="Y448"/>
    <mergeCell ref="S448"/>
    <mergeCell ref="V448"/>
    <mergeCell ref="C448"/>
    <mergeCell ref="T447"/>
    <mergeCell ref="U447"/>
    <mergeCell ref="F448"/>
    <mergeCell ref="Z448"/>
    <mergeCell ref="X448"/>
    <mergeCell ref="D449"/>
    <mergeCell ref="Q449"/>
    <mergeCell ref="C450"/>
    <mergeCell ref="Q450"/>
    <mergeCell ref="I450"/>
    <mergeCell ref="J445"/>
    <mergeCell ref="S433"/>
    <mergeCell ref="K433"/>
    <mergeCell ref="G434"/>
    <mergeCell ref="J434"/>
    <mergeCell ref="U444"/>
    <mergeCell ref="T444"/>
    <mergeCell ref="S444"/>
    <mergeCell ref="C433"/>
    <mergeCell ref="I441"/>
    <mergeCell ref="N441"/>
    <mergeCell ref="P441"/>
    <mergeCell ref="M441"/>
    <mergeCell ref="L441"/>
    <mergeCell ref="O441"/>
    <mergeCell ref="M439"/>
    <mergeCell ref="W439"/>
    <mergeCell ref="R439"/>
    <mergeCell ref="P439"/>
    <mergeCell ref="G440"/>
    <mergeCell ref="H440"/>
    <mergeCell ref="I440"/>
    <mergeCell ref="M435"/>
    <mergeCell ref="N437"/>
    <mergeCell ref="M436"/>
    <mergeCell ref="M443"/>
    <mergeCell ref="K447"/>
    <mergeCell ref="J446"/>
    <mergeCell ref="S446"/>
    <mergeCell ref="Q428"/>
    <mergeCell ref="V428"/>
    <mergeCell ref="R427"/>
    <mergeCell ref="C434"/>
    <mergeCell ref="E431"/>
    <mergeCell ref="C431"/>
    <mergeCell ref="C430"/>
    <mergeCell ref="D430"/>
    <mergeCell ref="F439"/>
    <mergeCell ref="P445"/>
    <mergeCell ref="V432"/>
    <mergeCell ref="S429"/>
    <mergeCell ref="Q429"/>
    <mergeCell ref="T439"/>
    <mergeCell ref="D436"/>
    <mergeCell ref="E436"/>
    <mergeCell ref="G436"/>
    <mergeCell ref="H436"/>
    <mergeCell ref="I432"/>
    <mergeCell ref="G432"/>
    <mergeCell ref="C432"/>
    <mergeCell ref="K434"/>
    <mergeCell ref="T433"/>
    <mergeCell ref="Q433"/>
    <mergeCell ref="M433"/>
    <mergeCell ref="I434"/>
    <mergeCell ref="W433"/>
    <mergeCell ref="D434"/>
    <mergeCell ref="N431"/>
    <mergeCell ref="H432"/>
    <mergeCell ref="P432"/>
    <mergeCell ref="F432"/>
    <mergeCell ref="R432"/>
    <mergeCell ref="U433"/>
    <mergeCell ref="N435"/>
    <mergeCell ref="H427"/>
    <mergeCell ref="O384"/>
    <mergeCell ref="N383"/>
    <mergeCell ref="Q384"/>
    <mergeCell ref="P384"/>
    <mergeCell ref="C384"/>
    <mergeCell ref="A383"/>
    <mergeCell ref="A388"/>
    <mergeCell ref="B388"/>
    <mergeCell ref="A384"/>
    <mergeCell ref="F385"/>
    <mergeCell ref="K388"/>
    <mergeCell ref="T388"/>
    <mergeCell ref="M388"/>
    <mergeCell ref="O388"/>
    <mergeCell ref="I388"/>
    <mergeCell ref="R388"/>
    <mergeCell ref="D387"/>
    <mergeCell ref="E387"/>
    <mergeCell ref="Z388"/>
    <mergeCell ref="D383"/>
    <mergeCell ref="E383"/>
    <mergeCell ref="L388"/>
    <mergeCell ref="X388"/>
    <mergeCell ref="U384"/>
    <mergeCell ref="D384"/>
    <mergeCell ref="E384"/>
    <mergeCell ref="S383"/>
    <mergeCell ref="U383"/>
    <mergeCell ref="M384"/>
    <mergeCell ref="R384"/>
    <mergeCell ref="H385"/>
    <mergeCell ref="Z386"/>
    <mergeCell ref="N386"/>
    <mergeCell ref="U386"/>
    <mergeCell ref="Q386"/>
    <mergeCell ref="S386"/>
    <mergeCell ref="V386"/>
    <mergeCell ref="W386"/>
    <mergeCell ref="I386"/>
    <mergeCell ref="R386"/>
    <mergeCell ref="J388"/>
    <mergeCell ref="N387"/>
    <mergeCell ref="H388"/>
    <mergeCell ref="V387"/>
    <mergeCell ref="E388"/>
    <mergeCell ref="Y388"/>
    <mergeCell ref="N388"/>
    <mergeCell ref="Z385"/>
    <mergeCell ref="G385"/>
    <mergeCell ref="A359"/>
    <mergeCell ref="A364"/>
    <mergeCell ref="M362"/>
    <mergeCell ref="C363"/>
    <mergeCell ref="D363"/>
    <mergeCell ref="E363"/>
    <mergeCell ref="A363"/>
    <mergeCell ref="Z362"/>
    <mergeCell ref="A365"/>
    <mergeCell ref="O362"/>
    <mergeCell ref="X361"/>
    <mergeCell ref="G363"/>
    <mergeCell ref="D365"/>
    <mergeCell ref="K365"/>
    <mergeCell ref="J365"/>
    <mergeCell ref="I365"/>
    <mergeCell ref="H365"/>
    <mergeCell ref="G365"/>
    <mergeCell ref="F365"/>
    <mergeCell ref="A360"/>
    <mergeCell ref="B360"/>
    <mergeCell ref="B363"/>
    <mergeCell ref="P360"/>
    <mergeCell ref="N360"/>
    <mergeCell ref="E361"/>
    <mergeCell ref="F361"/>
    <mergeCell ref="G361"/>
    <mergeCell ref="H361"/>
    <mergeCell ref="O360"/>
    <mergeCell ref="H359"/>
    <mergeCell ref="E360"/>
    <mergeCell ref="D361"/>
    <mergeCell ref="F359"/>
    <mergeCell ref="Q360"/>
    <mergeCell ref="Q363"/>
    <mergeCell ref="K364"/>
    <mergeCell ref="V364"/>
    <mergeCell ref="E365"/>
    <mergeCell ref="T365"/>
    <mergeCell ref="W365"/>
    <mergeCell ref="N365"/>
    <mergeCell ref="O365"/>
    <mergeCell ref="P365"/>
    <mergeCell ref="S362"/>
    <mergeCell ref="P362"/>
    <mergeCell ref="U362"/>
    <mergeCell ref="X362"/>
    <mergeCell ref="J363"/>
    <mergeCell ref="Y364"/>
    <mergeCell ref="Z359"/>
    <mergeCell ref="A358"/>
    <mergeCell ref="B358"/>
    <mergeCell ref="O359"/>
    <mergeCell ref="S359"/>
    <mergeCell ref="R359"/>
    <mergeCell ref="Q359"/>
    <mergeCell ref="P359"/>
    <mergeCell ref="L364"/>
    <mergeCell ref="J364"/>
    <mergeCell ref="D362"/>
    <mergeCell ref="E362"/>
    <mergeCell ref="L361"/>
    <mergeCell ref="V361"/>
    <mergeCell ref="A362"/>
    <mergeCell ref="B362"/>
    <mergeCell ref="C362"/>
    <mergeCell ref="Y361"/>
    <mergeCell ref="O361"/>
    <mergeCell ref="R361"/>
    <mergeCell ref="P361"/>
    <mergeCell ref="W361"/>
    <mergeCell ref="J335"/>
    <mergeCell ref="U335"/>
    <mergeCell ref="Z336"/>
    <mergeCell ref="Q336"/>
    <mergeCell ref="V336"/>
    <mergeCell ref="S336"/>
    <mergeCell ref="X336"/>
    <mergeCell ref="P343"/>
    <mergeCell ref="X344"/>
    <mergeCell ref="Z344"/>
    <mergeCell ref="Y345"/>
    <mergeCell ref="Z345"/>
    <mergeCell ref="D346"/>
    <mergeCell ref="L344"/>
    <mergeCell ref="M345"/>
    <mergeCell ref="K345"/>
    <mergeCell ref="G345"/>
    <mergeCell ref="R342"/>
    <mergeCell ref="I344"/>
    <mergeCell ref="S343"/>
    <mergeCell ref="V363"/>
    <mergeCell ref="F364"/>
    <mergeCell ref="I364"/>
    <mergeCell ref="Q364"/>
    <mergeCell ref="U364"/>
    <mergeCell ref="T364"/>
    <mergeCell ref="P364"/>
    <mergeCell ref="R364"/>
    <mergeCell ref="W364"/>
    <mergeCell ref="X364"/>
    <mergeCell ref="S361"/>
    <mergeCell ref="I363"/>
    <mergeCell ref="U361"/>
    <mergeCell ref="V362"/>
    <mergeCell ref="I361"/>
    <mergeCell ref="Q361"/>
    <mergeCell ref="L360"/>
    <mergeCell ref="Y362"/>
    <mergeCell ref="Z361"/>
    <mergeCell ref="F362"/>
    <mergeCell ref="G362"/>
    <mergeCell ref="W362"/>
    <mergeCell ref="N362"/>
    <mergeCell ref="X353"/>
    <mergeCell ref="Y354"/>
    <mergeCell ref="N354"/>
    <mergeCell ref="W354"/>
    <mergeCell ref="S354"/>
    <mergeCell ref="V354"/>
    <mergeCell ref="Z354"/>
    <mergeCell ref="F355"/>
    <mergeCell ref="G355"/>
    <mergeCell ref="U534"/>
    <mergeCell ref="N534"/>
    <mergeCell ref="Q534"/>
    <mergeCell ref="P534"/>
    <mergeCell ref="O534"/>
    <mergeCell ref="R534"/>
    <mergeCell ref="S534"/>
    <mergeCell ref="O532"/>
    <mergeCell ref="L531"/>
    <mergeCell ref="H532"/>
    <mergeCell ref="H533"/>
    <mergeCell ref="G534"/>
    <mergeCell ref="H534"/>
    <mergeCell ref="I534"/>
    <mergeCell ref="D534"/>
    <mergeCell ref="R533"/>
    <mergeCell ref="J532"/>
    <mergeCell ref="H528"/>
    <mergeCell ref="V528"/>
    <mergeCell ref="J529"/>
    <mergeCell ref="B530"/>
    <mergeCell ref="H530"/>
    <mergeCell ref="I530"/>
    <mergeCell ref="J530"/>
    <mergeCell ref="K530"/>
    <mergeCell ref="L530"/>
    <mergeCell ref="M530"/>
    <mergeCell ref="K529"/>
    <mergeCell ref="S530"/>
    <mergeCell ref="R530"/>
    <mergeCell ref="P530"/>
    <mergeCell ref="D529"/>
    <mergeCell ref="P529"/>
    <mergeCell ref="F529"/>
    <mergeCell ref="R529"/>
    <mergeCell ref="I529"/>
    <mergeCell ref="T529"/>
    <mergeCell ref="N530"/>
    <mergeCell ref="V530"/>
    <mergeCell ref="M533"/>
    <mergeCell ref="N533"/>
    <mergeCell ref="K531"/>
    <mergeCell ref="C529"/>
    <mergeCell ref="Q528"/>
    <mergeCell ref="D514"/>
    <mergeCell ref="B515"/>
    <mergeCell ref="C515"/>
    <mergeCell ref="D515"/>
    <mergeCell ref="X511"/>
    <mergeCell ref="K511"/>
    <mergeCell ref="V511"/>
    <mergeCell ref="Q362"/>
    <mergeCell ref="H363"/>
    <mergeCell ref="L363"/>
    <mergeCell ref="N361"/>
    <mergeCell ref="H506"/>
    <mergeCell ref="L503"/>
    <mergeCell ref="P505"/>
    <mergeCell ref="X505"/>
    <mergeCell ref="Y505"/>
    <mergeCell ref="W505"/>
    <mergeCell ref="R505"/>
    <mergeCell ref="T505"/>
    <mergeCell ref="B506"/>
    <mergeCell ref="C506"/>
    <mergeCell ref="B513"/>
    <mergeCell ref="L513"/>
    <mergeCell ref="A514"/>
    <mergeCell ref="M511"/>
    <mergeCell ref="C513"/>
    <mergeCell ref="Y513"/>
    <mergeCell ref="O513"/>
    <mergeCell ref="U513"/>
    <mergeCell ref="S513"/>
    <mergeCell ref="R513"/>
    <mergeCell ref="Q513"/>
    <mergeCell ref="W513"/>
    <mergeCell ref="R519"/>
    <mergeCell ref="M519"/>
    <mergeCell ref="O519"/>
    <mergeCell ref="T517"/>
    <mergeCell ref="L518"/>
    <mergeCell ref="H519"/>
    <mergeCell ref="Z518"/>
    <mergeCell ref="D509"/>
    <mergeCell ref="H508"/>
    <mergeCell ref="J509"/>
    <mergeCell ref="X506"/>
    <mergeCell ref="M506"/>
    <mergeCell ref="V506"/>
    <mergeCell ref="Q506"/>
    <mergeCell ref="R506"/>
    <mergeCell ref="S506"/>
    <mergeCell ref="U506"/>
    <mergeCell ref="A507"/>
    <mergeCell ref="Q518"/>
    <mergeCell ref="V518"/>
    <mergeCell ref="A504"/>
    <mergeCell ref="A508"/>
    <mergeCell ref="B508"/>
    <mergeCell ref="C508"/>
    <mergeCell ref="N505"/>
    <mergeCell ref="V504"/>
    <mergeCell ref="S505"/>
    <mergeCell ref="K512"/>
    <mergeCell ref="R512"/>
    <mergeCell ref="H505"/>
    <mergeCell ref="C507"/>
    <mergeCell ref="X507"/>
    <mergeCell ref="O507"/>
    <mergeCell ref="R507"/>
    <mergeCell ref="G509"/>
    <mergeCell ref="I509"/>
    <mergeCell ref="N509"/>
    <mergeCell ref="O509"/>
    <mergeCell ref="K506"/>
    <mergeCell ref="W506"/>
    <mergeCell ref="Y506"/>
    <mergeCell ref="Z506"/>
    <mergeCell ref="N482"/>
    <mergeCell ref="D483"/>
    <mergeCell ref="E483"/>
    <mergeCell ref="J480"/>
    <mergeCell ref="R484"/>
    <mergeCell ref="N484"/>
    <mergeCell ref="M484"/>
    <mergeCell ref="V483"/>
    <mergeCell ref="G484"/>
    <mergeCell ref="V480"/>
    <mergeCell ref="Q483"/>
    <mergeCell ref="W483"/>
    <mergeCell ref="H485"/>
    <mergeCell ref="Y484"/>
    <mergeCell ref="Z483"/>
    <mergeCell ref="O484"/>
    <mergeCell ref="K484"/>
    <mergeCell ref="Z478"/>
    <mergeCell ref="E480"/>
    <mergeCell ref="D480"/>
    <mergeCell ref="N487"/>
    <mergeCell ref="C482"/>
    <mergeCell ref="K480"/>
    <mergeCell ref="D481"/>
    <mergeCell ref="Q480"/>
    <mergeCell ref="Y480"/>
    <mergeCell ref="U480"/>
    <mergeCell ref="O485"/>
    <mergeCell ref="V485"/>
    <mergeCell ref="I486"/>
    <mergeCell ref="J486"/>
    <mergeCell ref="K486"/>
    <mergeCell ref="O487"/>
    <mergeCell ref="T487"/>
    <mergeCell ref="R487"/>
    <mergeCell ref="U487"/>
    <mergeCell ref="W487"/>
    <mergeCell ref="V487"/>
    <mergeCell ref="L486"/>
    <mergeCell ref="U486"/>
    <mergeCell ref="D487"/>
    <mergeCell ref="E487"/>
    <mergeCell ref="Z479"/>
    <mergeCell ref="Y483"/>
    <mergeCell ref="G478"/>
    <mergeCell ref="H478"/>
    <mergeCell ref="I478"/>
    <mergeCell ref="J478"/>
    <mergeCell ref="K478"/>
    <mergeCell ref="E478"/>
    <mergeCell ref="G486"/>
    <mergeCell ref="U484"/>
    <mergeCell ref="V482"/>
    <mergeCell ref="O482"/>
    <mergeCell ref="G482"/>
    <mergeCell ref="U479"/>
    <mergeCell ref="T480"/>
    <mergeCell ref="S480"/>
    <mergeCell ref="W480"/>
    <mergeCell ref="Z481"/>
    <mergeCell ref="P480"/>
    <mergeCell ref="L485"/>
    <mergeCell ref="S486"/>
    <mergeCell ref="I487"/>
    <mergeCell ref="J487"/>
    <mergeCell ref="E484"/>
    <mergeCell ref="A500"/>
    <mergeCell ref="D497"/>
    <mergeCell ref="B499"/>
    <mergeCell ref="D498"/>
    <mergeCell ref="C498"/>
    <mergeCell ref="B498"/>
    <mergeCell ref="A498"/>
    <mergeCell ref="C500"/>
    <mergeCell ref="V499"/>
    <mergeCell ref="S497"/>
    <mergeCell ref="I498"/>
    <mergeCell ref="H497"/>
    <mergeCell ref="G490"/>
    <mergeCell ref="I492"/>
    <mergeCell ref="N493"/>
    <mergeCell ref="H493"/>
    <mergeCell ref="E493"/>
    <mergeCell ref="B500"/>
    <mergeCell ref="A495"/>
    <mergeCell ref="D493"/>
    <mergeCell ref="D495"/>
    <mergeCell ref="C495"/>
    <mergeCell ref="C494"/>
    <mergeCell ref="B494"/>
    <mergeCell ref="B490"/>
    <mergeCell ref="U495"/>
    <mergeCell ref="A513"/>
    <mergeCell ref="I510"/>
    <mergeCell ref="L491"/>
    <mergeCell ref="V491"/>
    <mergeCell ref="D492"/>
    <mergeCell ref="G511"/>
    <mergeCell ref="O512"/>
    <mergeCell ref="B512"/>
    <mergeCell ref="K513"/>
    <mergeCell ref="I511"/>
    <mergeCell ref="S511"/>
    <mergeCell ref="M509"/>
    <mergeCell ref="I508"/>
    <mergeCell ref="U508"/>
    <mergeCell ref="Q509"/>
    <mergeCell ref="D508"/>
    <mergeCell ref="M508"/>
    <mergeCell ref="A509"/>
    <mergeCell ref="B509"/>
    <mergeCell ref="C509"/>
    <mergeCell ref="T494"/>
    <mergeCell ref="S494"/>
    <mergeCell ref="R494"/>
    <mergeCell ref="J493"/>
    <mergeCell ref="V493"/>
    <mergeCell ref="H494"/>
    <mergeCell ref="E492"/>
    <mergeCell ref="F492"/>
    <mergeCell ref="G492"/>
    <mergeCell ref="K504"/>
    <mergeCell ref="N511"/>
    <mergeCell ref="L511"/>
    <mergeCell ref="F513"/>
    <mergeCell ref="D513"/>
    <mergeCell ref="E511"/>
    <mergeCell ref="Q511"/>
    <mergeCell ref="Z497"/>
    <mergeCell ref="E500"/>
    <mergeCell ref="U499"/>
    <mergeCell ref="H500"/>
    <mergeCell ref="G500"/>
    <mergeCell ref="R499"/>
    <mergeCell ref="S499"/>
    <mergeCell ref="O499"/>
    <mergeCell ref="W507"/>
    <mergeCell ref="Q507"/>
    <mergeCell ref="U491"/>
    <mergeCell ref="M492"/>
    <mergeCell ref="Q492"/>
    <mergeCell ref="P492"/>
    <mergeCell ref="O492"/>
    <mergeCell ref="N492"/>
    <mergeCell ref="P491"/>
    <mergeCell ref="V489"/>
    <mergeCell ref="H490"/>
    <mergeCell ref="K490"/>
    <mergeCell ref="O489"/>
    <mergeCell ref="I490"/>
    <mergeCell ref="H492"/>
    <mergeCell ref="W509"/>
    <mergeCell ref="W494"/>
    <mergeCell ref="E498"/>
    <mergeCell ref="F498"/>
    <mergeCell ref="G498"/>
    <mergeCell ref="M497"/>
    <mergeCell ref="N499"/>
    <mergeCell ref="U493"/>
    <mergeCell ref="L495"/>
    <mergeCell ref="K494"/>
    <mergeCell ref="L496"/>
    <mergeCell ref="F497"/>
    <mergeCell ref="F507"/>
    <mergeCell ref="U507"/>
    <mergeCell ref="E507"/>
    <mergeCell ref="K507"/>
    <mergeCell ref="G506"/>
    <mergeCell ref="J507"/>
    <mergeCell ref="G507"/>
    <mergeCell ref="H507"/>
    <mergeCell ref="I507"/>
    <mergeCell ref="L507"/>
    <mergeCell ref="N506"/>
    <mergeCell ref="S507"/>
    <mergeCell ref="M507"/>
    <mergeCell ref="P500"/>
    <mergeCell ref="W500"/>
    <mergeCell ref="K501"/>
    <mergeCell ref="M504"/>
    <mergeCell ref="Y504"/>
    <mergeCell ref="G503"/>
    <mergeCell ref="W504"/>
    <mergeCell ref="P504"/>
    <mergeCell ref="L505"/>
    <mergeCell ref="M505"/>
    <mergeCell ref="V490"/>
    <mergeCell ref="Q490"/>
    <mergeCell ref="X504"/>
    <mergeCell ref="Q505"/>
    <mergeCell ref="Z505"/>
    <mergeCell ref="Q504"/>
    <mergeCell ref="C503"/>
    <mergeCell ref="D503"/>
    <mergeCell ref="E503"/>
    <mergeCell ref="F503"/>
    <mergeCell ref="A503"/>
    <mergeCell ref="F501"/>
    <mergeCell ref="S501"/>
    <mergeCell ref="X502"/>
    <mergeCell ref="R503"/>
    <mergeCell ref="S503"/>
    <mergeCell ref="S502"/>
    <mergeCell ref="U502"/>
    <mergeCell ref="P502"/>
    <mergeCell ref="Y502"/>
    <mergeCell ref="N503"/>
    <mergeCell ref="O503"/>
    <mergeCell ref="D502"/>
    <mergeCell ref="W502"/>
    <mergeCell ref="H503"/>
    <mergeCell ref="F493"/>
    <mergeCell ref="U490"/>
    <mergeCell ref="D491"/>
    <mergeCell ref="H501"/>
    <mergeCell ref="T500"/>
    <mergeCell ref="Q500"/>
    <mergeCell ref="S500"/>
    <mergeCell ref="P499"/>
    <mergeCell ref="W499"/>
    <mergeCell ref="F500"/>
    <mergeCell ref="V498"/>
    <mergeCell ref="O500"/>
    <mergeCell ref="M499"/>
    <mergeCell ref="Q498"/>
    <mergeCell ref="T499"/>
    <mergeCell ref="Q499"/>
    <mergeCell ref="J500"/>
    <mergeCell ref="K500"/>
    <mergeCell ref="A499"/>
    <mergeCell ref="A497"/>
    <mergeCell ref="B497"/>
    <mergeCell ref="U494"/>
    <mergeCell ref="V500"/>
    <mergeCell ref="O501"/>
    <mergeCell ref="V501"/>
    <mergeCell ref="P501"/>
    <mergeCell ref="X501"/>
    <mergeCell ref="I497"/>
    <mergeCell ref="J496"/>
    <mergeCell ref="K496"/>
    <mergeCell ref="M495"/>
    <mergeCell ref="S496"/>
    <mergeCell ref="X496"/>
    <mergeCell ref="O496"/>
    <mergeCell ref="T496"/>
    <mergeCell ref="P496"/>
    <mergeCell ref="V496"/>
    <mergeCell ref="Y496"/>
    <mergeCell ref="P493"/>
    <mergeCell ref="B496"/>
    <mergeCell ref="X493"/>
    <mergeCell ref="K495"/>
    <mergeCell ref="J494"/>
    <mergeCell ref="X490"/>
    <mergeCell ref="T490"/>
    <mergeCell ref="D507"/>
    <mergeCell ref="L500"/>
    <mergeCell ref="M500"/>
    <mergeCell ref="U500"/>
    <mergeCell ref="I501"/>
    <mergeCell ref="R500"/>
    <mergeCell ref="N500"/>
    <mergeCell ref="Z504"/>
    <mergeCell ref="O505"/>
    <mergeCell ref="N504"/>
    <mergeCell ref="Z501"/>
    <mergeCell ref="N491"/>
    <mergeCell ref="X491"/>
    <mergeCell ref="C491"/>
    <mergeCell ref="T491"/>
    <mergeCell ref="Z474"/>
    <mergeCell ref="P474"/>
    <mergeCell ref="X474"/>
    <mergeCell ref="W474"/>
    <mergeCell ref="R474"/>
    <mergeCell ref="T474"/>
    <mergeCell ref="V474"/>
    <mergeCell ref="N472"/>
    <mergeCell ref="D473"/>
    <mergeCell ref="A474"/>
    <mergeCell ref="B474"/>
    <mergeCell ref="C474"/>
    <mergeCell ref="D474"/>
    <mergeCell ref="K474"/>
    <mergeCell ref="I475"/>
    <mergeCell ref="M475"/>
    <mergeCell ref="J475"/>
    <mergeCell ref="K475"/>
    <mergeCell ref="L475"/>
    <mergeCell ref="H479"/>
    <mergeCell ref="X478"/>
    <mergeCell ref="F480"/>
    <mergeCell ref="O479"/>
    <mergeCell ref="C481"/>
    <mergeCell ref="Y481"/>
    <mergeCell ref="R480"/>
    <mergeCell ref="Z480"/>
    <mergeCell ref="R491"/>
    <mergeCell ref="X492"/>
    <mergeCell ref="V492"/>
    <mergeCell ref="U492"/>
    <mergeCell ref="T492"/>
    <mergeCell ref="S492"/>
    <mergeCell ref="Y492"/>
    <mergeCell ref="W492"/>
    <mergeCell ref="Z484"/>
    <mergeCell ref="M486"/>
    <mergeCell ref="T484"/>
    <mergeCell ref="B488"/>
    <mergeCell ref="A487"/>
    <mergeCell ref="A488"/>
    <mergeCell ref="W491"/>
    <mergeCell ref="K492"/>
    <mergeCell ref="Z492"/>
    <mergeCell ref="A492"/>
    <mergeCell ref="B492"/>
    <mergeCell ref="C492"/>
    <mergeCell ref="Z490"/>
    <mergeCell ref="O490"/>
    <mergeCell ref="N510"/>
    <mergeCell ref="A525"/>
    <mergeCell ref="C524"/>
    <mergeCell ref="D524"/>
    <mergeCell ref="E521"/>
    <mergeCell ref="D520"/>
    <mergeCell ref="A523"/>
    <mergeCell ref="A522"/>
    <mergeCell ref="H521"/>
    <mergeCell ref="F520"/>
    <mergeCell ref="I518"/>
    <mergeCell ref="J517"/>
    <mergeCell ref="P517"/>
    <mergeCell ref="O517"/>
    <mergeCell ref="N517"/>
    <mergeCell ref="M517"/>
    <mergeCell ref="L517"/>
    <mergeCell ref="I517"/>
    <mergeCell ref="E517"/>
    <mergeCell ref="F517"/>
    <mergeCell ref="D517"/>
    <mergeCell ref="A518"/>
    <mergeCell ref="H524"/>
    <mergeCell ref="J524"/>
    <mergeCell ref="B524"/>
    <mergeCell ref="G520"/>
    <mergeCell ref="S520"/>
    <mergeCell ref="J520"/>
    <mergeCell ref="V521"/>
    <mergeCell ref="K521"/>
    <mergeCell ref="H520"/>
    <mergeCell ref="F521"/>
    <mergeCell ref="L521"/>
    <mergeCell ref="Q517"/>
    <mergeCell ref="B522"/>
    <mergeCell ref="C523"/>
    <mergeCell ref="J523"/>
    <mergeCell ref="D522"/>
    <mergeCell ref="A524"/>
    <mergeCell ref="M522"/>
    <mergeCell ref="P518"/>
    <mergeCell ref="R518"/>
    <mergeCell ref="T518"/>
    <mergeCell ref="G517"/>
    <mergeCell ref="C518"/>
    <mergeCell ref="B523"/>
    <mergeCell ref="D518"/>
    <mergeCell ref="I521"/>
    <mergeCell ref="D523"/>
    <mergeCell ref="G522"/>
    <mergeCell ref="V522"/>
    <mergeCell ref="E524"/>
    <mergeCell ref="G523"/>
    <mergeCell ref="A519"/>
    <mergeCell ref="E518"/>
    <mergeCell ref="A516"/>
    <mergeCell ref="B516"/>
    <mergeCell ref="C516"/>
    <mergeCell ref="A517"/>
    <mergeCell ref="B517"/>
    <mergeCell ref="C517"/>
    <mergeCell ref="D521"/>
    <mergeCell ref="G521"/>
    <mergeCell ref="R525"/>
    <mergeCell ref="R535"/>
    <mergeCell ref="W517"/>
    <mergeCell ref="H517"/>
    <mergeCell ref="F518"/>
    <mergeCell ref="G518"/>
    <mergeCell ref="U518"/>
    <mergeCell ref="B520"/>
    <mergeCell ref="B526"/>
    <mergeCell ref="S525"/>
    <mergeCell ref="C526"/>
    <mergeCell ref="D526"/>
    <mergeCell ref="C512"/>
    <mergeCell ref="E510"/>
    <mergeCell ref="H511"/>
    <mergeCell ref="G512"/>
    <mergeCell ref="B518"/>
    <mergeCell ref="E523"/>
    <mergeCell ref="O523"/>
    <mergeCell ref="U520"/>
    <mergeCell ref="R521"/>
    <mergeCell ref="Y521"/>
    <mergeCell ref="Q521"/>
    <mergeCell ref="U521"/>
    <mergeCell ref="X521"/>
    <mergeCell ref="S521"/>
    <mergeCell ref="T521"/>
    <mergeCell ref="W521"/>
    <mergeCell ref="A533"/>
    <mergeCell ref="E533"/>
    <mergeCell ref="D533"/>
    <mergeCell ref="C533"/>
    <mergeCell ref="W515"/>
    <mergeCell ref="G516"/>
    <mergeCell ref="F510"/>
    <mergeCell ref="O511"/>
    <mergeCell ref="H518"/>
    <mergeCell ref="R517"/>
    <mergeCell ref="O518"/>
    <mergeCell ref="M518"/>
    <mergeCell ref="M515"/>
    <mergeCell ref="L520"/>
    <mergeCell ref="W520"/>
    <mergeCell ref="Y520"/>
    <mergeCell ref="B519"/>
    <mergeCell ref="F535"/>
    <mergeCell ref="G535"/>
    <mergeCell ref="H535"/>
    <mergeCell ref="U535"/>
    <mergeCell ref="O535"/>
    <mergeCell ref="D512"/>
    <mergeCell ref="D511"/>
    <mergeCell ref="C522"/>
    <mergeCell ref="I524"/>
    <mergeCell ref="O524"/>
    <mergeCell ref="L525"/>
    <mergeCell ref="A526"/>
    <mergeCell ref="A531"/>
    <mergeCell ref="G530"/>
    <mergeCell ref="M531"/>
    <mergeCell ref="C531"/>
    <mergeCell ref="U530"/>
    <mergeCell ref="Q530"/>
    <mergeCell ref="T530"/>
    <mergeCell ref="O530"/>
    <mergeCell ref="Z515"/>
    <mergeCell ref="F516"/>
    <mergeCell ref="W516"/>
    <mergeCell ref="Z523"/>
    <mergeCell ref="P523"/>
    <mergeCell ref="X523"/>
    <mergeCell ref="W523"/>
    <mergeCell ref="R523"/>
    <mergeCell ref="T523"/>
    <mergeCell ref="V523"/>
    <mergeCell ref="F522"/>
    <mergeCell ref="R522"/>
    <mergeCell ref="P522"/>
    <mergeCell ref="I522"/>
    <mergeCell ref="M523"/>
    <mergeCell ref="Y522"/>
    <mergeCell ref="U512"/>
    <mergeCell ref="L512"/>
    <mergeCell ref="S512"/>
    <mergeCell ref="P512"/>
    <mergeCell ref="N512"/>
    <mergeCell ref="M512"/>
    <mergeCell ref="X522"/>
    <mergeCell ref="Y518"/>
    <mergeCell ref="Y517"/>
    <mergeCell ref="Q512"/>
    <mergeCell ref="J512"/>
    <mergeCell ref="T512"/>
    <mergeCell ref="D510"/>
    <mergeCell ref="J510"/>
    <mergeCell ref="K510"/>
    <mergeCell ref="L510"/>
    <mergeCell ref="M510"/>
    <mergeCell ref="O516"/>
    <mergeCell ref="O510"/>
    <mergeCell ref="R510"/>
    <mergeCell ref="Z511"/>
    <mergeCell ref="Z512"/>
    <mergeCell ref="P520"/>
    <mergeCell ref="R520"/>
    <mergeCell ref="T520"/>
    <mergeCell ref="X512"/>
    <mergeCell ref="Y512"/>
    <mergeCell ref="M513"/>
    <mergeCell ref="F512"/>
    <mergeCell ref="X513"/>
    <mergeCell ref="Z513"/>
    <mergeCell ref="W512"/>
    <mergeCell ref="V512"/>
    <mergeCell ref="K519"/>
    <mergeCell ref="S519"/>
    <mergeCell ref="T519"/>
    <mergeCell ref="W514"/>
    <mergeCell ref="X514"/>
    <mergeCell ref="Y514"/>
    <mergeCell ref="Z514"/>
    <mergeCell ref="G513"/>
    <mergeCell ref="M514"/>
    <mergeCell ref="Y515"/>
    <mergeCell ref="J516"/>
    <mergeCell ref="K518"/>
    <mergeCell ref="O520"/>
    <mergeCell ref="K520"/>
    <mergeCell ref="X520"/>
    <mergeCell ref="A536"/>
    <mergeCell ref="W530"/>
    <mergeCell ref="Y530"/>
    <mergeCell ref="Z530"/>
    <mergeCell ref="X530"/>
    <mergeCell ref="I536"/>
    <mergeCell ref="X536"/>
    <mergeCell ref="A537"/>
    <mergeCell ref="S535"/>
    <mergeCell ref="F536"/>
    <mergeCell ref="F537"/>
    <mergeCell ref="H527"/>
    <mergeCell ref="R527"/>
    <mergeCell ref="L526"/>
    <mergeCell ref="F527"/>
    <mergeCell ref="N527"/>
    <mergeCell ref="S526"/>
    <mergeCell ref="W529"/>
    <mergeCell ref="M529"/>
    <mergeCell ref="S529"/>
    <mergeCell ref="N529"/>
    <mergeCell ref="O529"/>
    <mergeCell ref="Q529"/>
    <mergeCell ref="U529"/>
    <mergeCell ref="A532"/>
    <mergeCell ref="D530"/>
    <mergeCell ref="F531"/>
    <mergeCell ref="S532"/>
    <mergeCell ref="K534"/>
    <mergeCell ref="J533"/>
    <mergeCell ref="U533"/>
    <mergeCell ref="E536"/>
    <mergeCell ref="N535"/>
    <mergeCell ref="J536"/>
    <mergeCell ref="H536"/>
    <mergeCell ref="L536"/>
    <mergeCell ref="M536"/>
    <mergeCell ref="N536"/>
    <mergeCell ref="J534"/>
    <mergeCell ref="S533"/>
    <mergeCell ref="D535"/>
    <mergeCell ref="X535"/>
    <mergeCell ref="M535"/>
    <mergeCell ref="V535"/>
    <mergeCell ref="Z536"/>
    <mergeCell ref="L535"/>
    <mergeCell ref="W535"/>
    <mergeCell ref="I535"/>
    <mergeCell ref="T535"/>
    <mergeCell ref="X529"/>
    <mergeCell ref="Y535"/>
    <mergeCell ref="Z535"/>
    <mergeCell ref="E530"/>
    <mergeCell ref="B533"/>
    <mergeCell ref="F533"/>
    <mergeCell ref="G533"/>
    <mergeCell ref="V533"/>
    <mergeCell ref="Z529"/>
    <mergeCell ref="A534"/>
    <mergeCell ref="B534"/>
    <mergeCell ref="C534"/>
    <mergeCell ref="T533"/>
    <mergeCell ref="M534"/>
    <mergeCell ref="E535"/>
    <mergeCell ref="Z517"/>
    <mergeCell ref="Y519"/>
    <mergeCell ref="Z519"/>
    <mergeCell ref="H513"/>
    <mergeCell ref="T513"/>
    <mergeCell ref="G515"/>
    <mergeCell ref="P515"/>
    <mergeCell ref="I515"/>
    <mergeCell ref="K515"/>
    <mergeCell ref="F511"/>
    <mergeCell ref="N514"/>
    <mergeCell ref="G514"/>
    <mergeCell ref="O514"/>
    <mergeCell ref="P514"/>
    <mergeCell ref="Q514"/>
    <mergeCell ref="R514"/>
    <mergeCell ref="S514"/>
    <mergeCell ref="L514"/>
    <mergeCell ref="I514"/>
    <mergeCell ref="H514"/>
    <mergeCell ref="J514"/>
    <mergeCell ref="R511"/>
    <mergeCell ref="T511"/>
    <mergeCell ref="Y511"/>
    <mergeCell ref="Y516"/>
    <mergeCell ref="X531"/>
    <mergeCell ref="X517"/>
    <mergeCell ref="E513"/>
    <mergeCell ref="N513"/>
    <mergeCell ref="K508"/>
    <mergeCell ref="X519"/>
    <mergeCell ref="I519"/>
    <mergeCell ref="E514"/>
    <mergeCell ref="J518"/>
    <mergeCell ref="H512"/>
    <mergeCell ref="I512"/>
    <mergeCell ref="J511"/>
    <mergeCell ref="W511"/>
    <mergeCell ref="U511"/>
    <mergeCell ref="P511"/>
    <mergeCell ref="G510"/>
    <mergeCell ref="E512"/>
    <mergeCell ref="L522"/>
    <mergeCell ref="V520"/>
    <mergeCell ref="Y524"/>
    <mergeCell ref="S523"/>
    <mergeCell ref="U523"/>
    <mergeCell ref="S524"/>
    <mergeCell ref="T524"/>
    <mergeCell ref="U524"/>
    <mergeCell ref="W524"/>
    <mergeCell ref="Z524"/>
    <mergeCell ref="M525"/>
    <mergeCell ref="I520"/>
    <mergeCell ref="Q525"/>
    <mergeCell ref="O525"/>
    <mergeCell ref="M521"/>
    <mergeCell ref="N521"/>
    <mergeCell ref="O521"/>
    <mergeCell ref="P521"/>
    <mergeCell ref="F523"/>
    <mergeCell ref="M524"/>
    <mergeCell ref="L524"/>
    <mergeCell ref="Z521"/>
    <mergeCell ref="F532"/>
    <mergeCell ref="G532"/>
    <mergeCell ref="Q533"/>
    <mergeCell ref="P533"/>
    <mergeCell ref="Y531"/>
    <mergeCell ref="U532"/>
    <mergeCell ref="W532"/>
    <mergeCell ref="P531"/>
    <mergeCell ref="I532"/>
    <mergeCell ref="G531"/>
    <mergeCell ref="I533"/>
    <mergeCell ref="M532"/>
    <mergeCell ref="O533"/>
    <mergeCell ref="L533"/>
    <mergeCell ref="Z520"/>
    <mergeCell ref="E520"/>
    <mergeCell ref="Q520"/>
    <mergeCell ref="Z522"/>
    <mergeCell ref="V529"/>
    <mergeCell ref="G529"/>
    <mergeCell ref="G525"/>
    <mergeCell ref="A520"/>
    <mergeCell ref="A521"/>
    <mergeCell ref="B521"/>
    <mergeCell ref="C521"/>
    <mergeCell ref="C520"/>
    <mergeCell ref="N520"/>
    <mergeCell ref="U522"/>
    <mergeCell ref="M520"/>
    <mergeCell ref="A528"/>
    <mergeCell ref="W527"/>
    <mergeCell ref="G528"/>
    <mergeCell ref="R528"/>
    <mergeCell ref="P528"/>
    <mergeCell ref="K528"/>
    <mergeCell ref="A529"/>
    <mergeCell ref="F530"/>
    <mergeCell ref="B531"/>
    <mergeCell ref="U531"/>
    <mergeCell ref="J531"/>
    <mergeCell ref="S531"/>
    <mergeCell ref="R531"/>
    <mergeCell ref="N531"/>
    <mergeCell ref="O531"/>
    <mergeCell ref="Q531"/>
    <mergeCell ref="Y527"/>
    <mergeCell ref="P524"/>
    <mergeCell ref="Q524"/>
    <mergeCell ref="R524"/>
    <mergeCell ref="N523"/>
    <mergeCell ref="H525"/>
    <mergeCell ref="P525"/>
    <mergeCell ref="T522"/>
    <mergeCell ref="J521"/>
    <mergeCell ref="Q527"/>
    <mergeCell ref="E528"/>
    <mergeCell ref="U526"/>
    <mergeCell ref="T525"/>
    <mergeCell ref="U525"/>
    <mergeCell ref="V525"/>
    <mergeCell ref="W525"/>
    <mergeCell ref="X525"/>
    <mergeCell ref="Y525"/>
    <mergeCell ref="K523"/>
    <mergeCell ref="W522"/>
    <mergeCell ref="E522"/>
    <mergeCell ref="N522"/>
    <mergeCell ref="H522"/>
    <mergeCell ref="K522"/>
    <mergeCell ref="N524"/>
    <mergeCell ref="G524"/>
    <mergeCell ref="O522"/>
    <mergeCell ref="S522"/>
    <mergeCell ref="Q522"/>
    <mergeCell ref="X527"/>
    <mergeCell ref="C528"/>
    <mergeCell ref="P526"/>
    <mergeCell ref="Y526"/>
    <mergeCell ref="V526"/>
    <mergeCell ref="T526"/>
    <mergeCell ref="R526"/>
    <mergeCell ref="X526"/>
    <mergeCell ref="Z534"/>
    <mergeCell ref="B535"/>
    <mergeCell ref="W534"/>
    <mergeCell ref="T534"/>
    <mergeCell ref="C535"/>
    <mergeCell ref="X532"/>
    <mergeCell ref="L532"/>
    <mergeCell ref="V532"/>
    <mergeCell ref="R532"/>
    <mergeCell ref="T532"/>
    <mergeCell ref="Y532"/>
    <mergeCell ref="Z532"/>
    <mergeCell ref="C532"/>
    <mergeCell ref="Q526"/>
    <mergeCell ref="Z526"/>
    <mergeCell ref="Z527"/>
    <mergeCell ref="F528"/>
    <mergeCell ref="N528"/>
    <mergeCell ref="J528"/>
    <mergeCell ref="I528"/>
    <mergeCell ref="U527"/>
    <mergeCell ref="D528"/>
    <mergeCell ref="I527"/>
    <mergeCell ref="I526"/>
    <mergeCell ref="G527"/>
    <mergeCell ref="B527"/>
    <mergeCell ref="O526"/>
    <mergeCell ref="W526"/>
    <mergeCell ref="M526"/>
    <mergeCell ref="D527"/>
    <mergeCell ref="S527"/>
    <mergeCell ref="J527"/>
    <mergeCell ref="L527"/>
    <mergeCell ref="M527"/>
    <mergeCell ref="K527"/>
    <mergeCell ref="O527"/>
    <mergeCell ref="K533"/>
    <mergeCell ref="E534"/>
    <mergeCell ref="F534"/>
    <mergeCell ref="Z531"/>
    <mergeCell ref="B532"/>
    <mergeCell ref="E531"/>
    <mergeCell ref="C530"/>
    <mergeCell ref="E532"/>
    <mergeCell ref="D532"/>
    <mergeCell ref="D531"/>
  </mergeCells>
  <pageMargins left="0.7" right="0.7" top="0.75" bottom="0.75" header="0.3" footer="0.3"/>
  <ignoredErrors>
    <ignoredError sqref="J4 E8 I29 F41 J41 J59:J60 J65 H133"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3"/>
  <sheetViews>
    <sheetView topLeftCell="G1" zoomScaleNormal="100" workbookViewId="0">
      <selection activeCell="M2" sqref="M2"/>
    </sheetView>
  </sheetViews>
  <sheetFormatPr defaultColWidth="10" defaultRowHeight="14.25" x14ac:dyDescent="0.2"/>
  <cols>
    <col min="1" max="1" width="11.875" customWidth="1"/>
    <col min="2" max="2" width="10.5" bestFit="1" customWidth="1"/>
    <col min="3" max="3" width="9.5" customWidth="1"/>
    <col min="4" max="4" width="19.625" customWidth="1"/>
    <col min="5" max="5" width="28" bestFit="1" customWidth="1"/>
    <col min="6" max="6" width="25" customWidth="1"/>
    <col min="7" max="7" width="20.125" bestFit="1" customWidth="1"/>
    <col min="8" max="8" width="19.625" customWidth="1"/>
    <col min="9" max="9" width="20.125" bestFit="1" customWidth="1"/>
    <col min="10" max="14" width="20.125" customWidth="1"/>
    <col min="15" max="15" width="27" bestFit="1" customWidth="1"/>
    <col min="16" max="16" width="29.875" bestFit="1" customWidth="1"/>
    <col min="17" max="17" width="28.875" bestFit="1" customWidth="1"/>
    <col min="18" max="18" width="37.25" bestFit="1" customWidth="1"/>
    <col min="19" max="19" width="36.625" bestFit="1" customWidth="1"/>
    <col min="20" max="20" width="41.625" bestFit="1" customWidth="1"/>
    <col min="21" max="21" width="34.125" bestFit="1" customWidth="1"/>
    <col min="22" max="22" width="36.625" bestFit="1" customWidth="1"/>
    <col min="23" max="23" width="33.5" bestFit="1" customWidth="1"/>
    <col min="24" max="24" width="28.875" customWidth="1"/>
    <col min="25" max="25" width="40" bestFit="1" customWidth="1"/>
    <col min="26" max="26" width="41.375" bestFit="1" customWidth="1"/>
    <col min="27" max="27" width="14.5" bestFit="1" customWidth="1"/>
    <col min="28" max="28" width="14.5" customWidth="1"/>
  </cols>
  <sheetData>
    <row r="1" spans="1:31" x14ac:dyDescent="0.2">
      <c r="A1" t="s">
        <v>135</v>
      </c>
      <c r="B1" t="s">
        <v>136</v>
      </c>
      <c r="C1" t="s">
        <v>137</v>
      </c>
      <c r="D1" t="s">
        <v>138</v>
      </c>
      <c r="E1" t="s">
        <v>139</v>
      </c>
      <c r="F1" t="s">
        <v>140</v>
      </c>
      <c r="G1" t="s">
        <v>141</v>
      </c>
      <c r="H1" t="s">
        <v>142</v>
      </c>
      <c r="I1" t="s">
        <v>143</v>
      </c>
      <c r="J1" t="s">
        <v>144</v>
      </c>
      <c r="M1" s="6" t="s">
        <v>835</v>
      </c>
      <c r="N1" s="6" t="s">
        <v>837</v>
      </c>
      <c r="O1" t="s">
        <v>855</v>
      </c>
      <c r="P1" t="s">
        <v>857</v>
      </c>
      <c r="Q1" t="s">
        <v>861</v>
      </c>
      <c r="R1" t="s">
        <v>864</v>
      </c>
      <c r="S1" t="s">
        <v>865</v>
      </c>
      <c r="T1" t="s">
        <v>866</v>
      </c>
      <c r="U1" t="s">
        <v>867</v>
      </c>
      <c r="V1" t="s">
        <v>868</v>
      </c>
      <c r="W1" t="s">
        <v>869</v>
      </c>
      <c r="Y1" s="6" t="s">
        <v>833</v>
      </c>
      <c r="AC1" t="s">
        <v>1318</v>
      </c>
    </row>
    <row r="2" spans="1:31" x14ac:dyDescent="0.2">
      <c r="A2" t="s">
        <v>145</v>
      </c>
      <c r="B2" t="s">
        <v>849</v>
      </c>
      <c r="C2">
        <v>71</v>
      </c>
      <c r="D2" t="s">
        <v>146</v>
      </c>
      <c r="E2" t="s">
        <v>147</v>
      </c>
      <c r="F2" t="s">
        <v>148</v>
      </c>
      <c r="G2">
        <v>42535</v>
      </c>
      <c r="H2" t="s">
        <v>890</v>
      </c>
      <c r="I2" t="s">
        <v>149</v>
      </c>
      <c r="J2">
        <v>44927</v>
      </c>
      <c r="M2" t="b">
        <f>COUNTIF(Table2[Patient_ID],Table2[[#This Row],[Patient_ID]])&gt;1</f>
        <v>0</v>
      </c>
      <c r="N2" t="b">
        <f>COUNTIF(Table2[Name],Table2[[#This Row],[Name]])&gt;1</f>
        <v>0</v>
      </c>
      <c r="O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 t="str">
        <f>IF(TRIM(O2)="","Unknown",O2)</f>
        <v xml:space="preserve">^                     </v>
      </c>
      <c r="Q2" t="b">
        <f>ISNUMBER(Table2[[#This Row],[Age]])</f>
        <v>1</v>
      </c>
      <c r="R2" t="str">
        <f>IF(ISNUMBER(Table2[[#This Row],[Date_of_Admission]]),"correct","incorrect")</f>
        <v>incorrect</v>
      </c>
      <c r="S2" t="str">
        <f>IF(ISNUMBER(Table2[[#This Row],[Date_of_Diagnosis]]),"correct","incorrect")</f>
        <v>incorrect</v>
      </c>
      <c r="T2" t="str">
        <f>IF(ISNUMBER(Table2[[#This Row],[Date_of_Treatment_Start]]),"correct","incorrect")</f>
        <v>correct</v>
      </c>
      <c r="U2" t="str">
        <f>IF(ISNUMBER(Table2[[#This Row],[Date_of_Surgery]]),"correct","incorrect")</f>
        <v>incorrect</v>
      </c>
      <c r="V2" t="str">
        <f>IF(ISNUMBER(Table2[[#This Row],[Date_of_Discharge]]),"correct","incorrect")</f>
        <v>incorrect</v>
      </c>
      <c r="W2" t="str">
        <f>IF(ISNUMBER(Table2[[#This Row],[Follow_up_Visit]]),"correct","incorrect")</f>
        <v>correct</v>
      </c>
      <c r="Y2" s="5" t="s">
        <v>829</v>
      </c>
      <c r="Z2" s="5">
        <f>COUNTA(Table2[#Headers])</f>
        <v>10</v>
      </c>
      <c r="AC2" t="str">
        <f>LOOKUP(C2,{20,30,40,50,60,70,80,90},{"20-29","30-39","40-49","50-59","60-69","70-79","80-89"})</f>
        <v>70-79</v>
      </c>
    </row>
    <row r="3" spans="1:31" x14ac:dyDescent="0.2">
      <c r="A3" t="s">
        <v>151</v>
      </c>
      <c r="B3" t="s">
        <v>152</v>
      </c>
      <c r="C3">
        <v>34</v>
      </c>
      <c r="D3" t="s">
        <v>146</v>
      </c>
      <c r="E3" t="s">
        <v>153</v>
      </c>
      <c r="F3" t="s">
        <v>154</v>
      </c>
      <c r="G3">
        <v>43008</v>
      </c>
      <c r="H3" t="s">
        <v>155</v>
      </c>
      <c r="I3" t="s">
        <v>156</v>
      </c>
      <c r="J3" t="s">
        <v>157</v>
      </c>
      <c r="M3" t="b">
        <f>COUNTIF(Table2[Patient_ID],Table2[[#This Row],[Patient_ID]])&gt;1</f>
        <v>0</v>
      </c>
      <c r="N3" t="b">
        <f>COUNTIF(Table2[Name],Table2[[#This Row],[Name]])&gt;1</f>
        <v>0</v>
      </c>
      <c r="O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 t="str">
        <f t="shared" ref="P3:P66" si="0">IF(TRIM(O3)="","Unknown",O3)</f>
        <v>Unknown</v>
      </c>
      <c r="Q3" t="b">
        <f>ISNUMBER(Table2[[#This Row],[Age]])</f>
        <v>1</v>
      </c>
      <c r="R3" t="str">
        <f>IF(ISNUMBER(Table2[[#This Row],[Date_of_Admission]]),"correct","incorrect")</f>
        <v>incorrect</v>
      </c>
      <c r="S3" t="str">
        <f>IF(ISNUMBER(Table2[[#This Row],[Date_of_Diagnosis]]),"correct","incorrect")</f>
        <v>incorrect</v>
      </c>
      <c r="T3" t="str">
        <f>IF(ISNUMBER(Table2[[#This Row],[Date_of_Treatment_Start]]),"correct","incorrect")</f>
        <v>correct</v>
      </c>
      <c r="U3" t="str">
        <f>IF(ISNUMBER(Table2[[#This Row],[Date_of_Surgery]]),"correct","incorrect")</f>
        <v>incorrect</v>
      </c>
      <c r="V3" t="str">
        <f>IF(ISNUMBER(Table2[[#This Row],[Date_of_Discharge]]),"correct","incorrect")</f>
        <v>incorrect</v>
      </c>
      <c r="W3" t="str">
        <f>IF(ISNUMBER(Table2[[#This Row],[Follow_up_Visit]]),"correct","incorrect")</f>
        <v>incorrect</v>
      </c>
      <c r="Y3" s="5" t="s">
        <v>830</v>
      </c>
      <c r="Z3" s="5">
        <f>COUNTA(Table2[Patient_ID])</f>
        <v>132</v>
      </c>
      <c r="AC3" t="str">
        <f>LOOKUP(C3,{20,30,40,50,60,70,80,90},{"20-29","30-39","40-49","50-59","60-69","70-79","80-89"})</f>
        <v>30-39</v>
      </c>
      <c r="AD3" s="5" t="s">
        <v>1310</v>
      </c>
      <c r="AE3" s="5" t="s">
        <v>1319</v>
      </c>
    </row>
    <row r="4" spans="1:31" x14ac:dyDescent="0.2">
      <c r="A4" t="s">
        <v>158</v>
      </c>
      <c r="B4" t="s">
        <v>159</v>
      </c>
      <c r="C4">
        <v>57</v>
      </c>
      <c r="D4" t="s">
        <v>160</v>
      </c>
      <c r="E4">
        <v>44681</v>
      </c>
      <c r="F4" t="s">
        <v>162</v>
      </c>
      <c r="G4">
        <v>43120</v>
      </c>
      <c r="H4" t="s">
        <v>163</v>
      </c>
      <c r="I4" t="s">
        <v>164</v>
      </c>
      <c r="J4" t="s">
        <v>165</v>
      </c>
      <c r="M4" t="b">
        <f>COUNTIF(Table2[Patient_ID],Table2[[#This Row],[Patient_ID]])&gt;1</f>
        <v>0</v>
      </c>
      <c r="N4" t="b">
        <f>COUNTIF(Table2[Name],Table2[[#This Row],[Name]])&gt;1</f>
        <v>0</v>
      </c>
      <c r="O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 t="str">
        <f t="shared" si="0"/>
        <v>Unknown</v>
      </c>
      <c r="Q4" t="b">
        <f>ISNUMBER(Table2[[#This Row],[Age]])</f>
        <v>1</v>
      </c>
      <c r="R4" t="str">
        <f>IF(ISNUMBER(Table2[[#This Row],[Date_of_Admission]]),"correct","incorrect")</f>
        <v>correct</v>
      </c>
      <c r="S4" t="str">
        <f>IF(ISNUMBER(Table2[[#This Row],[Date_of_Diagnosis]]),"correct","incorrect")</f>
        <v>incorrect</v>
      </c>
      <c r="T4" t="str">
        <f>IF(ISNUMBER(Table2[[#This Row],[Date_of_Treatment_Start]]),"correct","incorrect")</f>
        <v>correct</v>
      </c>
      <c r="U4" t="str">
        <f>IF(ISNUMBER(Table2[[#This Row],[Date_of_Surgery]]),"correct","incorrect")</f>
        <v>incorrect</v>
      </c>
      <c r="V4" t="str">
        <f>IF(ISNUMBER(Table2[[#This Row],[Date_of_Discharge]]),"correct","incorrect")</f>
        <v>incorrect</v>
      </c>
      <c r="W4" t="str">
        <f>IF(ISNUMBER(Table2[[#This Row],[Follow_up_Visit]]),"correct","incorrect")</f>
        <v>incorrect</v>
      </c>
      <c r="AC4" t="str">
        <f>LOOKUP(C4,{20,30,40,50,60,70,80,90},{"20-29","30-39","40-49","50-59","60-69","70-79","80-89"})</f>
        <v>50-59</v>
      </c>
      <c r="AD4" s="5" t="s">
        <v>1311</v>
      </c>
      <c r="AE4" s="5">
        <f>COUNTIF(AC2:AC133,AD4)</f>
        <v>26</v>
      </c>
    </row>
    <row r="5" spans="1:31" x14ac:dyDescent="0.2">
      <c r="A5" t="s">
        <v>166</v>
      </c>
      <c r="B5" t="s">
        <v>167</v>
      </c>
      <c r="C5">
        <v>24</v>
      </c>
      <c r="D5" t="s">
        <v>160</v>
      </c>
      <c r="E5" t="s">
        <v>168</v>
      </c>
      <c r="F5" t="s">
        <v>169</v>
      </c>
      <c r="G5">
        <v>43120</v>
      </c>
      <c r="H5" t="s">
        <v>163</v>
      </c>
      <c r="I5" t="s">
        <v>170</v>
      </c>
      <c r="J5" t="s">
        <v>171</v>
      </c>
      <c r="M5" t="b">
        <f>COUNTIF(Table2[Patient_ID],Table2[[#This Row],[Patient_ID]])&gt;1</f>
        <v>0</v>
      </c>
      <c r="N5" t="b">
        <f>COUNTIF(Table2[Name],Table2[[#This Row],[Name]])&gt;1</f>
        <v>0</v>
      </c>
      <c r="O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 t="str">
        <f t="shared" si="0"/>
        <v>Unknown</v>
      </c>
      <c r="Q5" t="b">
        <f>ISNUMBER(Table2[[#This Row],[Age]])</f>
        <v>1</v>
      </c>
      <c r="R5" t="str">
        <f>IF(ISNUMBER(Table2[[#This Row],[Date_of_Admission]]),"correct","incorrect")</f>
        <v>incorrect</v>
      </c>
      <c r="S5" t="str">
        <f>IF(ISNUMBER(Table2[[#This Row],[Date_of_Diagnosis]]),"correct","incorrect")</f>
        <v>incorrect</v>
      </c>
      <c r="T5" t="str">
        <f>IF(ISNUMBER(Table2[[#This Row],[Date_of_Treatment_Start]]),"correct","incorrect")</f>
        <v>correct</v>
      </c>
      <c r="U5" t="str">
        <f>IF(ISNUMBER(Table2[[#This Row],[Date_of_Surgery]]),"correct","incorrect")</f>
        <v>incorrect</v>
      </c>
      <c r="V5" t="str">
        <f>IF(ISNUMBER(Table2[[#This Row],[Date_of_Discharge]]),"correct","incorrect")</f>
        <v>incorrect</v>
      </c>
      <c r="W5" t="str">
        <f>IF(ISNUMBER(Table2[[#This Row],[Follow_up_Visit]]),"correct","incorrect")</f>
        <v>incorrect</v>
      </c>
      <c r="Y5" s="6" t="s">
        <v>834</v>
      </c>
      <c r="AC5" t="str">
        <f>LOOKUP(C5,{20,30,40,50,60,70,80,90},{"20-29","30-39","40-49","50-59","60-69","70-79","80-89"})</f>
        <v>20-29</v>
      </c>
      <c r="AD5" s="5" t="s">
        <v>1312</v>
      </c>
      <c r="AE5" s="5">
        <f>COUNTIF(AC2:AC133,AD5)</f>
        <v>14</v>
      </c>
    </row>
    <row r="6" spans="1:31" x14ac:dyDescent="0.2">
      <c r="A6" t="s">
        <v>172</v>
      </c>
      <c r="B6" t="s">
        <v>173</v>
      </c>
      <c r="C6">
        <v>33</v>
      </c>
      <c r="D6" t="s">
        <v>146</v>
      </c>
      <c r="E6" t="s">
        <v>174</v>
      </c>
      <c r="F6" t="s">
        <v>175</v>
      </c>
      <c r="G6">
        <v>43120</v>
      </c>
      <c r="H6" t="s">
        <v>176</v>
      </c>
      <c r="I6" t="s">
        <v>177</v>
      </c>
      <c r="J6" t="s">
        <v>171</v>
      </c>
      <c r="M6" t="b">
        <f>COUNTIF(Table2[Patient_ID],Table2[[#This Row],[Patient_ID]])&gt;1</f>
        <v>0</v>
      </c>
      <c r="N6" t="b">
        <f>COUNTIF(Table2[Name],Table2[[#This Row],[Name]])&gt;1</f>
        <v>0</v>
      </c>
      <c r="O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 t="str">
        <f t="shared" si="0"/>
        <v>Unknown</v>
      </c>
      <c r="Q6" t="b">
        <f>ISNUMBER(Table2[[#This Row],[Age]])</f>
        <v>1</v>
      </c>
      <c r="R6" t="str">
        <f>IF(ISNUMBER(Table2[[#This Row],[Date_of_Admission]]),"correct","incorrect")</f>
        <v>incorrect</v>
      </c>
      <c r="S6" t="str">
        <f>IF(ISNUMBER(Table2[[#This Row],[Date_of_Diagnosis]]),"correct","incorrect")</f>
        <v>incorrect</v>
      </c>
      <c r="T6" t="str">
        <f>IF(ISNUMBER(Table2[[#This Row],[Date_of_Treatment_Start]]),"correct","incorrect")</f>
        <v>correct</v>
      </c>
      <c r="U6" t="str">
        <f>IF(ISNUMBER(Table2[[#This Row],[Date_of_Surgery]]),"correct","incorrect")</f>
        <v>incorrect</v>
      </c>
      <c r="V6" t="str">
        <f>IF(ISNUMBER(Table2[[#This Row],[Date_of_Discharge]]),"correct","incorrect")</f>
        <v>incorrect</v>
      </c>
      <c r="W6" t="str">
        <f>IF(ISNUMBER(Table2[[#This Row],[Follow_up_Visit]]),"correct","incorrect")</f>
        <v>incorrect</v>
      </c>
      <c r="Y6" s="7" t="s">
        <v>831</v>
      </c>
      <c r="Z6" s="7" t="s">
        <v>832</v>
      </c>
      <c r="AC6" t="str">
        <f>LOOKUP(C6,{20,30,40,50,60,70,80,90},{"20-29","30-39","40-49","50-59","60-69","70-79","80-89"})</f>
        <v>30-39</v>
      </c>
      <c r="AD6" s="5" t="s">
        <v>1313</v>
      </c>
      <c r="AE6" s="5">
        <f>COUNTIF(AC2:AC133,AD6)</f>
        <v>19</v>
      </c>
    </row>
    <row r="7" spans="1:31" x14ac:dyDescent="0.2">
      <c r="A7" t="s">
        <v>178</v>
      </c>
      <c r="B7" t="s">
        <v>841</v>
      </c>
      <c r="C7">
        <v>46</v>
      </c>
      <c r="D7" t="s">
        <v>160</v>
      </c>
      <c r="E7" t="s">
        <v>179</v>
      </c>
      <c r="F7" t="s">
        <v>180</v>
      </c>
      <c r="G7">
        <v>45292</v>
      </c>
      <c r="H7" t="s">
        <v>176</v>
      </c>
      <c r="I7" t="s">
        <v>181</v>
      </c>
      <c r="J7" t="s">
        <v>940</v>
      </c>
      <c r="M7" t="b">
        <f>COUNTIF(Table2[Patient_ID],Table2[[#This Row],[Patient_ID]])&gt;1</f>
        <v>0</v>
      </c>
      <c r="N7" t="b">
        <f>COUNTIF(Table2[Name],Table2[[#This Row],[Name]])&gt;1</f>
        <v>0</v>
      </c>
      <c r="O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 t="str">
        <f t="shared" si="0"/>
        <v xml:space="preserve">@                    </v>
      </c>
      <c r="Q7" t="b">
        <f>ISNUMBER(Table2[[#This Row],[Age]])</f>
        <v>1</v>
      </c>
      <c r="R7" t="str">
        <f>IF(ISNUMBER(Table2[[#This Row],[Date_of_Admission]]),"correct","incorrect")</f>
        <v>incorrect</v>
      </c>
      <c r="S7" t="str">
        <f>IF(ISNUMBER(Table2[[#This Row],[Date_of_Diagnosis]]),"correct","incorrect")</f>
        <v>incorrect</v>
      </c>
      <c r="T7" t="str">
        <f>IF(ISNUMBER(Table2[[#This Row],[Date_of_Treatment_Start]]),"correct","incorrect")</f>
        <v>correct</v>
      </c>
      <c r="U7" t="str">
        <f>IF(ISNUMBER(Table2[[#This Row],[Date_of_Surgery]]),"correct","incorrect")</f>
        <v>incorrect</v>
      </c>
      <c r="V7" t="str">
        <f>IF(ISNUMBER(Table2[[#This Row],[Date_of_Discharge]]),"correct","incorrect")</f>
        <v>incorrect</v>
      </c>
      <c r="W7" t="str">
        <f>IF(ISNUMBER(Table2[[#This Row],[Follow_up_Visit]]),"correct","incorrect")</f>
        <v>incorrect</v>
      </c>
      <c r="Y7" s="7" t="s">
        <v>135</v>
      </c>
      <c r="Z7" s="5">
        <f>COUNTBLANK(Table2[Patient_ID])</f>
        <v>0</v>
      </c>
      <c r="AC7" t="str">
        <f>LOOKUP(C7,{20,30,40,50,60,70,80,90},{"20-29","30-39","40-49","50-59","60-69","70-79","80-89"})</f>
        <v>40-49</v>
      </c>
      <c r="AD7" s="5" t="s">
        <v>1314</v>
      </c>
      <c r="AE7" s="5">
        <f>COUNTIF(AC2:AC133,AD7)</f>
        <v>16</v>
      </c>
    </row>
    <row r="8" spans="1:31" x14ac:dyDescent="0.2">
      <c r="A8" t="s">
        <v>183</v>
      </c>
      <c r="B8" t="s">
        <v>850</v>
      </c>
      <c r="C8">
        <v>28</v>
      </c>
      <c r="D8" t="s">
        <v>146</v>
      </c>
      <c r="E8" t="s">
        <v>165</v>
      </c>
      <c r="F8" t="s">
        <v>184</v>
      </c>
      <c r="G8">
        <v>45734</v>
      </c>
      <c r="H8" t="s">
        <v>176</v>
      </c>
      <c r="I8" t="s">
        <v>177</v>
      </c>
      <c r="J8" t="s">
        <v>940</v>
      </c>
      <c r="M8" t="b">
        <f>COUNTIF(Table2[Patient_ID],Table2[[#This Row],[Patient_ID]])&gt;1</f>
        <v>0</v>
      </c>
      <c r="N8" t="b">
        <f>COUNTIF(Table2[Name],Table2[[#This Row],[Name]])&gt;1</f>
        <v>0</v>
      </c>
      <c r="O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8" t="str">
        <f t="shared" si="0"/>
        <v xml:space="preserve"> ?+                  </v>
      </c>
      <c r="Q8" t="b">
        <f>ISNUMBER(Table2[[#This Row],[Age]])</f>
        <v>1</v>
      </c>
      <c r="R8" t="str">
        <f>IF(ISNUMBER(Table2[[#This Row],[Date_of_Admission]]),"correct","incorrect")</f>
        <v>incorrect</v>
      </c>
      <c r="S8" t="str">
        <f>IF(ISNUMBER(Table2[[#This Row],[Date_of_Diagnosis]]),"correct","incorrect")</f>
        <v>incorrect</v>
      </c>
      <c r="T8" t="str">
        <f>IF(ISNUMBER(Table2[[#This Row],[Date_of_Treatment_Start]]),"correct","incorrect")</f>
        <v>correct</v>
      </c>
      <c r="U8" t="str">
        <f>IF(ISNUMBER(Table2[[#This Row],[Date_of_Surgery]]),"correct","incorrect")</f>
        <v>incorrect</v>
      </c>
      <c r="V8" t="str">
        <f>IF(ISNUMBER(Table2[[#This Row],[Date_of_Discharge]]),"correct","incorrect")</f>
        <v>incorrect</v>
      </c>
      <c r="W8" t="str">
        <f>IF(ISNUMBER(Table2[[#This Row],[Follow_up_Visit]]),"correct","incorrect")</f>
        <v>incorrect</v>
      </c>
      <c r="Y8" s="7" t="s">
        <v>136</v>
      </c>
      <c r="Z8" s="5">
        <f>COUNTBLANK(Table2[Name])</f>
        <v>0</v>
      </c>
      <c r="AC8" t="str">
        <f>LOOKUP(C8,{20,30,40,50,60,70,80,90},{"20-29","30-39","40-49","50-59","60-69","70-79","80-89"})</f>
        <v>20-29</v>
      </c>
      <c r="AD8" s="5" t="s">
        <v>1315</v>
      </c>
      <c r="AE8" s="5">
        <f>COUNTIF(AC2:AC133,AD8)</f>
        <v>19</v>
      </c>
    </row>
    <row r="9" spans="1:31" x14ac:dyDescent="0.2">
      <c r="A9" t="s">
        <v>185</v>
      </c>
      <c r="B9" t="s">
        <v>186</v>
      </c>
      <c r="C9">
        <v>34</v>
      </c>
      <c r="D9" t="s">
        <v>146</v>
      </c>
      <c r="E9" t="s">
        <v>187</v>
      </c>
      <c r="F9" t="s">
        <v>184</v>
      </c>
      <c r="G9">
        <v>45756</v>
      </c>
      <c r="H9" t="s">
        <v>176</v>
      </c>
      <c r="I9" t="s">
        <v>188</v>
      </c>
      <c r="J9">
        <v>44736</v>
      </c>
      <c r="M9" t="b">
        <f>COUNTIF(Table2[Patient_ID],Table2[[#This Row],[Patient_ID]])&gt;1</f>
        <v>0</v>
      </c>
      <c r="N9" t="b">
        <f>COUNTIF(Table2[Name],Table2[[#This Row],[Name]])&gt;1</f>
        <v>0</v>
      </c>
      <c r="O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 t="str">
        <f t="shared" si="0"/>
        <v>Unknown</v>
      </c>
      <c r="Q9" t="b">
        <f>ISNUMBER(Table2[[#This Row],[Age]])</f>
        <v>1</v>
      </c>
      <c r="R9" t="str">
        <f>IF(ISNUMBER(Table2[[#This Row],[Date_of_Admission]]),"correct","incorrect")</f>
        <v>incorrect</v>
      </c>
      <c r="S9" t="str">
        <f>IF(ISNUMBER(Table2[[#This Row],[Date_of_Diagnosis]]),"correct","incorrect")</f>
        <v>incorrect</v>
      </c>
      <c r="T9" t="str">
        <f>IF(ISNUMBER(Table2[[#This Row],[Date_of_Treatment_Start]]),"correct","incorrect")</f>
        <v>correct</v>
      </c>
      <c r="U9" t="str">
        <f>IF(ISNUMBER(Table2[[#This Row],[Date_of_Surgery]]),"correct","incorrect")</f>
        <v>incorrect</v>
      </c>
      <c r="V9" t="str">
        <f>IF(ISNUMBER(Table2[[#This Row],[Date_of_Discharge]]),"correct","incorrect")</f>
        <v>incorrect</v>
      </c>
      <c r="W9" t="str">
        <f>IF(ISNUMBER(Table2[[#This Row],[Follow_up_Visit]]),"correct","incorrect")</f>
        <v>correct</v>
      </c>
      <c r="Y9" s="7" t="s">
        <v>137</v>
      </c>
      <c r="Z9" s="5">
        <f>COUNTBLANK(Table2[Age])</f>
        <v>0</v>
      </c>
      <c r="AC9" t="str">
        <f>LOOKUP(C9,{20,30,40,50,60,70,80,90},{"20-29","30-39","40-49","50-59","60-69","70-79","80-89"})</f>
        <v>30-39</v>
      </c>
      <c r="AD9" s="5" t="s">
        <v>1316</v>
      </c>
      <c r="AE9" s="5">
        <f>COUNTIF(AC2:AC133,AD9)</f>
        <v>20</v>
      </c>
    </row>
    <row r="10" spans="1:31" x14ac:dyDescent="0.2">
      <c r="A10" t="s">
        <v>189</v>
      </c>
      <c r="B10" t="s">
        <v>851</v>
      </c>
      <c r="C10">
        <v>61</v>
      </c>
      <c r="D10" t="s">
        <v>160</v>
      </c>
      <c r="E10">
        <v>44985</v>
      </c>
      <c r="F10" t="s">
        <v>184</v>
      </c>
      <c r="G10" t="s">
        <v>191</v>
      </c>
      <c r="H10" t="s">
        <v>192</v>
      </c>
      <c r="I10" t="s">
        <v>193</v>
      </c>
      <c r="J10">
        <v>45367</v>
      </c>
      <c r="M10" t="b">
        <f>COUNTIF(Table2[Patient_ID],Table2[[#This Row],[Patient_ID]])&gt;1</f>
        <v>0</v>
      </c>
      <c r="N10" t="b">
        <f>COUNTIF(Table2[Name],Table2[[#This Row],[Name]])&gt;1</f>
        <v>0</v>
      </c>
      <c r="O1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&amp; )              </v>
      </c>
      <c r="P10" t="str">
        <f t="shared" si="0"/>
        <v xml:space="preserve">    &amp; )              </v>
      </c>
      <c r="Q10" t="b">
        <f>ISNUMBER(Table2[[#This Row],[Age]])</f>
        <v>1</v>
      </c>
      <c r="R10" t="str">
        <f>IF(ISNUMBER(Table2[[#This Row],[Date_of_Admission]]),"correct","incorrect")</f>
        <v>correct</v>
      </c>
      <c r="S10" t="str">
        <f>IF(ISNUMBER(Table2[[#This Row],[Date_of_Diagnosis]]),"correct","incorrect")</f>
        <v>incorrect</v>
      </c>
      <c r="T10" t="str">
        <f>IF(ISNUMBER(Table2[[#This Row],[Date_of_Treatment_Start]]),"correct","incorrect")</f>
        <v>incorrect</v>
      </c>
      <c r="U10" t="str">
        <f>IF(ISNUMBER(Table2[[#This Row],[Date_of_Surgery]]),"correct","incorrect")</f>
        <v>incorrect</v>
      </c>
      <c r="V10" t="str">
        <f>IF(ISNUMBER(Table2[[#This Row],[Date_of_Discharge]]),"correct","incorrect")</f>
        <v>incorrect</v>
      </c>
      <c r="W10" t="str">
        <f>IF(ISNUMBER(Table2[[#This Row],[Follow_up_Visit]]),"correct","incorrect")</f>
        <v>correct</v>
      </c>
      <c r="Y10" s="7" t="s">
        <v>138</v>
      </c>
      <c r="Z10" s="5">
        <f>COUNTBLANK(Table2[Gender])</f>
        <v>0</v>
      </c>
      <c r="AC10" t="str">
        <f>LOOKUP(C10,{20,30,40,50,60,70,80,90},{"20-29","30-39","40-49","50-59","60-69","70-79","80-89"})</f>
        <v>60-69</v>
      </c>
      <c r="AD10" s="5" t="s">
        <v>1317</v>
      </c>
      <c r="AE10" s="5">
        <f>COUNTIF(AC2:AC133,AD10)</f>
        <v>18</v>
      </c>
    </row>
    <row r="11" spans="1:31" x14ac:dyDescent="0.2">
      <c r="A11" t="s">
        <v>194</v>
      </c>
      <c r="B11" t="s">
        <v>195</v>
      </c>
      <c r="C11">
        <v>70</v>
      </c>
      <c r="D11" t="s">
        <v>160</v>
      </c>
      <c r="E11">
        <v>44985</v>
      </c>
      <c r="F11" t="s">
        <v>196</v>
      </c>
      <c r="G11" t="s">
        <v>197</v>
      </c>
      <c r="H11" t="s">
        <v>192</v>
      </c>
      <c r="I11" t="s">
        <v>198</v>
      </c>
      <c r="J11" t="s">
        <v>199</v>
      </c>
      <c r="M11" t="b">
        <f>COUNTIF(Table2[Patient_ID],Table2[[#This Row],[Patient_ID]])&gt;1</f>
        <v>0</v>
      </c>
      <c r="N11" t="b">
        <f>COUNTIF(Table2[Name],Table2[[#This Row],[Name]])&gt;1</f>
        <v>0</v>
      </c>
      <c r="O1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 t="str">
        <f t="shared" si="0"/>
        <v>Unknown</v>
      </c>
      <c r="Q11" t="b">
        <f>ISNUMBER(Table2[[#This Row],[Age]])</f>
        <v>1</v>
      </c>
      <c r="R11" t="str">
        <f>IF(ISNUMBER(Table2[[#This Row],[Date_of_Admission]]),"correct","incorrect")</f>
        <v>correct</v>
      </c>
      <c r="S11" t="str">
        <f>IF(ISNUMBER(Table2[[#This Row],[Date_of_Diagnosis]]),"correct","incorrect")</f>
        <v>incorrect</v>
      </c>
      <c r="T11" t="str">
        <f>IF(ISNUMBER(Table2[[#This Row],[Date_of_Treatment_Start]]),"correct","incorrect")</f>
        <v>incorrect</v>
      </c>
      <c r="U11" t="str">
        <f>IF(ISNUMBER(Table2[[#This Row],[Date_of_Surgery]]),"correct","incorrect")</f>
        <v>incorrect</v>
      </c>
      <c r="V11" t="str">
        <f>IF(ISNUMBER(Table2[[#This Row],[Date_of_Discharge]]),"correct","incorrect")</f>
        <v>incorrect</v>
      </c>
      <c r="W11" t="str">
        <f>IF(ISNUMBER(Table2[[#This Row],[Follow_up_Visit]]),"correct","incorrect")</f>
        <v>incorrect</v>
      </c>
      <c r="Y11" s="7" t="s">
        <v>139</v>
      </c>
      <c r="Z11" s="5">
        <f>COUNTBLANK(Table2[Date_of_Admission])</f>
        <v>0</v>
      </c>
      <c r="AC11" t="str">
        <f>LOOKUP(C11,{20,30,40,50,60,70,80,90},{"20-29","30-39","40-49","50-59","60-69","70-79","80-89"})</f>
        <v>70-79</v>
      </c>
    </row>
    <row r="12" spans="1:31" x14ac:dyDescent="0.2">
      <c r="A12" t="s">
        <v>200</v>
      </c>
      <c r="B12" t="s">
        <v>201</v>
      </c>
      <c r="C12">
        <v>82</v>
      </c>
      <c r="D12" t="s">
        <v>146</v>
      </c>
      <c r="E12" t="s">
        <v>198</v>
      </c>
      <c r="F12" t="s">
        <v>202</v>
      </c>
      <c r="G12" t="s">
        <v>203</v>
      </c>
      <c r="H12" t="s">
        <v>204</v>
      </c>
      <c r="I12" t="s">
        <v>205</v>
      </c>
      <c r="J12" t="s">
        <v>206</v>
      </c>
      <c r="M12" t="b">
        <f>COUNTIF(Table2[Patient_ID],Table2[[#This Row],[Patient_ID]])&gt;1</f>
        <v>0</v>
      </c>
      <c r="N12" t="b">
        <f>COUNTIF(Table2[Name],Table2[[#This Row],[Name]])&gt;1</f>
        <v>0</v>
      </c>
      <c r="O1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 t="str">
        <f t="shared" si="0"/>
        <v>Unknown</v>
      </c>
      <c r="Q12" t="b">
        <f>ISNUMBER(Table2[[#This Row],[Age]])</f>
        <v>1</v>
      </c>
      <c r="R12" t="str">
        <f>IF(ISNUMBER(Table2[[#This Row],[Date_of_Admission]]),"correct","incorrect")</f>
        <v>incorrect</v>
      </c>
      <c r="S12" t="str">
        <f>IF(ISNUMBER(Table2[[#This Row],[Date_of_Diagnosis]]),"correct","incorrect")</f>
        <v>incorrect</v>
      </c>
      <c r="T12" t="str">
        <f>IF(ISNUMBER(Table2[[#This Row],[Date_of_Treatment_Start]]),"correct","incorrect")</f>
        <v>incorrect</v>
      </c>
      <c r="U12" t="str">
        <f>IF(ISNUMBER(Table2[[#This Row],[Date_of_Surgery]]),"correct","incorrect")</f>
        <v>incorrect</v>
      </c>
      <c r="V12" t="str">
        <f>IF(ISNUMBER(Table2[[#This Row],[Date_of_Discharge]]),"correct","incorrect")</f>
        <v>incorrect</v>
      </c>
      <c r="W12" t="str">
        <f>IF(ISNUMBER(Table2[[#This Row],[Follow_up_Visit]]),"correct","incorrect")</f>
        <v>incorrect</v>
      </c>
      <c r="Y12" s="7" t="s">
        <v>140</v>
      </c>
      <c r="Z12" s="5">
        <f>COUNTBLANK(Table2[Date_of_Diagnosis])</f>
        <v>0</v>
      </c>
      <c r="AC12" t="str">
        <f>LOOKUP(C12,{20,30,40,50,60,70,80,90},{"20-29","30-39","40-49","50-59","60-69","70-79","80-89"})</f>
        <v>80-89</v>
      </c>
    </row>
    <row r="13" spans="1:31" x14ac:dyDescent="0.2">
      <c r="A13" t="s">
        <v>207</v>
      </c>
      <c r="B13" t="s">
        <v>852</v>
      </c>
      <c r="C13">
        <v>71</v>
      </c>
      <c r="D13" t="s">
        <v>160</v>
      </c>
      <c r="E13" t="s">
        <v>208</v>
      </c>
      <c r="F13" t="s">
        <v>202</v>
      </c>
      <c r="G13" t="s">
        <v>209</v>
      </c>
      <c r="H13" t="s">
        <v>204</v>
      </c>
      <c r="I13" t="s">
        <v>210</v>
      </c>
      <c r="J13" t="s">
        <v>211</v>
      </c>
      <c r="M13" t="b">
        <f>COUNTIF(Table2[Patient_ID],Table2[[#This Row],[Patient_ID]])&gt;1</f>
        <v>0</v>
      </c>
      <c r="N13" t="b">
        <f>COUNTIF(Table2[Name],Table2[[#This Row],[Name]])&gt;1</f>
        <v>0</v>
      </c>
      <c r="O1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13" t="str">
        <f t="shared" si="0"/>
        <v xml:space="preserve">   /                 </v>
      </c>
      <c r="Q13" t="b">
        <f>ISNUMBER(Table2[[#This Row],[Age]])</f>
        <v>1</v>
      </c>
      <c r="R13" t="str">
        <f>IF(ISNUMBER(Table2[[#This Row],[Date_of_Admission]]),"correct","incorrect")</f>
        <v>incorrect</v>
      </c>
      <c r="S13" t="str">
        <f>IF(ISNUMBER(Table2[[#This Row],[Date_of_Diagnosis]]),"correct","incorrect")</f>
        <v>incorrect</v>
      </c>
      <c r="T13" t="str">
        <f>IF(ISNUMBER(Table2[[#This Row],[Date_of_Treatment_Start]]),"correct","incorrect")</f>
        <v>incorrect</v>
      </c>
      <c r="U13" t="str">
        <f>IF(ISNUMBER(Table2[[#This Row],[Date_of_Surgery]]),"correct","incorrect")</f>
        <v>incorrect</v>
      </c>
      <c r="V13" t="str">
        <f>IF(ISNUMBER(Table2[[#This Row],[Date_of_Discharge]]),"correct","incorrect")</f>
        <v>incorrect</v>
      </c>
      <c r="W13" t="str">
        <f>IF(ISNUMBER(Table2[[#This Row],[Follow_up_Visit]]),"correct","incorrect")</f>
        <v>incorrect</v>
      </c>
      <c r="Y13" s="7" t="s">
        <v>141</v>
      </c>
      <c r="Z13" s="5">
        <f>COUNTBLANK(Table2[Date_of_Treatment_Start])</f>
        <v>0</v>
      </c>
      <c r="AC13" t="str">
        <f>LOOKUP(C13,{20,30,40,50,60,70,80,90},{"20-29","30-39","40-49","50-59","60-69","70-79","80-89"})</f>
        <v>70-79</v>
      </c>
    </row>
    <row r="14" spans="1:31" x14ac:dyDescent="0.2">
      <c r="A14" t="s">
        <v>212</v>
      </c>
      <c r="B14" t="s">
        <v>213</v>
      </c>
      <c r="C14">
        <v>23</v>
      </c>
      <c r="D14" t="s">
        <v>160</v>
      </c>
      <c r="E14" t="s">
        <v>147</v>
      </c>
      <c r="F14" t="s">
        <v>214</v>
      </c>
      <c r="G14" t="s">
        <v>215</v>
      </c>
      <c r="H14" t="s">
        <v>204</v>
      </c>
      <c r="I14">
        <v>45594</v>
      </c>
      <c r="J14" t="s">
        <v>216</v>
      </c>
      <c r="M14" t="b">
        <f>COUNTIF(Table2[Patient_ID],Table2[[#This Row],[Patient_ID]])&gt;1</f>
        <v>0</v>
      </c>
      <c r="N14" t="b">
        <f>COUNTIF(Table2[Name],Table2[[#This Row],[Name]])&gt;1</f>
        <v>0</v>
      </c>
      <c r="O1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4" t="str">
        <f t="shared" si="0"/>
        <v>Unknown</v>
      </c>
      <c r="Q14" t="b">
        <f>ISNUMBER(Table2[[#This Row],[Age]])</f>
        <v>1</v>
      </c>
      <c r="R14" t="str">
        <f>IF(ISNUMBER(Table2[[#This Row],[Date_of_Admission]]),"correct","incorrect")</f>
        <v>incorrect</v>
      </c>
      <c r="S14" t="str">
        <f>IF(ISNUMBER(Table2[[#This Row],[Date_of_Diagnosis]]),"correct","incorrect")</f>
        <v>incorrect</v>
      </c>
      <c r="T14" t="str">
        <f>IF(ISNUMBER(Table2[[#This Row],[Date_of_Treatment_Start]]),"correct","incorrect")</f>
        <v>incorrect</v>
      </c>
      <c r="U14" t="str">
        <f>IF(ISNUMBER(Table2[[#This Row],[Date_of_Surgery]]),"correct","incorrect")</f>
        <v>incorrect</v>
      </c>
      <c r="V14" t="str">
        <f>IF(ISNUMBER(Table2[[#This Row],[Date_of_Discharge]]),"correct","incorrect")</f>
        <v>correct</v>
      </c>
      <c r="W14" t="str">
        <f>IF(ISNUMBER(Table2[[#This Row],[Follow_up_Visit]]),"correct","incorrect")</f>
        <v>incorrect</v>
      </c>
      <c r="Y14" s="7" t="s">
        <v>142</v>
      </c>
      <c r="Z14" s="5">
        <f>COUNTBLANK(H2:H104)</f>
        <v>0</v>
      </c>
      <c r="AC14" t="str">
        <f>LOOKUP(C14,{20,30,40,50,60,70,80,90},{"20-29","30-39","40-49","50-59","60-69","70-79","80-89"})</f>
        <v>20-29</v>
      </c>
    </row>
    <row r="15" spans="1:31" x14ac:dyDescent="0.2">
      <c r="A15" t="s">
        <v>217</v>
      </c>
      <c r="B15" t="s">
        <v>218</v>
      </c>
      <c r="C15">
        <v>21</v>
      </c>
      <c r="D15" t="s">
        <v>146</v>
      </c>
      <c r="E15" t="s">
        <v>219</v>
      </c>
      <c r="F15" t="s">
        <v>220</v>
      </c>
      <c r="G15" t="s">
        <v>221</v>
      </c>
      <c r="H15" t="s">
        <v>204</v>
      </c>
      <c r="I15" t="s">
        <v>222</v>
      </c>
      <c r="J15" t="s">
        <v>939</v>
      </c>
      <c r="M15" t="b">
        <f>COUNTIF(Table2[Patient_ID],Table2[[#This Row],[Patient_ID]])&gt;1</f>
        <v>0</v>
      </c>
      <c r="N15" t="b">
        <f>COUNTIF(Table2[Name],Table2[[#This Row],[Name]])&gt;1</f>
        <v>0</v>
      </c>
      <c r="O1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5" t="str">
        <f t="shared" si="0"/>
        <v>Unknown</v>
      </c>
      <c r="Q15" t="b">
        <f>ISNUMBER(Table2[[#This Row],[Age]])</f>
        <v>1</v>
      </c>
      <c r="R15" t="str">
        <f>IF(ISNUMBER(Table2[[#This Row],[Date_of_Admission]]),"correct","incorrect")</f>
        <v>incorrect</v>
      </c>
      <c r="S15" t="str">
        <f>IF(ISNUMBER(Table2[[#This Row],[Date_of_Diagnosis]]),"correct","incorrect")</f>
        <v>incorrect</v>
      </c>
      <c r="T15" t="str">
        <f>IF(ISNUMBER(Table2[[#This Row],[Date_of_Treatment_Start]]),"correct","incorrect")</f>
        <v>incorrect</v>
      </c>
      <c r="U15" t="str">
        <f>IF(ISNUMBER(Table2[[#This Row],[Date_of_Surgery]]),"correct","incorrect")</f>
        <v>incorrect</v>
      </c>
      <c r="V15" t="str">
        <f>IF(ISNUMBER(Table2[[#This Row],[Date_of_Discharge]]),"correct","incorrect")</f>
        <v>incorrect</v>
      </c>
      <c r="W15" t="str">
        <f>IF(ISNUMBER(Table2[[#This Row],[Follow_up_Visit]]),"correct","incorrect")</f>
        <v>incorrect</v>
      </c>
      <c r="Y15" s="7" t="s">
        <v>143</v>
      </c>
      <c r="Z15" s="5">
        <f>COUNTBLANK(I2:I43)</f>
        <v>0</v>
      </c>
      <c r="AC15" t="str">
        <f>LOOKUP(C15,{20,30,40,50,60,70,80,90},{"20-29","30-39","40-49","50-59","60-69","70-79","80-89"})</f>
        <v>20-29</v>
      </c>
    </row>
    <row r="16" spans="1:31" x14ac:dyDescent="0.2">
      <c r="A16" t="s">
        <v>224</v>
      </c>
      <c r="B16" t="s">
        <v>854</v>
      </c>
      <c r="C16">
        <v>42</v>
      </c>
      <c r="D16" t="s">
        <v>146</v>
      </c>
      <c r="E16" t="s">
        <v>225</v>
      </c>
      <c r="F16" t="s">
        <v>226</v>
      </c>
      <c r="G16" t="s">
        <v>227</v>
      </c>
      <c r="H16" t="s">
        <v>204</v>
      </c>
      <c r="I16" t="s">
        <v>228</v>
      </c>
      <c r="J16" t="s">
        <v>229</v>
      </c>
      <c r="M16" t="b">
        <f>COUNTIF(Table2[Patient_ID],Table2[[#This Row],[Patient_ID]])&gt;1</f>
        <v>0</v>
      </c>
      <c r="N16" t="b">
        <f>COUNTIF(Table2[Name],Table2[[#This Row],[Name]])&gt;1</f>
        <v>0</v>
      </c>
      <c r="O1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6" t="str">
        <f t="shared" si="0"/>
        <v>Unknown</v>
      </c>
      <c r="Q16" t="b">
        <f>ISNUMBER(Table2[[#This Row],[Age]])</f>
        <v>1</v>
      </c>
      <c r="R16" t="str">
        <f>IF(ISNUMBER(Table2[[#This Row],[Date_of_Admission]]),"correct","incorrect")</f>
        <v>incorrect</v>
      </c>
      <c r="S16" t="str">
        <f>IF(ISNUMBER(Table2[[#This Row],[Date_of_Diagnosis]]),"correct","incorrect")</f>
        <v>incorrect</v>
      </c>
      <c r="T16" t="str">
        <f>IF(ISNUMBER(Table2[[#This Row],[Date_of_Treatment_Start]]),"correct","incorrect")</f>
        <v>incorrect</v>
      </c>
      <c r="U16" t="str">
        <f>IF(ISNUMBER(Table2[[#This Row],[Date_of_Surgery]]),"correct","incorrect")</f>
        <v>incorrect</v>
      </c>
      <c r="V16" t="str">
        <f>IF(ISNUMBER(Table2[[#This Row],[Date_of_Discharge]]),"correct","incorrect")</f>
        <v>incorrect</v>
      </c>
      <c r="W16" t="str">
        <f>IF(ISNUMBER(Table2[[#This Row],[Follow_up_Visit]]),"correct","incorrect")</f>
        <v>incorrect</v>
      </c>
      <c r="Y16" s="7" t="s">
        <v>144</v>
      </c>
      <c r="Z16" s="5">
        <f>COUNTBLANK(J2:J77)</f>
        <v>0</v>
      </c>
      <c r="AC16" t="str">
        <f>LOOKUP(C16,{20,30,40,50,60,70,80,90},{"20-29","30-39","40-49","50-59","60-69","70-79","80-89"})</f>
        <v>40-49</v>
      </c>
    </row>
    <row r="17" spans="1:29" x14ac:dyDescent="0.2">
      <c r="A17" t="s">
        <v>230</v>
      </c>
      <c r="B17" t="s">
        <v>231</v>
      </c>
      <c r="C17">
        <v>34</v>
      </c>
      <c r="D17" t="s">
        <v>146</v>
      </c>
      <c r="E17" t="s">
        <v>147</v>
      </c>
      <c r="F17" t="s">
        <v>198</v>
      </c>
      <c r="G17" t="s">
        <v>232</v>
      </c>
      <c r="H17" t="s">
        <v>204</v>
      </c>
      <c r="I17" t="s">
        <v>233</v>
      </c>
      <c r="J17" t="s">
        <v>234</v>
      </c>
      <c r="M17" t="b">
        <f>COUNTIF(Table2[Patient_ID],Table2[[#This Row],[Patient_ID]])&gt;1</f>
        <v>0</v>
      </c>
      <c r="N17" t="b">
        <f>COUNTIF(Table2[Name],Table2[[#This Row],[Name]])&gt;1</f>
        <v>0</v>
      </c>
      <c r="O1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7" t="str">
        <f t="shared" si="0"/>
        <v>Unknown</v>
      </c>
      <c r="Q17" t="b">
        <f>ISNUMBER(Table2[[#This Row],[Age]])</f>
        <v>1</v>
      </c>
      <c r="R17" t="str">
        <f>IF(ISNUMBER(Table2[[#This Row],[Date_of_Admission]]),"correct","incorrect")</f>
        <v>incorrect</v>
      </c>
      <c r="S17" t="str">
        <f>IF(ISNUMBER(Table2[[#This Row],[Date_of_Diagnosis]]),"correct","incorrect")</f>
        <v>incorrect</v>
      </c>
      <c r="T17" t="str">
        <f>IF(ISNUMBER(Table2[[#This Row],[Date_of_Treatment_Start]]),"correct","incorrect")</f>
        <v>incorrect</v>
      </c>
      <c r="U17" t="str">
        <f>IF(ISNUMBER(Table2[[#This Row],[Date_of_Surgery]]),"correct","incorrect")</f>
        <v>incorrect</v>
      </c>
      <c r="V17" t="str">
        <f>IF(ISNUMBER(Table2[[#This Row],[Date_of_Discharge]]),"correct","incorrect")</f>
        <v>incorrect</v>
      </c>
      <c r="W17" t="str">
        <f>IF(ISNUMBER(Table2[[#This Row],[Follow_up_Visit]]),"correct","incorrect")</f>
        <v>incorrect</v>
      </c>
      <c r="Z17" s="6"/>
      <c r="AC17" t="str">
        <f>LOOKUP(C17,{20,30,40,50,60,70,80,90},{"20-29","30-39","40-49","50-59","60-69","70-79","80-89"})</f>
        <v>30-39</v>
      </c>
    </row>
    <row r="18" spans="1:29" x14ac:dyDescent="0.2">
      <c r="A18" t="s">
        <v>235</v>
      </c>
      <c r="B18" t="s">
        <v>236</v>
      </c>
      <c r="C18">
        <v>62</v>
      </c>
      <c r="D18" t="s">
        <v>160</v>
      </c>
      <c r="E18" t="s">
        <v>237</v>
      </c>
      <c r="F18" t="s">
        <v>238</v>
      </c>
      <c r="G18" t="s">
        <v>239</v>
      </c>
      <c r="H18" t="s">
        <v>204</v>
      </c>
      <c r="I18" t="s">
        <v>181</v>
      </c>
      <c r="J18" t="s">
        <v>161</v>
      </c>
      <c r="M18" t="b">
        <f>COUNTIF(Table2[Patient_ID],Table2[[#This Row],[Patient_ID]])&gt;1</f>
        <v>0</v>
      </c>
      <c r="N18" t="b">
        <f>COUNTIF(Table2[Name],Table2[[#This Row],[Name]])&gt;1</f>
        <v>0</v>
      </c>
      <c r="O1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8" t="str">
        <f t="shared" si="0"/>
        <v>Unknown</v>
      </c>
      <c r="Q18" t="b">
        <f>ISNUMBER(Table2[[#This Row],[Age]])</f>
        <v>1</v>
      </c>
      <c r="R18" t="str">
        <f>IF(ISNUMBER(Table2[[#This Row],[Date_of_Admission]]),"correct","incorrect")</f>
        <v>incorrect</v>
      </c>
      <c r="S18" t="str">
        <f>IF(ISNUMBER(Table2[[#This Row],[Date_of_Diagnosis]]),"correct","incorrect")</f>
        <v>incorrect</v>
      </c>
      <c r="T18" t="str">
        <f>IF(ISNUMBER(Table2[[#This Row],[Date_of_Treatment_Start]]),"correct","incorrect")</f>
        <v>incorrect</v>
      </c>
      <c r="U18" t="str">
        <f>IF(ISNUMBER(Table2[[#This Row],[Date_of_Surgery]]),"correct","incorrect")</f>
        <v>incorrect</v>
      </c>
      <c r="V18" t="str">
        <f>IF(ISNUMBER(Table2[[#This Row],[Date_of_Discharge]]),"correct","incorrect")</f>
        <v>incorrect</v>
      </c>
      <c r="W18" t="str">
        <f>IF(ISNUMBER(Table2[[#This Row],[Follow_up_Visit]]),"correct","incorrect")</f>
        <v>incorrect</v>
      </c>
      <c r="Y18" s="6" t="s">
        <v>836</v>
      </c>
      <c r="Z18" s="6"/>
      <c r="AC18" t="str">
        <f>LOOKUP(C18,{20,30,40,50,60,70,80,90},{"20-29","30-39","40-49","50-59","60-69","70-79","80-89"})</f>
        <v>60-69</v>
      </c>
    </row>
    <row r="19" spans="1:29" x14ac:dyDescent="0.2">
      <c r="A19" t="s">
        <v>240</v>
      </c>
      <c r="B19" t="s">
        <v>241</v>
      </c>
      <c r="C19">
        <v>48</v>
      </c>
      <c r="D19" t="s">
        <v>146</v>
      </c>
      <c r="E19" t="s">
        <v>242</v>
      </c>
      <c r="F19" t="s">
        <v>243</v>
      </c>
      <c r="G19" t="s">
        <v>244</v>
      </c>
      <c r="H19" t="s">
        <v>245</v>
      </c>
      <c r="I19">
        <v>45577</v>
      </c>
      <c r="J19" t="s">
        <v>951</v>
      </c>
      <c r="M19" t="b">
        <f>COUNTIF(Table2[Patient_ID],Table2[[#This Row],[Patient_ID]])&gt;1</f>
        <v>0</v>
      </c>
      <c r="N19" t="b">
        <f>COUNTIF(Table2[Name],Table2[[#This Row],[Name]])&gt;1</f>
        <v>0</v>
      </c>
      <c r="O1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9" t="str">
        <f t="shared" si="0"/>
        <v>Unknown</v>
      </c>
      <c r="Q19" t="b">
        <f>ISNUMBER(Table2[[#This Row],[Age]])</f>
        <v>1</v>
      </c>
      <c r="R19" t="str">
        <f>IF(ISNUMBER(Table2[[#This Row],[Date_of_Admission]]),"correct","incorrect")</f>
        <v>incorrect</v>
      </c>
      <c r="S19" t="str">
        <f>IF(ISNUMBER(Table2[[#This Row],[Date_of_Diagnosis]]),"correct","incorrect")</f>
        <v>incorrect</v>
      </c>
      <c r="T19" t="str">
        <f>IF(ISNUMBER(Table2[[#This Row],[Date_of_Treatment_Start]]),"correct","incorrect")</f>
        <v>incorrect</v>
      </c>
      <c r="U19" t="str">
        <f>IF(ISNUMBER(Table2[[#This Row],[Date_of_Surgery]]),"correct","incorrect")</f>
        <v>incorrect</v>
      </c>
      <c r="V19" t="str">
        <f>IF(ISNUMBER(Table2[[#This Row],[Date_of_Discharge]]),"correct","incorrect")</f>
        <v>correct</v>
      </c>
      <c r="W19" t="str">
        <f>IF(ISNUMBER(Table2[[#This Row],[Follow_up_Visit]]),"correct","incorrect")</f>
        <v>incorrect</v>
      </c>
      <c r="Y19" s="9" t="s">
        <v>838</v>
      </c>
      <c r="Z19" s="7" t="s">
        <v>856</v>
      </c>
      <c r="AC19" t="str">
        <f>LOOKUP(C19,{20,30,40,50,60,70,80,90},{"20-29","30-39","40-49","50-59","60-69","70-79","80-89"})</f>
        <v>40-49</v>
      </c>
    </row>
    <row r="20" spans="1:29" x14ac:dyDescent="0.2">
      <c r="A20" t="s">
        <v>247</v>
      </c>
      <c r="B20" t="s">
        <v>248</v>
      </c>
      <c r="C20">
        <v>55</v>
      </c>
      <c r="D20" t="s">
        <v>146</v>
      </c>
      <c r="E20" t="s">
        <v>249</v>
      </c>
      <c r="F20" t="s">
        <v>250</v>
      </c>
      <c r="G20" t="s">
        <v>251</v>
      </c>
      <c r="H20" t="s">
        <v>245</v>
      </c>
      <c r="I20">
        <v>45020</v>
      </c>
      <c r="J20">
        <v>44927</v>
      </c>
      <c r="M20" t="b">
        <f>COUNTIF(Table2[Patient_ID],Table2[[#This Row],[Patient_ID]])&gt;1</f>
        <v>0</v>
      </c>
      <c r="N20" t="b">
        <f>COUNTIF(Table2[Name],Table2[[#This Row],[Name]])&gt;1</f>
        <v>0</v>
      </c>
      <c r="O2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0" t="str">
        <f t="shared" si="0"/>
        <v>Unknown</v>
      </c>
      <c r="Q20" t="b">
        <f>ISNUMBER(Table2[[#This Row],[Age]])</f>
        <v>1</v>
      </c>
      <c r="R20" t="str">
        <f>IF(ISNUMBER(Table2[[#This Row],[Date_of_Admission]]),"correct","incorrect")</f>
        <v>incorrect</v>
      </c>
      <c r="S20" t="str">
        <f>IF(ISNUMBER(Table2[[#This Row],[Date_of_Diagnosis]]),"correct","incorrect")</f>
        <v>incorrect</v>
      </c>
      <c r="T20" t="str">
        <f>IF(ISNUMBER(Table2[[#This Row],[Date_of_Treatment_Start]]),"correct","incorrect")</f>
        <v>incorrect</v>
      </c>
      <c r="U20" t="str">
        <f>IF(ISNUMBER(Table2[[#This Row],[Date_of_Surgery]]),"correct","incorrect")</f>
        <v>incorrect</v>
      </c>
      <c r="V20" t="str">
        <f>IF(ISNUMBER(Table2[[#This Row],[Date_of_Discharge]]),"correct","incorrect")</f>
        <v>correct</v>
      </c>
      <c r="W20" t="str">
        <f>IF(ISNUMBER(Table2[[#This Row],[Follow_up_Visit]]),"correct","incorrect")</f>
        <v>correct</v>
      </c>
      <c r="Y20" s="9" t="s">
        <v>839</v>
      </c>
      <c r="Z20" s="9">
        <f>COUNTIF(M2:M133,M2)</f>
        <v>132</v>
      </c>
      <c r="AC20" t="str">
        <f>LOOKUP(C20,{20,30,40,50,60,70,80,90},{"20-29","30-39","40-49","50-59","60-69","70-79","80-89"})</f>
        <v>50-59</v>
      </c>
    </row>
    <row r="21" spans="1:29" x14ac:dyDescent="0.2">
      <c r="A21" t="s">
        <v>252</v>
      </c>
      <c r="B21" t="s">
        <v>253</v>
      </c>
      <c r="C21">
        <v>32</v>
      </c>
      <c r="D21" t="s">
        <v>160</v>
      </c>
      <c r="E21" t="s">
        <v>147</v>
      </c>
      <c r="F21" t="s">
        <v>254</v>
      </c>
      <c r="G21" t="s">
        <v>255</v>
      </c>
      <c r="H21" t="s">
        <v>245</v>
      </c>
      <c r="I21" t="s">
        <v>256</v>
      </c>
      <c r="J21" t="s">
        <v>187</v>
      </c>
      <c r="M21" t="b">
        <f>COUNTIF(Table2[Patient_ID],Table2[[#This Row],[Patient_ID]])&gt;1</f>
        <v>0</v>
      </c>
      <c r="N21" t="b">
        <f>COUNTIF(Table2[Name],Table2[[#This Row],[Name]])&gt;1</f>
        <v>0</v>
      </c>
      <c r="O2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1" t="str">
        <f t="shared" si="0"/>
        <v>Unknown</v>
      </c>
      <c r="Q21" t="b">
        <f>ISNUMBER(Table2[[#This Row],[Age]])</f>
        <v>1</v>
      </c>
      <c r="R21" t="str">
        <f>IF(ISNUMBER(Table2[[#This Row],[Date_of_Admission]]),"correct","incorrect")</f>
        <v>incorrect</v>
      </c>
      <c r="S21" t="str">
        <f>IF(ISNUMBER(Table2[[#This Row],[Date_of_Diagnosis]]),"correct","incorrect")</f>
        <v>incorrect</v>
      </c>
      <c r="T21" t="str">
        <f>IF(ISNUMBER(Table2[[#This Row],[Date_of_Treatment_Start]]),"correct","incorrect")</f>
        <v>incorrect</v>
      </c>
      <c r="U21" t="str">
        <f>IF(ISNUMBER(Table2[[#This Row],[Date_of_Surgery]]),"correct","incorrect")</f>
        <v>incorrect</v>
      </c>
      <c r="V21" t="str">
        <f>IF(ISNUMBER(Table2[[#This Row],[Date_of_Discharge]]),"correct","incorrect")</f>
        <v>incorrect</v>
      </c>
      <c r="W21" t="str">
        <f>IF(ISNUMBER(Table2[[#This Row],[Follow_up_Visit]]),"correct","incorrect")</f>
        <v>incorrect</v>
      </c>
      <c r="Y21" s="9" t="s">
        <v>840</v>
      </c>
      <c r="Z21" s="7">
        <f>COUNTIF(N2:N133,N111)</f>
        <v>132</v>
      </c>
      <c r="AC21" t="str">
        <f>LOOKUP(C21,{20,30,40,50,60,70,80,90},{"20-29","30-39","40-49","50-59","60-69","70-79","80-89"})</f>
        <v>30-39</v>
      </c>
    </row>
    <row r="22" spans="1:29" x14ac:dyDescent="0.2">
      <c r="A22" t="s">
        <v>257</v>
      </c>
      <c r="B22" t="s">
        <v>853</v>
      </c>
      <c r="C22">
        <v>51</v>
      </c>
      <c r="D22" t="s">
        <v>146</v>
      </c>
      <c r="E22" t="s">
        <v>258</v>
      </c>
      <c r="F22" t="s">
        <v>259</v>
      </c>
      <c r="G22" t="s">
        <v>260</v>
      </c>
      <c r="H22" t="s">
        <v>245</v>
      </c>
      <c r="I22" t="s">
        <v>228</v>
      </c>
      <c r="J22" t="s">
        <v>187</v>
      </c>
      <c r="M22" t="b">
        <f>COUNTIF(Table2[Patient_ID],Table2[[#This Row],[Patient_ID]])&gt;1</f>
        <v>0</v>
      </c>
      <c r="N22" t="b">
        <f>COUNTIF(Table2[Name],Table2[[#This Row],[Name]])&gt;1</f>
        <v>0</v>
      </c>
      <c r="O2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             </v>
      </c>
      <c r="P22" t="str">
        <f t="shared" si="0"/>
        <v xml:space="preserve"> ?     :             </v>
      </c>
      <c r="Q22" t="b">
        <f>ISNUMBER(Table2[[#This Row],[Age]])</f>
        <v>1</v>
      </c>
      <c r="R22" t="str">
        <f>IF(ISNUMBER(Table2[[#This Row],[Date_of_Admission]]),"correct","incorrect")</f>
        <v>incorrect</v>
      </c>
      <c r="S22" t="str">
        <f>IF(ISNUMBER(Table2[[#This Row],[Date_of_Diagnosis]]),"correct","incorrect")</f>
        <v>incorrect</v>
      </c>
      <c r="T22" t="str">
        <f>IF(ISNUMBER(Table2[[#This Row],[Date_of_Treatment_Start]]),"correct","incorrect")</f>
        <v>incorrect</v>
      </c>
      <c r="U22" t="str">
        <f>IF(ISNUMBER(Table2[[#This Row],[Date_of_Surgery]]),"correct","incorrect")</f>
        <v>incorrect</v>
      </c>
      <c r="V22" t="str">
        <f>IF(ISNUMBER(Table2[[#This Row],[Date_of_Discharge]]),"correct","incorrect")</f>
        <v>incorrect</v>
      </c>
      <c r="W22" t="str">
        <f>IF(ISNUMBER(Table2[[#This Row],[Follow_up_Visit]]),"correct","incorrect")</f>
        <v>incorrect</v>
      </c>
      <c r="Z22" s="6"/>
      <c r="AC22" t="str">
        <f>LOOKUP(C22,{20,30,40,50,60,70,80,90},{"20-29","30-39","40-49","50-59","60-69","70-79","80-89"})</f>
        <v>50-59</v>
      </c>
    </row>
    <row r="23" spans="1:29" x14ac:dyDescent="0.2">
      <c r="A23" t="s">
        <v>261</v>
      </c>
      <c r="B23" t="s">
        <v>262</v>
      </c>
      <c r="C23">
        <v>78</v>
      </c>
      <c r="D23" t="s">
        <v>146</v>
      </c>
      <c r="E23" t="s">
        <v>263</v>
      </c>
      <c r="F23">
        <v>45088</v>
      </c>
      <c r="G23" t="s">
        <v>264</v>
      </c>
      <c r="H23">
        <v>42860</v>
      </c>
      <c r="I23" t="s">
        <v>233</v>
      </c>
      <c r="J23" t="s">
        <v>265</v>
      </c>
      <c r="M23" t="b">
        <f>COUNTIF(Table2[Patient_ID],Table2[[#This Row],[Patient_ID]])&gt;1</f>
        <v>0</v>
      </c>
      <c r="N23" t="b">
        <f>COUNTIF(Table2[Name],Table2[[#This Row],[Name]])&gt;1</f>
        <v>0</v>
      </c>
      <c r="O2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3" t="str">
        <f t="shared" si="0"/>
        <v>Unknown</v>
      </c>
      <c r="Q23" t="b">
        <f>ISNUMBER(Table2[[#This Row],[Age]])</f>
        <v>1</v>
      </c>
      <c r="R23" t="str">
        <f>IF(ISNUMBER(Table2[[#This Row],[Date_of_Admission]]),"correct","incorrect")</f>
        <v>incorrect</v>
      </c>
      <c r="S23" t="str">
        <f>IF(ISNUMBER(Table2[[#This Row],[Date_of_Diagnosis]]),"correct","incorrect")</f>
        <v>correct</v>
      </c>
      <c r="T23" t="str">
        <f>IF(ISNUMBER(Table2[[#This Row],[Date_of_Treatment_Start]]),"correct","incorrect")</f>
        <v>incorrect</v>
      </c>
      <c r="U23" t="str">
        <f>IF(ISNUMBER(Table2[[#This Row],[Date_of_Surgery]]),"correct","incorrect")</f>
        <v>correct</v>
      </c>
      <c r="V23" t="str">
        <f>IF(ISNUMBER(Table2[[#This Row],[Date_of_Discharge]]),"correct","incorrect")</f>
        <v>incorrect</v>
      </c>
      <c r="W23" t="str">
        <f>IF(ISNUMBER(Table2[[#This Row],[Follow_up_Visit]]),"correct","incorrect")</f>
        <v>incorrect</v>
      </c>
      <c r="Y23" s="8" t="s">
        <v>859</v>
      </c>
      <c r="Z23" s="6"/>
      <c r="AC23" t="str">
        <f>LOOKUP(C23,{20,30,40,50,60,70,80,90},{"20-29","30-39","40-49","50-59","60-69","70-79","80-89"})</f>
        <v>70-79</v>
      </c>
    </row>
    <row r="24" spans="1:29" x14ac:dyDescent="0.2">
      <c r="A24" t="s">
        <v>266</v>
      </c>
      <c r="B24" t="s">
        <v>267</v>
      </c>
      <c r="C24">
        <v>47</v>
      </c>
      <c r="D24" t="s">
        <v>160</v>
      </c>
      <c r="E24" t="s">
        <v>268</v>
      </c>
      <c r="F24" t="s">
        <v>269</v>
      </c>
      <c r="G24" s="12">
        <v>45177</v>
      </c>
      <c r="H24" t="s">
        <v>270</v>
      </c>
      <c r="I24" t="s">
        <v>271</v>
      </c>
      <c r="J24" t="s">
        <v>272</v>
      </c>
      <c r="M24" t="b">
        <f>COUNTIF(Table2[Patient_ID],Table2[[#This Row],[Patient_ID]])&gt;1</f>
        <v>0</v>
      </c>
      <c r="N24" t="b">
        <f>COUNTIF(Table2[Name],Table2[[#This Row],[Name]])&gt;1</f>
        <v>0</v>
      </c>
      <c r="O2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4" t="str">
        <f t="shared" si="0"/>
        <v>Unknown</v>
      </c>
      <c r="Q24" t="b">
        <f>ISNUMBER(Table2[[#This Row],[Age]])</f>
        <v>1</v>
      </c>
      <c r="R24" t="str">
        <f>IF(ISNUMBER(Table2[[#This Row],[Date_of_Admission]]),"correct","incorrect")</f>
        <v>incorrect</v>
      </c>
      <c r="S24" t="str">
        <f>IF(ISNUMBER(Table2[[#This Row],[Date_of_Diagnosis]]),"correct","incorrect")</f>
        <v>incorrect</v>
      </c>
      <c r="T24" t="str">
        <f>IF(ISNUMBER(Table2[[#This Row],[Date_of_Treatment_Start]]),"correct","incorrect")</f>
        <v>correct</v>
      </c>
      <c r="U24" t="str">
        <f>IF(ISNUMBER(Table2[[#This Row],[Date_of_Surgery]]),"correct","incorrect")</f>
        <v>incorrect</v>
      </c>
      <c r="V24" t="str">
        <f>IF(ISNUMBER(Table2[[#This Row],[Date_of_Discharge]]),"correct","incorrect")</f>
        <v>incorrect</v>
      </c>
      <c r="W24" t="str">
        <f>IF(ISNUMBER(Table2[[#This Row],[Follow_up_Visit]]),"correct","incorrect")</f>
        <v>incorrect</v>
      </c>
      <c r="Y24" s="9" t="s">
        <v>862</v>
      </c>
      <c r="Z24" s="7">
        <f>COUNTIF(P2:P133,P16)</f>
        <v>119</v>
      </c>
      <c r="AC24" t="str">
        <f>LOOKUP(C24,{20,30,40,50,60,70,80,90},{"20-29","30-39","40-49","50-59","60-69","70-79","80-89"})</f>
        <v>40-49</v>
      </c>
    </row>
    <row r="25" spans="1:29" x14ac:dyDescent="0.2">
      <c r="A25" t="s">
        <v>273</v>
      </c>
      <c r="B25" t="s">
        <v>274</v>
      </c>
      <c r="C25">
        <v>85</v>
      </c>
      <c r="D25" t="s">
        <v>160</v>
      </c>
      <c r="E25" t="s">
        <v>275</v>
      </c>
      <c r="F25" t="s">
        <v>276</v>
      </c>
      <c r="G25" t="s">
        <v>277</v>
      </c>
      <c r="H25" t="s">
        <v>270</v>
      </c>
      <c r="I25" t="s">
        <v>278</v>
      </c>
      <c r="J25" t="s">
        <v>272</v>
      </c>
      <c r="M25" t="b">
        <f>COUNTIF(Table2[Patient_ID],Table2[[#This Row],[Patient_ID]])&gt;1</f>
        <v>0</v>
      </c>
      <c r="N25" t="b">
        <f>COUNTIF(Table2[Name],Table2[[#This Row],[Name]])&gt;1</f>
        <v>0</v>
      </c>
      <c r="O2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5" t="str">
        <f t="shared" si="0"/>
        <v>Unknown</v>
      </c>
      <c r="Q25" t="b">
        <f>ISNUMBER(Table2[[#This Row],[Age]])</f>
        <v>1</v>
      </c>
      <c r="R25" t="str">
        <f>IF(ISNUMBER(Table2[[#This Row],[Date_of_Admission]]),"correct","incorrect")</f>
        <v>incorrect</v>
      </c>
      <c r="S25" t="str">
        <f>IF(ISNUMBER(Table2[[#This Row],[Date_of_Diagnosis]]),"correct","incorrect")</f>
        <v>incorrect</v>
      </c>
      <c r="T25" t="str">
        <f>IF(ISNUMBER(Table2[[#This Row],[Date_of_Treatment_Start]]),"correct","incorrect")</f>
        <v>incorrect</v>
      </c>
      <c r="U25" t="str">
        <f>IF(ISNUMBER(Table2[[#This Row],[Date_of_Surgery]]),"correct","incorrect")</f>
        <v>incorrect</v>
      </c>
      <c r="V25" t="str">
        <f>IF(ISNUMBER(Table2[[#This Row],[Date_of_Discharge]]),"correct","incorrect")</f>
        <v>incorrect</v>
      </c>
      <c r="W25" t="str">
        <f>IF(ISNUMBER(Table2[[#This Row],[Follow_up_Visit]]),"correct","incorrect")</f>
        <v>incorrect</v>
      </c>
      <c r="Y25" s="9" t="s">
        <v>858</v>
      </c>
      <c r="Z25" s="7">
        <f>Z3-Z24</f>
        <v>13</v>
      </c>
      <c r="AC25" t="str">
        <f>LOOKUP(C25,{20,30,40,50,60,70,80,90},{"20-29","30-39","40-49","50-59","60-69","70-79","80-89"})</f>
        <v>80-89</v>
      </c>
    </row>
    <row r="26" spans="1:29" x14ac:dyDescent="0.2">
      <c r="A26" t="s">
        <v>279</v>
      </c>
      <c r="B26" t="s">
        <v>280</v>
      </c>
      <c r="C26">
        <v>83</v>
      </c>
      <c r="D26" t="s">
        <v>146</v>
      </c>
      <c r="E26">
        <v>45566</v>
      </c>
      <c r="F26" t="s">
        <v>281</v>
      </c>
      <c r="G26" t="s">
        <v>282</v>
      </c>
      <c r="H26">
        <v>43257</v>
      </c>
      <c r="I26" t="s">
        <v>283</v>
      </c>
      <c r="J26" t="s">
        <v>284</v>
      </c>
      <c r="M26" t="b">
        <f>COUNTIF(Table2[Patient_ID],Table2[[#This Row],[Patient_ID]])&gt;1</f>
        <v>0</v>
      </c>
      <c r="N26" t="b">
        <f>COUNTIF(Table2[Name],Table2[[#This Row],[Name]])&gt;1</f>
        <v>0</v>
      </c>
      <c r="O2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6" t="str">
        <f t="shared" si="0"/>
        <v>Unknown</v>
      </c>
      <c r="Q26" t="b">
        <f>ISNUMBER(Table2[[#This Row],[Age]])</f>
        <v>1</v>
      </c>
      <c r="R26" t="str">
        <f>IF(ISNUMBER(Table2[[#This Row],[Date_of_Admission]]),"correct","incorrect")</f>
        <v>correct</v>
      </c>
      <c r="S26" t="str">
        <f>IF(ISNUMBER(Table2[[#This Row],[Date_of_Diagnosis]]),"correct","incorrect")</f>
        <v>incorrect</v>
      </c>
      <c r="T26" t="str">
        <f>IF(ISNUMBER(Table2[[#This Row],[Date_of_Treatment_Start]]),"correct","incorrect")</f>
        <v>incorrect</v>
      </c>
      <c r="U26" t="str">
        <f>IF(ISNUMBER(Table2[[#This Row],[Date_of_Surgery]]),"correct","incorrect")</f>
        <v>correct</v>
      </c>
      <c r="V26" t="str">
        <f>IF(ISNUMBER(Table2[[#This Row],[Date_of_Discharge]]),"correct","incorrect")</f>
        <v>incorrect</v>
      </c>
      <c r="W26" t="str">
        <f>IF(ISNUMBER(Table2[[#This Row],[Follow_up_Visit]]),"correct","incorrect")</f>
        <v>incorrect</v>
      </c>
      <c r="Z26" s="6"/>
      <c r="AC26" t="str">
        <f>LOOKUP(C26,{20,30,40,50,60,70,80,90},{"20-29","30-39","40-49","50-59","60-69","70-79","80-89"})</f>
        <v>80-89</v>
      </c>
    </row>
    <row r="27" spans="1:29" x14ac:dyDescent="0.2">
      <c r="A27" t="s">
        <v>285</v>
      </c>
      <c r="B27" t="s">
        <v>286</v>
      </c>
      <c r="C27">
        <v>61</v>
      </c>
      <c r="D27" t="s">
        <v>146</v>
      </c>
      <c r="E27" t="s">
        <v>287</v>
      </c>
      <c r="F27" t="s">
        <v>288</v>
      </c>
      <c r="G27" t="s">
        <v>289</v>
      </c>
      <c r="H27" t="s">
        <v>290</v>
      </c>
      <c r="I27">
        <v>45348</v>
      </c>
      <c r="J27" t="s">
        <v>951</v>
      </c>
      <c r="M27" t="b">
        <f>COUNTIF(Table2[Patient_ID],Table2[[#This Row],[Patient_ID]])&gt;1</f>
        <v>0</v>
      </c>
      <c r="N27" t="b">
        <f>COUNTIF(Table2[Name],Table2[[#This Row],[Name]])&gt;1</f>
        <v>0</v>
      </c>
      <c r="O2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7" t="str">
        <f t="shared" si="0"/>
        <v>Unknown</v>
      </c>
      <c r="Q27" t="b">
        <f>ISNUMBER(Table2[[#This Row],[Age]])</f>
        <v>1</v>
      </c>
      <c r="R27" t="str">
        <f>IF(ISNUMBER(Table2[[#This Row],[Date_of_Admission]]),"correct","incorrect")</f>
        <v>incorrect</v>
      </c>
      <c r="S27" t="str">
        <f>IF(ISNUMBER(Table2[[#This Row],[Date_of_Diagnosis]]),"correct","incorrect")</f>
        <v>incorrect</v>
      </c>
      <c r="T27" t="str">
        <f>IF(ISNUMBER(Table2[[#This Row],[Date_of_Treatment_Start]]),"correct","incorrect")</f>
        <v>incorrect</v>
      </c>
      <c r="U27" t="str">
        <f>IF(ISNUMBER(Table2[[#This Row],[Date_of_Surgery]]),"correct","incorrect")</f>
        <v>incorrect</v>
      </c>
      <c r="V27" t="str">
        <f>IF(ISNUMBER(Table2[[#This Row],[Date_of_Discharge]]),"correct","incorrect")</f>
        <v>correct</v>
      </c>
      <c r="W27" t="str">
        <f>IF(ISNUMBER(Table2[[#This Row],[Follow_up_Visit]]),"correct","incorrect")</f>
        <v>incorrect</v>
      </c>
      <c r="Y27" s="8" t="s">
        <v>860</v>
      </c>
      <c r="Z27" t="s">
        <v>863</v>
      </c>
      <c r="AC27" t="str">
        <f>LOOKUP(C27,{20,30,40,50,60,70,80,90},{"20-29","30-39","40-49","50-59","60-69","70-79","80-89"})</f>
        <v>60-69</v>
      </c>
    </row>
    <row r="28" spans="1:29" x14ac:dyDescent="0.2">
      <c r="A28" t="s">
        <v>291</v>
      </c>
      <c r="B28" t="s">
        <v>292</v>
      </c>
      <c r="C28">
        <v>64</v>
      </c>
      <c r="D28" t="s">
        <v>146</v>
      </c>
      <c r="E28" t="s">
        <v>293</v>
      </c>
      <c r="F28" t="s">
        <v>198</v>
      </c>
      <c r="G28" t="s">
        <v>294</v>
      </c>
      <c r="H28" t="s">
        <v>295</v>
      </c>
      <c r="I28" t="s">
        <v>198</v>
      </c>
      <c r="J28">
        <v>46184</v>
      </c>
      <c r="M28" t="b">
        <f>COUNTIF(Table2[Patient_ID],Table2[[#This Row],[Patient_ID]])&gt;1</f>
        <v>0</v>
      </c>
      <c r="N28" t="b">
        <f>COUNTIF(Table2[Name],Table2[[#This Row],[Name]])&gt;1</f>
        <v>0</v>
      </c>
      <c r="O2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8" t="str">
        <f t="shared" si="0"/>
        <v>Unknown</v>
      </c>
      <c r="Q28" t="b">
        <f>ISNUMBER(Table2[[#This Row],[Age]])</f>
        <v>1</v>
      </c>
      <c r="R28" t="str">
        <f>IF(ISNUMBER(Table2[[#This Row],[Date_of_Admission]]),"correct","incorrect")</f>
        <v>incorrect</v>
      </c>
      <c r="S28" t="str">
        <f>IF(ISNUMBER(Table2[[#This Row],[Date_of_Diagnosis]]),"correct","incorrect")</f>
        <v>incorrect</v>
      </c>
      <c r="T28" t="str">
        <f>IF(ISNUMBER(Table2[[#This Row],[Date_of_Treatment_Start]]),"correct","incorrect")</f>
        <v>incorrect</v>
      </c>
      <c r="U28" t="str">
        <f>IF(ISNUMBER(Table2[[#This Row],[Date_of_Surgery]]),"correct","incorrect")</f>
        <v>incorrect</v>
      </c>
      <c r="V28" t="str">
        <f>IF(ISNUMBER(Table2[[#This Row],[Date_of_Discharge]]),"correct","incorrect")</f>
        <v>incorrect</v>
      </c>
      <c r="W28" t="str">
        <f>IF(ISNUMBER(Table2[[#This Row],[Follow_up_Visit]]),"correct","incorrect")</f>
        <v>correct</v>
      </c>
      <c r="Y28" s="9" t="s">
        <v>862</v>
      </c>
      <c r="Z28" s="5">
        <f>COUNTIF(Q2:Q133,Q111)</f>
        <v>132</v>
      </c>
      <c r="AC28" t="str">
        <f>LOOKUP(C28,{20,30,40,50,60,70,80,90},{"20-29","30-39","40-49","50-59","60-69","70-79","80-89"})</f>
        <v>60-69</v>
      </c>
    </row>
    <row r="29" spans="1:29" x14ac:dyDescent="0.2">
      <c r="A29" t="s">
        <v>296</v>
      </c>
      <c r="B29" t="s">
        <v>297</v>
      </c>
      <c r="C29">
        <v>81</v>
      </c>
      <c r="D29" t="s">
        <v>160</v>
      </c>
      <c r="E29" t="s">
        <v>147</v>
      </c>
      <c r="F29" t="s">
        <v>277</v>
      </c>
      <c r="G29" t="s">
        <v>298</v>
      </c>
      <c r="H29">
        <v>42771</v>
      </c>
      <c r="I29" t="s">
        <v>299</v>
      </c>
      <c r="J29">
        <v>44736</v>
      </c>
      <c r="M29" t="b">
        <f>COUNTIF(Table2[Patient_ID],Table2[[#This Row],[Patient_ID]])&gt;1</f>
        <v>0</v>
      </c>
      <c r="N29" t="b">
        <f>COUNTIF(Table2[Name],Table2[[#This Row],[Name]])&gt;1</f>
        <v>0</v>
      </c>
      <c r="O2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29" t="str">
        <f t="shared" si="0"/>
        <v>Unknown</v>
      </c>
      <c r="Q29" t="b">
        <f>ISNUMBER(Table2[[#This Row],[Age]])</f>
        <v>1</v>
      </c>
      <c r="R29" t="str">
        <f>IF(ISNUMBER(Table2[[#This Row],[Date_of_Admission]]),"correct","incorrect")</f>
        <v>incorrect</v>
      </c>
      <c r="S29" t="str">
        <f>IF(ISNUMBER(Table2[[#This Row],[Date_of_Diagnosis]]),"correct","incorrect")</f>
        <v>incorrect</v>
      </c>
      <c r="T29" t="str">
        <f>IF(ISNUMBER(Table2[[#This Row],[Date_of_Treatment_Start]]),"correct","incorrect")</f>
        <v>incorrect</v>
      </c>
      <c r="U29" t="str">
        <f>IF(ISNUMBER(Table2[[#This Row],[Date_of_Surgery]]),"correct","incorrect")</f>
        <v>correct</v>
      </c>
      <c r="V29" t="str">
        <f>IF(ISNUMBER(Table2[[#This Row],[Date_of_Discharge]]),"correct","incorrect")</f>
        <v>incorrect</v>
      </c>
      <c r="W29" t="str">
        <f>IF(ISNUMBER(Table2[[#This Row],[Follow_up_Visit]]),"correct","incorrect")</f>
        <v>correct</v>
      </c>
      <c r="AC29" t="str">
        <f>LOOKUP(C29,{20,30,40,50,60,70,80,90},{"20-29","30-39","40-49","50-59","60-69","70-79","80-89"})</f>
        <v>80-89</v>
      </c>
    </row>
    <row r="30" spans="1:29" x14ac:dyDescent="0.2">
      <c r="A30" t="s">
        <v>300</v>
      </c>
      <c r="B30" t="s">
        <v>301</v>
      </c>
      <c r="C30">
        <v>76</v>
      </c>
      <c r="D30" t="s">
        <v>160</v>
      </c>
      <c r="E30" t="s">
        <v>302</v>
      </c>
      <c r="F30" t="s">
        <v>303</v>
      </c>
      <c r="G30" t="s">
        <v>304</v>
      </c>
      <c r="H30">
        <v>42771</v>
      </c>
      <c r="I30" t="s">
        <v>256</v>
      </c>
      <c r="J30" t="s">
        <v>198</v>
      </c>
      <c r="M30" t="b">
        <f>COUNTIF(Table2[Patient_ID],Table2[[#This Row],[Patient_ID]])&gt;1</f>
        <v>0</v>
      </c>
      <c r="N30" t="b">
        <f>COUNTIF(Table2[Name],Table2[[#This Row],[Name]])&gt;1</f>
        <v>0</v>
      </c>
      <c r="O3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0" t="str">
        <f t="shared" si="0"/>
        <v>Unknown</v>
      </c>
      <c r="Q30" t="b">
        <f>ISNUMBER(Table2[[#This Row],[Age]])</f>
        <v>1</v>
      </c>
      <c r="R30" t="str">
        <f>IF(ISNUMBER(Table2[[#This Row],[Date_of_Admission]]),"correct","incorrect")</f>
        <v>incorrect</v>
      </c>
      <c r="S30" t="str">
        <f>IF(ISNUMBER(Table2[[#This Row],[Date_of_Diagnosis]]),"correct","incorrect")</f>
        <v>incorrect</v>
      </c>
      <c r="T30" t="str">
        <f>IF(ISNUMBER(Table2[[#This Row],[Date_of_Treatment_Start]]),"correct","incorrect")</f>
        <v>incorrect</v>
      </c>
      <c r="U30" t="str">
        <f>IF(ISNUMBER(Table2[[#This Row],[Date_of_Surgery]]),"correct","incorrect")</f>
        <v>correct</v>
      </c>
      <c r="V30" t="str">
        <f>IF(ISNUMBER(Table2[[#This Row],[Date_of_Discharge]]),"correct","incorrect")</f>
        <v>incorrect</v>
      </c>
      <c r="W30" t="str">
        <f>IF(ISNUMBER(Table2[[#This Row],[Follow_up_Visit]]),"correct","incorrect")</f>
        <v>incorrect</v>
      </c>
      <c r="AC30" t="str">
        <f>LOOKUP(C30,{20,30,40,50,60,70,80,90},{"20-29","30-39","40-49","50-59","60-69","70-79","80-89"})</f>
        <v>70-79</v>
      </c>
    </row>
    <row r="31" spans="1:29" x14ac:dyDescent="0.2">
      <c r="A31" t="s">
        <v>305</v>
      </c>
      <c r="B31" t="s">
        <v>306</v>
      </c>
      <c r="C31">
        <v>25</v>
      </c>
      <c r="D31" t="s">
        <v>160</v>
      </c>
      <c r="E31" t="s">
        <v>307</v>
      </c>
      <c r="F31" t="s">
        <v>308</v>
      </c>
      <c r="G31" t="s">
        <v>309</v>
      </c>
      <c r="H31">
        <v>42771</v>
      </c>
      <c r="I31" t="s">
        <v>310</v>
      </c>
      <c r="J31" t="s">
        <v>187</v>
      </c>
      <c r="M31" t="b">
        <f>COUNTIF(Table2[Patient_ID],Table2[[#This Row],[Patient_ID]])&gt;1</f>
        <v>0</v>
      </c>
      <c r="N31" t="b">
        <f>COUNTIF(Table2[Name],Table2[[#This Row],[Name]])&gt;1</f>
        <v>0</v>
      </c>
      <c r="O3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1" t="str">
        <f t="shared" si="0"/>
        <v>Unknown</v>
      </c>
      <c r="Q31" t="b">
        <f>ISNUMBER(Table2[[#This Row],[Age]])</f>
        <v>1</v>
      </c>
      <c r="R31" t="str">
        <f>IF(ISNUMBER(Table2[[#This Row],[Date_of_Admission]]),"correct","incorrect")</f>
        <v>incorrect</v>
      </c>
      <c r="S31" t="str">
        <f>IF(ISNUMBER(Table2[[#This Row],[Date_of_Diagnosis]]),"correct","incorrect")</f>
        <v>incorrect</v>
      </c>
      <c r="T31" t="str">
        <f>IF(ISNUMBER(Table2[[#This Row],[Date_of_Treatment_Start]]),"correct","incorrect")</f>
        <v>incorrect</v>
      </c>
      <c r="U31" t="str">
        <f>IF(ISNUMBER(Table2[[#This Row],[Date_of_Surgery]]),"correct","incorrect")</f>
        <v>correct</v>
      </c>
      <c r="V31" t="str">
        <f>IF(ISNUMBER(Table2[[#This Row],[Date_of_Discharge]]),"correct","incorrect")</f>
        <v>incorrect</v>
      </c>
      <c r="W31" t="str">
        <f>IF(ISNUMBER(Table2[[#This Row],[Follow_up_Visit]]),"correct","incorrect")</f>
        <v>incorrect</v>
      </c>
      <c r="Y31" t="s">
        <v>870</v>
      </c>
      <c r="AC31" t="str">
        <f>LOOKUP(C31,{20,30,40,50,60,70,80,90},{"20-29","30-39","40-49","50-59","60-69","70-79","80-89"})</f>
        <v>20-29</v>
      </c>
    </row>
    <row r="32" spans="1:29" x14ac:dyDescent="0.2">
      <c r="A32" t="s">
        <v>311</v>
      </c>
      <c r="B32" t="s">
        <v>312</v>
      </c>
      <c r="C32">
        <v>47</v>
      </c>
      <c r="D32" t="s">
        <v>160</v>
      </c>
      <c r="E32">
        <v>45014</v>
      </c>
      <c r="F32" t="s">
        <v>313</v>
      </c>
      <c r="G32" t="s">
        <v>314</v>
      </c>
      <c r="H32" t="s">
        <v>315</v>
      </c>
      <c r="I32" t="s">
        <v>316</v>
      </c>
      <c r="J32">
        <v>44736</v>
      </c>
      <c r="M32" t="b">
        <f>COUNTIF(Table2[Patient_ID],Table2[[#This Row],[Patient_ID]])&gt;1</f>
        <v>0</v>
      </c>
      <c r="N32" t="b">
        <f>COUNTIF(Table2[Name],Table2[[#This Row],[Name]])&gt;1</f>
        <v>0</v>
      </c>
      <c r="O3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2" t="str">
        <f t="shared" si="0"/>
        <v>Unknown</v>
      </c>
      <c r="Q32" t="b">
        <f>ISNUMBER(Table2[[#This Row],[Age]])</f>
        <v>1</v>
      </c>
      <c r="R32" t="str">
        <f>IF(ISNUMBER(Table2[[#This Row],[Date_of_Admission]]),"correct","incorrect")</f>
        <v>correct</v>
      </c>
      <c r="S32" t="str">
        <f>IF(ISNUMBER(Table2[[#This Row],[Date_of_Diagnosis]]),"correct","incorrect")</f>
        <v>incorrect</v>
      </c>
      <c r="T32" t="str">
        <f>IF(ISNUMBER(Table2[[#This Row],[Date_of_Treatment_Start]]),"correct","incorrect")</f>
        <v>incorrect</v>
      </c>
      <c r="U32" t="str">
        <f>IF(ISNUMBER(Table2[[#This Row],[Date_of_Surgery]]),"correct","incorrect")</f>
        <v>incorrect</v>
      </c>
      <c r="V32" t="str">
        <f>IF(ISNUMBER(Table2[[#This Row],[Date_of_Discharge]]),"correct","incorrect")</f>
        <v>incorrect</v>
      </c>
      <c r="W32" t="str">
        <f>IF(ISNUMBER(Table2[[#This Row],[Follow_up_Visit]]),"correct","incorrect")</f>
        <v>correct</v>
      </c>
      <c r="Y32" s="5" t="s">
        <v>838</v>
      </c>
      <c r="Z32" s="5" t="s">
        <v>871</v>
      </c>
      <c r="AA32" s="5" t="s">
        <v>872</v>
      </c>
      <c r="AB32" s="33"/>
      <c r="AC32" t="str">
        <f>LOOKUP(C32,{20,30,40,50,60,70,80,90},{"20-29","30-39","40-49","50-59","60-69","70-79","80-89"})</f>
        <v>40-49</v>
      </c>
    </row>
    <row r="33" spans="1:29" x14ac:dyDescent="0.2">
      <c r="A33" t="s">
        <v>317</v>
      </c>
      <c r="B33" t="s">
        <v>318</v>
      </c>
      <c r="C33">
        <v>47</v>
      </c>
      <c r="D33" t="s">
        <v>146</v>
      </c>
      <c r="E33" t="s">
        <v>147</v>
      </c>
      <c r="F33" t="s">
        <v>319</v>
      </c>
      <c r="G33" t="s">
        <v>320</v>
      </c>
      <c r="H33" t="s">
        <v>315</v>
      </c>
      <c r="I33" t="s">
        <v>321</v>
      </c>
      <c r="J33">
        <v>44736</v>
      </c>
      <c r="M33" t="b">
        <f>COUNTIF(Table2[Patient_ID],Table2[[#This Row],[Patient_ID]])&gt;1</f>
        <v>0</v>
      </c>
      <c r="N33" t="b">
        <f>COUNTIF(Table2[Name],Table2[[#This Row],[Name]])&gt;1</f>
        <v>0</v>
      </c>
      <c r="O3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3" t="str">
        <f t="shared" si="0"/>
        <v>Unknown</v>
      </c>
      <c r="Q33" t="b">
        <f>ISNUMBER(Table2[[#This Row],[Age]])</f>
        <v>1</v>
      </c>
      <c r="R33" t="str">
        <f>IF(ISNUMBER(Table2[[#This Row],[Date_of_Admission]]),"correct","incorrect")</f>
        <v>incorrect</v>
      </c>
      <c r="S33" t="str">
        <f>IF(ISNUMBER(Table2[[#This Row],[Date_of_Diagnosis]]),"correct","incorrect")</f>
        <v>incorrect</v>
      </c>
      <c r="T33" t="str">
        <f>IF(ISNUMBER(Table2[[#This Row],[Date_of_Treatment_Start]]),"correct","incorrect")</f>
        <v>incorrect</v>
      </c>
      <c r="U33" t="str">
        <f>IF(ISNUMBER(Table2[[#This Row],[Date_of_Surgery]]),"correct","incorrect")</f>
        <v>incorrect</v>
      </c>
      <c r="V33" t="str">
        <f>IF(ISNUMBER(Table2[[#This Row],[Date_of_Discharge]]),"correct","incorrect")</f>
        <v>incorrect</v>
      </c>
      <c r="W33" t="str">
        <f>IF(ISNUMBER(Table2[[#This Row],[Follow_up_Visit]]),"correct","incorrect")</f>
        <v>correct</v>
      </c>
      <c r="Y33" s="7" t="s">
        <v>139</v>
      </c>
      <c r="Z33" s="5">
        <f>COUNTIF(R2:R133,R124)</f>
        <v>12</v>
      </c>
      <c r="AA33" s="5">
        <f>COUNTIF(R2:R133,R104)</f>
        <v>120</v>
      </c>
      <c r="AB33" s="33"/>
      <c r="AC33" t="str">
        <f>LOOKUP(C33,{20,30,40,50,60,70,80,90},{"20-29","30-39","40-49","50-59","60-69","70-79","80-89"})</f>
        <v>40-49</v>
      </c>
    </row>
    <row r="34" spans="1:29" x14ac:dyDescent="0.2">
      <c r="A34" t="s">
        <v>322</v>
      </c>
      <c r="B34" t="s">
        <v>323</v>
      </c>
      <c r="C34">
        <v>63</v>
      </c>
      <c r="D34" t="s">
        <v>160</v>
      </c>
      <c r="E34" t="s">
        <v>198</v>
      </c>
      <c r="F34" t="s">
        <v>198</v>
      </c>
      <c r="G34" t="s">
        <v>324</v>
      </c>
      <c r="H34" t="s">
        <v>315</v>
      </c>
      <c r="I34" t="s">
        <v>198</v>
      </c>
      <c r="J34" t="s">
        <v>939</v>
      </c>
      <c r="M34" t="b">
        <f>COUNTIF(Table2[Patient_ID],Table2[[#This Row],[Patient_ID]])&gt;1</f>
        <v>0</v>
      </c>
      <c r="N34" t="b">
        <f>COUNTIF(Table2[Name],Table2[[#This Row],[Name]])&gt;1</f>
        <v>0</v>
      </c>
      <c r="O3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4" t="str">
        <f t="shared" si="0"/>
        <v>Unknown</v>
      </c>
      <c r="Q34" t="b">
        <f>ISNUMBER(Table2[[#This Row],[Age]])</f>
        <v>1</v>
      </c>
      <c r="R34" t="str">
        <f>IF(ISNUMBER(Table2[[#This Row],[Date_of_Admission]]),"correct","incorrect")</f>
        <v>incorrect</v>
      </c>
      <c r="S34" t="str">
        <f>IF(ISNUMBER(Table2[[#This Row],[Date_of_Diagnosis]]),"correct","incorrect")</f>
        <v>incorrect</v>
      </c>
      <c r="T34" t="str">
        <f>IF(ISNUMBER(Table2[[#This Row],[Date_of_Treatment_Start]]),"correct","incorrect")</f>
        <v>incorrect</v>
      </c>
      <c r="U34" t="str">
        <f>IF(ISNUMBER(Table2[[#This Row],[Date_of_Surgery]]),"correct","incorrect")</f>
        <v>incorrect</v>
      </c>
      <c r="V34" t="str">
        <f>IF(ISNUMBER(Table2[[#This Row],[Date_of_Discharge]]),"correct","incorrect")</f>
        <v>incorrect</v>
      </c>
      <c r="W34" t="str">
        <f>IF(ISNUMBER(Table2[[#This Row],[Follow_up_Visit]]),"correct","incorrect")</f>
        <v>incorrect</v>
      </c>
      <c r="Y34" s="7" t="s">
        <v>140</v>
      </c>
      <c r="Z34" s="5">
        <f>COUNTIF(S2:S133,S107)</f>
        <v>13</v>
      </c>
      <c r="AA34" s="5">
        <f>COUNTIF(S2:S133,S108)</f>
        <v>119</v>
      </c>
      <c r="AB34" s="33"/>
      <c r="AC34" t="str">
        <f>LOOKUP(C34,{20,30,40,50,60,70,80,90},{"20-29","30-39","40-49","50-59","60-69","70-79","80-89"})</f>
        <v>60-69</v>
      </c>
    </row>
    <row r="35" spans="1:29" x14ac:dyDescent="0.2">
      <c r="A35" t="s">
        <v>325</v>
      </c>
      <c r="B35" t="s">
        <v>326</v>
      </c>
      <c r="C35">
        <v>49</v>
      </c>
      <c r="D35" t="s">
        <v>160</v>
      </c>
      <c r="E35" t="s">
        <v>327</v>
      </c>
      <c r="F35" t="s">
        <v>328</v>
      </c>
      <c r="G35" t="s">
        <v>329</v>
      </c>
      <c r="H35">
        <v>42381</v>
      </c>
      <c r="I35" t="s">
        <v>330</v>
      </c>
      <c r="J35" t="s">
        <v>234</v>
      </c>
      <c r="M35" t="b">
        <f>COUNTIF(Table2[Patient_ID],Table2[[#This Row],[Patient_ID]])&gt;1</f>
        <v>0</v>
      </c>
      <c r="N35" t="b">
        <f>COUNTIF(Table2[Name],Table2[[#This Row],[Name]])&gt;1</f>
        <v>0</v>
      </c>
      <c r="O3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5" t="str">
        <f t="shared" si="0"/>
        <v>Unknown</v>
      </c>
      <c r="Q35" t="b">
        <f>ISNUMBER(Table2[[#This Row],[Age]])</f>
        <v>1</v>
      </c>
      <c r="R35" t="str">
        <f>IF(ISNUMBER(Table2[[#This Row],[Date_of_Admission]]),"correct","incorrect")</f>
        <v>incorrect</v>
      </c>
      <c r="S35" t="str">
        <f>IF(ISNUMBER(Table2[[#This Row],[Date_of_Diagnosis]]),"correct","incorrect")</f>
        <v>incorrect</v>
      </c>
      <c r="T35" t="str">
        <f>IF(ISNUMBER(Table2[[#This Row],[Date_of_Treatment_Start]]),"correct","incorrect")</f>
        <v>incorrect</v>
      </c>
      <c r="U35" t="str">
        <f>IF(ISNUMBER(Table2[[#This Row],[Date_of_Surgery]]),"correct","incorrect")</f>
        <v>correct</v>
      </c>
      <c r="V35" t="str">
        <f>IF(ISNUMBER(Table2[[#This Row],[Date_of_Discharge]]),"correct","incorrect")</f>
        <v>incorrect</v>
      </c>
      <c r="W35" t="str">
        <f>IF(ISNUMBER(Table2[[#This Row],[Follow_up_Visit]]),"correct","incorrect")</f>
        <v>incorrect</v>
      </c>
      <c r="Y35" s="7" t="s">
        <v>141</v>
      </c>
      <c r="Z35" s="5">
        <f>COUNTIF(T2:T133,T70)</f>
        <v>15</v>
      </c>
      <c r="AA35" s="5">
        <f>COUNTIF(T2:T133,T106)</f>
        <v>117</v>
      </c>
      <c r="AB35" s="33"/>
      <c r="AC35" t="str">
        <f>LOOKUP(C35,{20,30,40,50,60,70,80,90},{"20-29","30-39","40-49","50-59","60-69","70-79","80-89"})</f>
        <v>40-49</v>
      </c>
    </row>
    <row r="36" spans="1:29" x14ac:dyDescent="0.2">
      <c r="A36" t="s">
        <v>331</v>
      </c>
      <c r="B36" t="s">
        <v>332</v>
      </c>
      <c r="C36">
        <v>81</v>
      </c>
      <c r="D36" t="s">
        <v>146</v>
      </c>
      <c r="E36">
        <v>45058</v>
      </c>
      <c r="F36" t="s">
        <v>333</v>
      </c>
      <c r="G36" t="s">
        <v>334</v>
      </c>
      <c r="H36" t="s">
        <v>335</v>
      </c>
      <c r="I36" t="s">
        <v>336</v>
      </c>
      <c r="J36" t="s">
        <v>337</v>
      </c>
      <c r="M36" t="b">
        <f>COUNTIF(Table2[Patient_ID],Table2[[#This Row],[Patient_ID]])&gt;1</f>
        <v>0</v>
      </c>
      <c r="N36" t="b">
        <f>COUNTIF(Table2[Name],Table2[[#This Row],[Name]])&gt;1</f>
        <v>0</v>
      </c>
      <c r="O3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6" t="str">
        <f t="shared" si="0"/>
        <v>Unknown</v>
      </c>
      <c r="Q36" t="b">
        <f>ISNUMBER(Table2[[#This Row],[Age]])</f>
        <v>1</v>
      </c>
      <c r="R36" t="str">
        <f>IF(ISNUMBER(Table2[[#This Row],[Date_of_Admission]]),"correct","incorrect")</f>
        <v>correct</v>
      </c>
      <c r="S36" t="str">
        <f>IF(ISNUMBER(Table2[[#This Row],[Date_of_Diagnosis]]),"correct","incorrect")</f>
        <v>incorrect</v>
      </c>
      <c r="T36" t="str">
        <f>IF(ISNUMBER(Table2[[#This Row],[Date_of_Treatment_Start]]),"correct","incorrect")</f>
        <v>incorrect</v>
      </c>
      <c r="U36" t="str">
        <f>IF(ISNUMBER(Table2[[#This Row],[Date_of_Surgery]]),"correct","incorrect")</f>
        <v>incorrect</v>
      </c>
      <c r="V36" t="str">
        <f>IF(ISNUMBER(Table2[[#This Row],[Date_of_Discharge]]),"correct","incorrect")</f>
        <v>incorrect</v>
      </c>
      <c r="W36" t="str">
        <f>IF(ISNUMBER(Table2[[#This Row],[Follow_up_Visit]]),"correct","incorrect")</f>
        <v>incorrect</v>
      </c>
      <c r="Y36" s="7" t="s">
        <v>142</v>
      </c>
      <c r="Z36" s="5">
        <f>COUNTIF(U2:U133,"correct")</f>
        <v>22</v>
      </c>
      <c r="AA36" s="5">
        <f>COUNTIF(U2:U133,"incorrect")</f>
        <v>110</v>
      </c>
      <c r="AB36" s="33"/>
      <c r="AC36" t="str">
        <f>LOOKUP(C36,{20,30,40,50,60,70,80,90},{"20-29","30-39","40-49","50-59","60-69","70-79","80-89"})</f>
        <v>80-89</v>
      </c>
    </row>
    <row r="37" spans="1:29" x14ac:dyDescent="0.2">
      <c r="A37" t="s">
        <v>338</v>
      </c>
      <c r="B37" t="s">
        <v>339</v>
      </c>
      <c r="C37">
        <v>79</v>
      </c>
      <c r="D37" t="s">
        <v>160</v>
      </c>
      <c r="E37" t="s">
        <v>340</v>
      </c>
      <c r="F37" t="s">
        <v>341</v>
      </c>
      <c r="G37" t="s">
        <v>342</v>
      </c>
      <c r="H37" t="s">
        <v>335</v>
      </c>
      <c r="I37" t="s">
        <v>343</v>
      </c>
      <c r="J37" t="s">
        <v>344</v>
      </c>
      <c r="M37" t="b">
        <f>COUNTIF(Table2[Patient_ID],Table2[[#This Row],[Patient_ID]])&gt;1</f>
        <v>0</v>
      </c>
      <c r="N37" t="b">
        <f>COUNTIF(Table2[Name],Table2[[#This Row],[Name]])&gt;1</f>
        <v>0</v>
      </c>
      <c r="O3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7" t="str">
        <f t="shared" si="0"/>
        <v>Unknown</v>
      </c>
      <c r="Q37" t="b">
        <f>ISNUMBER(Table2[[#This Row],[Age]])</f>
        <v>1</v>
      </c>
      <c r="R37" t="str">
        <f>IF(ISNUMBER(Table2[[#This Row],[Date_of_Admission]]),"correct","incorrect")</f>
        <v>incorrect</v>
      </c>
      <c r="S37" t="str">
        <f>IF(ISNUMBER(Table2[[#This Row],[Date_of_Diagnosis]]),"correct","incorrect")</f>
        <v>incorrect</v>
      </c>
      <c r="T37" t="str">
        <f>IF(ISNUMBER(Table2[[#This Row],[Date_of_Treatment_Start]]),"correct","incorrect")</f>
        <v>incorrect</v>
      </c>
      <c r="U37" t="str">
        <f>IF(ISNUMBER(Table2[[#This Row],[Date_of_Surgery]]),"correct","incorrect")</f>
        <v>incorrect</v>
      </c>
      <c r="V37" t="str">
        <f>IF(ISNUMBER(Table2[[#This Row],[Date_of_Discharge]]),"correct","incorrect")</f>
        <v>incorrect</v>
      </c>
      <c r="W37" t="str">
        <f>IF(ISNUMBER(Table2[[#This Row],[Follow_up_Visit]]),"correct","incorrect")</f>
        <v>incorrect</v>
      </c>
      <c r="Y37" s="7" t="s">
        <v>143</v>
      </c>
      <c r="Z37" s="5">
        <f>COUNTIF(V2:V133,V106)</f>
        <v>13</v>
      </c>
      <c r="AA37" s="5">
        <f>COUNTIF(V2:V133,V108)</f>
        <v>119</v>
      </c>
      <c r="AB37" s="33"/>
      <c r="AC37" t="str">
        <f>LOOKUP(C37,{20,30,40,50,60,70,80,90},{"20-29","30-39","40-49","50-59","60-69","70-79","80-89"})</f>
        <v>70-79</v>
      </c>
    </row>
    <row r="38" spans="1:29" x14ac:dyDescent="0.2">
      <c r="A38" t="s">
        <v>345</v>
      </c>
      <c r="B38" t="s">
        <v>346</v>
      </c>
      <c r="C38">
        <v>81</v>
      </c>
      <c r="D38" t="s">
        <v>160</v>
      </c>
      <c r="E38" t="s">
        <v>347</v>
      </c>
      <c r="F38">
        <v>45444</v>
      </c>
      <c r="G38" t="s">
        <v>348</v>
      </c>
      <c r="H38" t="s">
        <v>349</v>
      </c>
      <c r="I38" t="s">
        <v>350</v>
      </c>
      <c r="J38" t="s">
        <v>234</v>
      </c>
      <c r="M38" t="b">
        <f>COUNTIF(Table2[Patient_ID],Table2[[#This Row],[Patient_ID]])&gt;1</f>
        <v>0</v>
      </c>
      <c r="N38" t="b">
        <f>COUNTIF(Table2[Name],Table2[[#This Row],[Name]])&gt;1</f>
        <v>0</v>
      </c>
      <c r="O3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8" t="str">
        <f t="shared" si="0"/>
        <v>Unknown</v>
      </c>
      <c r="Q38" t="b">
        <f>ISNUMBER(Table2[[#This Row],[Age]])</f>
        <v>1</v>
      </c>
      <c r="R38" t="str">
        <f>IF(ISNUMBER(Table2[[#This Row],[Date_of_Admission]]),"correct","incorrect")</f>
        <v>incorrect</v>
      </c>
      <c r="S38" t="str">
        <f>IF(ISNUMBER(Table2[[#This Row],[Date_of_Diagnosis]]),"correct","incorrect")</f>
        <v>correct</v>
      </c>
      <c r="T38" t="str">
        <f>IF(ISNUMBER(Table2[[#This Row],[Date_of_Treatment_Start]]),"correct","incorrect")</f>
        <v>incorrect</v>
      </c>
      <c r="U38" t="str">
        <f>IF(ISNUMBER(Table2[[#This Row],[Date_of_Surgery]]),"correct","incorrect")</f>
        <v>incorrect</v>
      </c>
      <c r="V38" t="str">
        <f>IF(ISNUMBER(Table2[[#This Row],[Date_of_Discharge]]),"correct","incorrect")</f>
        <v>incorrect</v>
      </c>
      <c r="W38" t="str">
        <f>IF(ISNUMBER(Table2[[#This Row],[Follow_up_Visit]]),"correct","incorrect")</f>
        <v>incorrect</v>
      </c>
      <c r="Y38" s="7" t="s">
        <v>144</v>
      </c>
      <c r="Z38" s="5">
        <f>COUNTIF(W2:W133,W107)</f>
        <v>34</v>
      </c>
      <c r="AA38" s="5">
        <f>COUNTIF(W2:W133,W104)</f>
        <v>98</v>
      </c>
      <c r="AB38" s="33"/>
      <c r="AC38" t="str">
        <f>LOOKUP(C38,{20,30,40,50,60,70,80,90},{"20-29","30-39","40-49","50-59","60-69","70-79","80-89"})</f>
        <v>80-89</v>
      </c>
    </row>
    <row r="39" spans="1:29" x14ac:dyDescent="0.2">
      <c r="A39" t="s">
        <v>351</v>
      </c>
      <c r="B39" t="s">
        <v>352</v>
      </c>
      <c r="C39">
        <v>20</v>
      </c>
      <c r="D39" t="s">
        <v>146</v>
      </c>
      <c r="E39" t="s">
        <v>353</v>
      </c>
      <c r="F39" t="s">
        <v>354</v>
      </c>
      <c r="G39" t="s">
        <v>355</v>
      </c>
      <c r="H39" t="s">
        <v>349</v>
      </c>
      <c r="I39" t="s">
        <v>356</v>
      </c>
      <c r="J39" t="s">
        <v>357</v>
      </c>
      <c r="M39" t="b">
        <f>COUNTIF(Table2[Patient_ID],Table2[[#This Row],[Patient_ID]])&gt;1</f>
        <v>0</v>
      </c>
      <c r="N39" t="b">
        <f>COUNTIF(Table2[Name],Table2[[#This Row],[Name]])&gt;1</f>
        <v>0</v>
      </c>
      <c r="O3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39" t="str">
        <f t="shared" si="0"/>
        <v>Unknown</v>
      </c>
      <c r="Q39" t="b">
        <f>ISNUMBER(Table2[[#This Row],[Age]])</f>
        <v>1</v>
      </c>
      <c r="R39" t="str">
        <f>IF(ISNUMBER(Table2[[#This Row],[Date_of_Admission]]),"correct","incorrect")</f>
        <v>incorrect</v>
      </c>
      <c r="S39" t="str">
        <f>IF(ISNUMBER(Table2[[#This Row],[Date_of_Diagnosis]]),"correct","incorrect")</f>
        <v>incorrect</v>
      </c>
      <c r="T39" t="str">
        <f>IF(ISNUMBER(Table2[[#This Row],[Date_of_Treatment_Start]]),"correct","incorrect")</f>
        <v>incorrect</v>
      </c>
      <c r="U39" t="str">
        <f>IF(ISNUMBER(Table2[[#This Row],[Date_of_Surgery]]),"correct","incorrect")</f>
        <v>incorrect</v>
      </c>
      <c r="V39" t="str">
        <f>IF(ISNUMBER(Table2[[#This Row],[Date_of_Discharge]]),"correct","incorrect")</f>
        <v>incorrect</v>
      </c>
      <c r="W39" t="str">
        <f>IF(ISNUMBER(Table2[[#This Row],[Follow_up_Visit]]),"correct","incorrect")</f>
        <v>incorrect</v>
      </c>
      <c r="AC39" t="str">
        <f>LOOKUP(C39,{20,30,40,50,60,70,80,90},{"20-29","30-39","40-49","50-59","60-69","70-79","80-89"})</f>
        <v>20-29</v>
      </c>
    </row>
    <row r="40" spans="1:29" x14ac:dyDescent="0.2">
      <c r="A40" t="s">
        <v>358</v>
      </c>
      <c r="B40" t="s">
        <v>359</v>
      </c>
      <c r="C40">
        <v>40</v>
      </c>
      <c r="D40" t="s">
        <v>146</v>
      </c>
      <c r="E40" t="s">
        <v>360</v>
      </c>
      <c r="F40" t="s">
        <v>361</v>
      </c>
      <c r="G40" t="s">
        <v>362</v>
      </c>
      <c r="H40">
        <v>42956</v>
      </c>
      <c r="I40" t="s">
        <v>364</v>
      </c>
      <c r="J40">
        <v>44927</v>
      </c>
      <c r="M40" t="b">
        <f>COUNTIF(Table2[Patient_ID],Table2[[#This Row],[Patient_ID]])&gt;1</f>
        <v>0</v>
      </c>
      <c r="N40" t="b">
        <f>COUNTIF(Table2[Name],Table2[[#This Row],[Name]])&gt;1</f>
        <v>0</v>
      </c>
      <c r="O4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0" t="str">
        <f t="shared" si="0"/>
        <v>Unknown</v>
      </c>
      <c r="Q40" t="b">
        <f>ISNUMBER(Table2[[#This Row],[Age]])</f>
        <v>1</v>
      </c>
      <c r="R40" t="str">
        <f>IF(ISNUMBER(Table2[[#This Row],[Date_of_Admission]]),"correct","incorrect")</f>
        <v>incorrect</v>
      </c>
      <c r="S40" t="str">
        <f>IF(ISNUMBER(Table2[[#This Row],[Date_of_Diagnosis]]),"correct","incorrect")</f>
        <v>incorrect</v>
      </c>
      <c r="T40" t="str">
        <f>IF(ISNUMBER(Table2[[#This Row],[Date_of_Treatment_Start]]),"correct","incorrect")</f>
        <v>incorrect</v>
      </c>
      <c r="U40" t="str">
        <f>IF(ISNUMBER(Table2[[#This Row],[Date_of_Surgery]]),"correct","incorrect")</f>
        <v>correct</v>
      </c>
      <c r="V40" t="str">
        <f>IF(ISNUMBER(Table2[[#This Row],[Date_of_Discharge]]),"correct","incorrect")</f>
        <v>incorrect</v>
      </c>
      <c r="W40" t="str">
        <f>IF(ISNUMBER(Table2[[#This Row],[Follow_up_Visit]]),"correct","incorrect")</f>
        <v>correct</v>
      </c>
      <c r="AC40" t="str">
        <f>LOOKUP(C40,{20,30,40,50,60,70,80,90},{"20-29","30-39","40-49","50-59","60-69","70-79","80-89"})</f>
        <v>40-49</v>
      </c>
    </row>
    <row r="41" spans="1:29" x14ac:dyDescent="0.2">
      <c r="A41" t="s">
        <v>365</v>
      </c>
      <c r="B41" t="s">
        <v>366</v>
      </c>
      <c r="C41">
        <v>52</v>
      </c>
      <c r="D41" t="s">
        <v>146</v>
      </c>
      <c r="E41" t="s">
        <v>367</v>
      </c>
      <c r="F41" t="s">
        <v>368</v>
      </c>
      <c r="G41" t="s">
        <v>369</v>
      </c>
      <c r="H41" t="s">
        <v>370</v>
      </c>
      <c r="I41" t="s">
        <v>371</v>
      </c>
      <c r="J41" t="s">
        <v>165</v>
      </c>
      <c r="M41" t="b">
        <f>COUNTIF(Table2[Patient_ID],Table2[[#This Row],[Patient_ID]])&gt;1</f>
        <v>0</v>
      </c>
      <c r="N41" t="b">
        <f>COUNTIF(Table2[Name],Table2[[#This Row],[Name]])&gt;1</f>
        <v>0</v>
      </c>
      <c r="O4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1" t="str">
        <f t="shared" si="0"/>
        <v>Unknown</v>
      </c>
      <c r="Q41" t="b">
        <f>ISNUMBER(Table2[[#This Row],[Age]])</f>
        <v>1</v>
      </c>
      <c r="R41" t="str">
        <f>IF(ISNUMBER(Table2[[#This Row],[Date_of_Admission]]),"correct","incorrect")</f>
        <v>incorrect</v>
      </c>
      <c r="S41" t="str">
        <f>IF(ISNUMBER(Table2[[#This Row],[Date_of_Diagnosis]]),"correct","incorrect")</f>
        <v>incorrect</v>
      </c>
      <c r="T41" t="str">
        <f>IF(ISNUMBER(Table2[[#This Row],[Date_of_Treatment_Start]]),"correct","incorrect")</f>
        <v>incorrect</v>
      </c>
      <c r="U41" t="str">
        <f>IF(ISNUMBER(Table2[[#This Row],[Date_of_Surgery]]),"correct","incorrect")</f>
        <v>incorrect</v>
      </c>
      <c r="V41" t="str">
        <f>IF(ISNUMBER(Table2[[#This Row],[Date_of_Discharge]]),"correct","incorrect")</f>
        <v>incorrect</v>
      </c>
      <c r="W41" t="str">
        <f>IF(ISNUMBER(Table2[[#This Row],[Follow_up_Visit]]),"correct","incorrect")</f>
        <v>incorrect</v>
      </c>
      <c r="AC41" t="str">
        <f>LOOKUP(C41,{20,30,40,50,60,70,80,90},{"20-29","30-39","40-49","50-59","60-69","70-79","80-89"})</f>
        <v>50-59</v>
      </c>
    </row>
    <row r="42" spans="1:29" x14ac:dyDescent="0.2">
      <c r="A42" t="s">
        <v>372</v>
      </c>
      <c r="B42" t="s">
        <v>373</v>
      </c>
      <c r="C42">
        <v>77</v>
      </c>
      <c r="D42" t="s">
        <v>146</v>
      </c>
      <c r="E42" t="s">
        <v>374</v>
      </c>
      <c r="F42">
        <v>44700</v>
      </c>
      <c r="G42" t="s">
        <v>375</v>
      </c>
      <c r="H42" t="s">
        <v>376</v>
      </c>
      <c r="I42" t="s">
        <v>377</v>
      </c>
      <c r="J42">
        <v>44927</v>
      </c>
      <c r="M42" t="b">
        <f>COUNTIF(Table2[Patient_ID],Table2[[#This Row],[Patient_ID]])&gt;1</f>
        <v>0</v>
      </c>
      <c r="N42" t="b">
        <f>COUNTIF(Table2[Name],Table2[[#This Row],[Name]])&gt;1</f>
        <v>0</v>
      </c>
      <c r="O4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2" t="str">
        <f t="shared" si="0"/>
        <v>Unknown</v>
      </c>
      <c r="Q42" t="b">
        <f>ISNUMBER(Table2[[#This Row],[Age]])</f>
        <v>1</v>
      </c>
      <c r="R42" t="str">
        <f>IF(ISNUMBER(Table2[[#This Row],[Date_of_Admission]]),"correct","incorrect")</f>
        <v>incorrect</v>
      </c>
      <c r="S42" t="str">
        <f>IF(ISNUMBER(Table2[[#This Row],[Date_of_Diagnosis]]),"correct","incorrect")</f>
        <v>correct</v>
      </c>
      <c r="T42" t="str">
        <f>IF(ISNUMBER(Table2[[#This Row],[Date_of_Treatment_Start]]),"correct","incorrect")</f>
        <v>incorrect</v>
      </c>
      <c r="U42" t="str">
        <f>IF(ISNUMBER(Table2[[#This Row],[Date_of_Surgery]]),"correct","incorrect")</f>
        <v>incorrect</v>
      </c>
      <c r="V42" t="str">
        <f>IF(ISNUMBER(Table2[[#This Row],[Date_of_Discharge]]),"correct","incorrect")</f>
        <v>incorrect</v>
      </c>
      <c r="W42" t="str">
        <f>IF(ISNUMBER(Table2[[#This Row],[Follow_up_Visit]]),"correct","incorrect")</f>
        <v>correct</v>
      </c>
      <c r="AC42" t="str">
        <f>LOOKUP(C42,{20,30,40,50,60,70,80,90},{"20-29","30-39","40-49","50-59","60-69","70-79","80-89"})</f>
        <v>70-79</v>
      </c>
    </row>
    <row r="43" spans="1:29" x14ac:dyDescent="0.2">
      <c r="A43" t="s">
        <v>378</v>
      </c>
      <c r="B43" t="s">
        <v>379</v>
      </c>
      <c r="C43">
        <v>41</v>
      </c>
      <c r="D43" t="s">
        <v>160</v>
      </c>
      <c r="E43" t="s">
        <v>380</v>
      </c>
      <c r="F43" t="s">
        <v>381</v>
      </c>
      <c r="G43" t="s">
        <v>382</v>
      </c>
      <c r="H43">
        <v>43507</v>
      </c>
      <c r="I43" t="s">
        <v>383</v>
      </c>
      <c r="J43">
        <v>44866</v>
      </c>
      <c r="M43" t="b">
        <f>COUNTIF(Table2[Patient_ID],Table2[[#This Row],[Patient_ID]])&gt;1</f>
        <v>0</v>
      </c>
      <c r="N43" t="b">
        <f>COUNTIF(Table2[Name],Table2[[#This Row],[Name]])&gt;1</f>
        <v>0</v>
      </c>
      <c r="O4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3" t="str">
        <f t="shared" si="0"/>
        <v>Unknown</v>
      </c>
      <c r="Q43" t="b">
        <f>ISNUMBER(Table2[[#This Row],[Age]])</f>
        <v>1</v>
      </c>
      <c r="R43" t="str">
        <f>IF(ISNUMBER(Table2[[#This Row],[Date_of_Admission]]),"correct","incorrect")</f>
        <v>incorrect</v>
      </c>
      <c r="S43" t="str">
        <f>IF(ISNUMBER(Table2[[#This Row],[Date_of_Diagnosis]]),"correct","incorrect")</f>
        <v>incorrect</v>
      </c>
      <c r="T43" t="str">
        <f>IF(ISNUMBER(Table2[[#This Row],[Date_of_Treatment_Start]]),"correct","incorrect")</f>
        <v>incorrect</v>
      </c>
      <c r="U43" t="str">
        <f>IF(ISNUMBER(Table2[[#This Row],[Date_of_Surgery]]),"correct","incorrect")</f>
        <v>correct</v>
      </c>
      <c r="V43" t="str">
        <f>IF(ISNUMBER(Table2[[#This Row],[Date_of_Discharge]]),"correct","incorrect")</f>
        <v>incorrect</v>
      </c>
      <c r="W43" t="str">
        <f>IF(ISNUMBER(Table2[[#This Row],[Follow_up_Visit]]),"correct","incorrect")</f>
        <v>correct</v>
      </c>
      <c r="AC43" t="str">
        <f>LOOKUP(C43,{20,30,40,50,60,70,80,90},{"20-29","30-39","40-49","50-59","60-69","70-79","80-89"})</f>
        <v>40-49</v>
      </c>
    </row>
    <row r="44" spans="1:29" x14ac:dyDescent="0.2">
      <c r="A44" t="s">
        <v>384</v>
      </c>
      <c r="B44" t="s">
        <v>385</v>
      </c>
      <c r="C44">
        <v>68</v>
      </c>
      <c r="D44" t="s">
        <v>160</v>
      </c>
      <c r="E44" t="s">
        <v>386</v>
      </c>
      <c r="F44" t="s">
        <v>1329</v>
      </c>
      <c r="G44" t="s">
        <v>387</v>
      </c>
      <c r="H44">
        <v>43507</v>
      </c>
      <c r="J44">
        <v>44866</v>
      </c>
      <c r="M44" t="b">
        <f>COUNTIF(Table2[Patient_ID],Table2[[#This Row],[Patient_ID]])&gt;1</f>
        <v>0</v>
      </c>
      <c r="N44" t="b">
        <f>COUNTIF(Table2[Name],Table2[[#This Row],[Name]])&gt;1</f>
        <v>0</v>
      </c>
      <c r="O4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4" t="str">
        <f t="shared" si="0"/>
        <v>Unknown</v>
      </c>
      <c r="Q44" t="b">
        <f>ISNUMBER(Table2[[#This Row],[Age]])</f>
        <v>1</v>
      </c>
      <c r="R44" t="str">
        <f>IF(ISNUMBER(Table2[[#This Row],[Date_of_Admission]]),"correct","incorrect")</f>
        <v>incorrect</v>
      </c>
      <c r="S44" t="str">
        <f>IF(ISNUMBER(Table2[[#This Row],[Date_of_Diagnosis]]),"correct","incorrect")</f>
        <v>incorrect</v>
      </c>
      <c r="T44" t="str">
        <f>IF(ISNUMBER(Table2[[#This Row],[Date_of_Treatment_Start]]),"correct","incorrect")</f>
        <v>incorrect</v>
      </c>
      <c r="U44" t="str">
        <f>IF(ISNUMBER(Table2[[#This Row],[Date_of_Surgery]]),"correct","incorrect")</f>
        <v>correct</v>
      </c>
      <c r="V44" t="str">
        <f>IF(ISNUMBER(Table2[[#This Row],[Date_of_Discharge]]),"correct","incorrect")</f>
        <v>incorrect</v>
      </c>
      <c r="W44" t="str">
        <f>IF(ISNUMBER(Table2[[#This Row],[Follow_up_Visit]]),"correct","incorrect")</f>
        <v>correct</v>
      </c>
      <c r="AC44" t="str">
        <f>LOOKUP(C44,{20,30,40,50,60,70,80,90},{"20-29","30-39","40-49","50-59","60-69","70-79","80-89"})</f>
        <v>60-69</v>
      </c>
    </row>
    <row r="45" spans="1:29" x14ac:dyDescent="0.2">
      <c r="A45" t="s">
        <v>388</v>
      </c>
      <c r="B45" t="s">
        <v>389</v>
      </c>
      <c r="C45">
        <v>78</v>
      </c>
      <c r="D45" t="s">
        <v>160</v>
      </c>
      <c r="E45" t="s">
        <v>147</v>
      </c>
      <c r="F45" t="s">
        <v>390</v>
      </c>
      <c r="G45" t="s">
        <v>391</v>
      </c>
      <c r="H45" t="s">
        <v>392</v>
      </c>
      <c r="I45" t="s">
        <v>393</v>
      </c>
      <c r="J45" t="s">
        <v>187</v>
      </c>
      <c r="M45" t="b">
        <f>COUNTIF(Table2[Patient_ID],Table2[[#This Row],[Patient_ID]])&gt;1</f>
        <v>0</v>
      </c>
      <c r="N45" t="b">
        <f>COUNTIF(Table2[Name],Table2[[#This Row],[Name]])&gt;1</f>
        <v>0</v>
      </c>
      <c r="O4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5" t="str">
        <f t="shared" si="0"/>
        <v>Unknown</v>
      </c>
      <c r="Q45" t="b">
        <f>ISNUMBER(Table2[[#This Row],[Age]])</f>
        <v>1</v>
      </c>
      <c r="R45" t="str">
        <f>IF(ISNUMBER(Table2[[#This Row],[Date_of_Admission]]),"correct","incorrect")</f>
        <v>incorrect</v>
      </c>
      <c r="S45" t="str">
        <f>IF(ISNUMBER(Table2[[#This Row],[Date_of_Diagnosis]]),"correct","incorrect")</f>
        <v>incorrect</v>
      </c>
      <c r="T45" t="str">
        <f>IF(ISNUMBER(Table2[[#This Row],[Date_of_Treatment_Start]]),"correct","incorrect")</f>
        <v>incorrect</v>
      </c>
      <c r="U45" t="str">
        <f>IF(ISNUMBER(Table2[[#This Row],[Date_of_Surgery]]),"correct","incorrect")</f>
        <v>incorrect</v>
      </c>
      <c r="V45" t="str">
        <f>IF(ISNUMBER(Table2[[#This Row],[Date_of_Discharge]]),"correct","incorrect")</f>
        <v>incorrect</v>
      </c>
      <c r="W45" t="str">
        <f>IF(ISNUMBER(Table2[[#This Row],[Follow_up_Visit]]),"correct","incorrect")</f>
        <v>incorrect</v>
      </c>
      <c r="AC45" t="str">
        <f>LOOKUP(C45,{20,30,40,50,60,70,80,90},{"20-29","30-39","40-49","50-59","60-69","70-79","80-89"})</f>
        <v>70-79</v>
      </c>
    </row>
    <row r="46" spans="1:29" x14ac:dyDescent="0.2">
      <c r="A46" t="s">
        <v>394</v>
      </c>
      <c r="B46" t="s">
        <v>395</v>
      </c>
      <c r="C46">
        <v>80</v>
      </c>
      <c r="D46" t="s">
        <v>160</v>
      </c>
      <c r="E46" t="s">
        <v>396</v>
      </c>
      <c r="F46" t="s">
        <v>397</v>
      </c>
      <c r="G46" t="s">
        <v>398</v>
      </c>
      <c r="H46" t="s">
        <v>399</v>
      </c>
      <c r="J46">
        <v>45144</v>
      </c>
      <c r="M46" t="b">
        <f>COUNTIF(Table2[Patient_ID],Table2[[#This Row],[Patient_ID]])&gt;1</f>
        <v>0</v>
      </c>
      <c r="N46" t="b">
        <f>COUNTIF(Table2[Name],Table2[[#This Row],[Name]])&gt;1</f>
        <v>0</v>
      </c>
      <c r="O4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6" t="str">
        <f t="shared" si="0"/>
        <v>Unknown</v>
      </c>
      <c r="Q46" t="b">
        <f>ISNUMBER(Table2[[#This Row],[Age]])</f>
        <v>1</v>
      </c>
      <c r="R46" t="str">
        <f>IF(ISNUMBER(Table2[[#This Row],[Date_of_Admission]]),"correct","incorrect")</f>
        <v>incorrect</v>
      </c>
      <c r="S46" t="str">
        <f>IF(ISNUMBER(Table2[[#This Row],[Date_of_Diagnosis]]),"correct","incorrect")</f>
        <v>incorrect</v>
      </c>
      <c r="T46" t="str">
        <f>IF(ISNUMBER(Table2[[#This Row],[Date_of_Treatment_Start]]),"correct","incorrect")</f>
        <v>incorrect</v>
      </c>
      <c r="U46" t="str">
        <f>IF(ISNUMBER(Table2[[#This Row],[Date_of_Surgery]]),"correct","incorrect")</f>
        <v>incorrect</v>
      </c>
      <c r="V46" t="str">
        <f>IF(ISNUMBER(Table2[[#This Row],[Date_of_Discharge]]),"correct","incorrect")</f>
        <v>incorrect</v>
      </c>
      <c r="W46" t="str">
        <f>IF(ISNUMBER(Table2[[#This Row],[Follow_up_Visit]]),"correct","incorrect")</f>
        <v>correct</v>
      </c>
      <c r="AC46" t="str">
        <f>LOOKUP(C46,{20,30,40,50,60,70,80,90},{"20-29","30-39","40-49","50-59","60-69","70-79","80-89"})</f>
        <v>80-89</v>
      </c>
    </row>
    <row r="47" spans="1:29" x14ac:dyDescent="0.2">
      <c r="A47" t="s">
        <v>400</v>
      </c>
      <c r="B47" t="s">
        <v>401</v>
      </c>
      <c r="C47">
        <v>61</v>
      </c>
      <c r="D47" t="s">
        <v>146</v>
      </c>
      <c r="E47" t="s">
        <v>402</v>
      </c>
      <c r="F47" t="s">
        <v>403</v>
      </c>
      <c r="G47" t="s">
        <v>404</v>
      </c>
      <c r="H47" t="s">
        <v>399</v>
      </c>
      <c r="J47">
        <v>45488</v>
      </c>
      <c r="M47" t="b">
        <f>COUNTIF(Table2[Patient_ID],Table2[[#This Row],[Patient_ID]])&gt;1</f>
        <v>0</v>
      </c>
      <c r="N47" t="b">
        <f>COUNTIF(Table2[Name],Table2[[#This Row],[Name]])&gt;1</f>
        <v>0</v>
      </c>
      <c r="O4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7" t="str">
        <f t="shared" si="0"/>
        <v>Unknown</v>
      </c>
      <c r="Q47" t="b">
        <f>ISNUMBER(Table2[[#This Row],[Age]])</f>
        <v>1</v>
      </c>
      <c r="R47" t="str">
        <f>IF(ISNUMBER(Table2[[#This Row],[Date_of_Admission]]),"correct","incorrect")</f>
        <v>incorrect</v>
      </c>
      <c r="S47" t="str">
        <f>IF(ISNUMBER(Table2[[#This Row],[Date_of_Diagnosis]]),"correct","incorrect")</f>
        <v>incorrect</v>
      </c>
      <c r="T47" t="str">
        <f>IF(ISNUMBER(Table2[[#This Row],[Date_of_Treatment_Start]]),"correct","incorrect")</f>
        <v>incorrect</v>
      </c>
      <c r="U47" t="str">
        <f>IF(ISNUMBER(Table2[[#This Row],[Date_of_Surgery]]),"correct","incorrect")</f>
        <v>incorrect</v>
      </c>
      <c r="V47" t="str">
        <f>IF(ISNUMBER(Table2[[#This Row],[Date_of_Discharge]]),"correct","incorrect")</f>
        <v>incorrect</v>
      </c>
      <c r="W47" t="str">
        <f>IF(ISNUMBER(Table2[[#This Row],[Follow_up_Visit]]),"correct","incorrect")</f>
        <v>correct</v>
      </c>
      <c r="AC47" t="str">
        <f>LOOKUP(C47,{20,30,40,50,60,70,80,90},{"20-29","30-39","40-49","50-59","60-69","70-79","80-89"})</f>
        <v>60-69</v>
      </c>
    </row>
    <row r="48" spans="1:29" x14ac:dyDescent="0.2">
      <c r="A48" t="s">
        <v>405</v>
      </c>
      <c r="B48" t="s">
        <v>406</v>
      </c>
      <c r="C48">
        <v>79</v>
      </c>
      <c r="D48" t="s">
        <v>146</v>
      </c>
      <c r="E48" t="s">
        <v>407</v>
      </c>
      <c r="F48" t="s">
        <v>390</v>
      </c>
      <c r="G48" t="s">
        <v>408</v>
      </c>
      <c r="H48" t="s">
        <v>399</v>
      </c>
      <c r="I48" t="s">
        <v>409</v>
      </c>
      <c r="J48" t="s">
        <v>234</v>
      </c>
      <c r="M48" t="b">
        <f>COUNTIF(Table2[Patient_ID],Table2[[#This Row],[Patient_ID]])&gt;1</f>
        <v>0</v>
      </c>
      <c r="N48" t="b">
        <f>COUNTIF(Table2[Name],Table2[[#This Row],[Name]])&gt;1</f>
        <v>0</v>
      </c>
      <c r="O4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8" t="str">
        <f t="shared" si="0"/>
        <v>Unknown</v>
      </c>
      <c r="Q48" t="b">
        <f>ISNUMBER(Table2[[#This Row],[Age]])</f>
        <v>1</v>
      </c>
      <c r="R48" t="str">
        <f>IF(ISNUMBER(Table2[[#This Row],[Date_of_Admission]]),"correct","incorrect")</f>
        <v>incorrect</v>
      </c>
      <c r="S48" t="str">
        <f>IF(ISNUMBER(Table2[[#This Row],[Date_of_Diagnosis]]),"correct","incorrect")</f>
        <v>incorrect</v>
      </c>
      <c r="T48" t="str">
        <f>IF(ISNUMBER(Table2[[#This Row],[Date_of_Treatment_Start]]),"correct","incorrect")</f>
        <v>incorrect</v>
      </c>
      <c r="U48" t="str">
        <f>IF(ISNUMBER(Table2[[#This Row],[Date_of_Surgery]]),"correct","incorrect")</f>
        <v>incorrect</v>
      </c>
      <c r="V48" t="str">
        <f>IF(ISNUMBER(Table2[[#This Row],[Date_of_Discharge]]),"correct","incorrect")</f>
        <v>incorrect</v>
      </c>
      <c r="W48" t="str">
        <f>IF(ISNUMBER(Table2[[#This Row],[Follow_up_Visit]]),"correct","incorrect")</f>
        <v>incorrect</v>
      </c>
      <c r="AC48" t="str">
        <f>LOOKUP(C48,{20,30,40,50,60,70,80,90},{"20-29","30-39","40-49","50-59","60-69","70-79","80-89"})</f>
        <v>70-79</v>
      </c>
    </row>
    <row r="49" spans="1:29" x14ac:dyDescent="0.2">
      <c r="A49" t="s">
        <v>410</v>
      </c>
      <c r="B49" t="s">
        <v>411</v>
      </c>
      <c r="C49">
        <v>34</v>
      </c>
      <c r="D49" t="s">
        <v>160</v>
      </c>
      <c r="E49" t="s">
        <v>412</v>
      </c>
      <c r="F49">
        <v>45288</v>
      </c>
      <c r="G49" t="s">
        <v>413</v>
      </c>
      <c r="H49">
        <v>42857</v>
      </c>
      <c r="I49" t="s">
        <v>414</v>
      </c>
      <c r="J49" t="s">
        <v>415</v>
      </c>
      <c r="M49" t="b">
        <f>COUNTIF(Table2[Patient_ID],Table2[[#This Row],[Patient_ID]])&gt;1</f>
        <v>0</v>
      </c>
      <c r="N49" t="b">
        <f>COUNTIF(Table2[Name],Table2[[#This Row],[Name]])&gt;1</f>
        <v>0</v>
      </c>
      <c r="O4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49" t="str">
        <f t="shared" si="0"/>
        <v>Unknown</v>
      </c>
      <c r="Q49" t="b">
        <f>ISNUMBER(Table2[[#This Row],[Age]])</f>
        <v>1</v>
      </c>
      <c r="R49" t="str">
        <f>IF(ISNUMBER(Table2[[#This Row],[Date_of_Admission]]),"correct","incorrect")</f>
        <v>incorrect</v>
      </c>
      <c r="S49" t="str">
        <f>IF(ISNUMBER(Table2[[#This Row],[Date_of_Diagnosis]]),"correct","incorrect")</f>
        <v>correct</v>
      </c>
      <c r="T49" t="str">
        <f>IF(ISNUMBER(Table2[[#This Row],[Date_of_Treatment_Start]]),"correct","incorrect")</f>
        <v>incorrect</v>
      </c>
      <c r="U49" t="str">
        <f>IF(ISNUMBER(Table2[[#This Row],[Date_of_Surgery]]),"correct","incorrect")</f>
        <v>correct</v>
      </c>
      <c r="V49" t="str">
        <f>IF(ISNUMBER(Table2[[#This Row],[Date_of_Discharge]]),"correct","incorrect")</f>
        <v>incorrect</v>
      </c>
      <c r="W49" t="str">
        <f>IF(ISNUMBER(Table2[[#This Row],[Follow_up_Visit]]),"correct","incorrect")</f>
        <v>incorrect</v>
      </c>
      <c r="AC49" t="str">
        <f>LOOKUP(C49,{20,30,40,50,60,70,80,90},{"20-29","30-39","40-49","50-59","60-69","70-79","80-89"})</f>
        <v>30-39</v>
      </c>
    </row>
    <row r="50" spans="1:29" x14ac:dyDescent="0.2">
      <c r="A50" t="s">
        <v>416</v>
      </c>
      <c r="B50" t="s">
        <v>417</v>
      </c>
      <c r="C50">
        <v>81</v>
      </c>
      <c r="D50" t="s">
        <v>160</v>
      </c>
      <c r="E50" t="s">
        <v>418</v>
      </c>
      <c r="F50" t="s">
        <v>419</v>
      </c>
      <c r="G50" t="s">
        <v>420</v>
      </c>
      <c r="H50">
        <v>42857</v>
      </c>
      <c r="J50" t="s">
        <v>415</v>
      </c>
      <c r="M50" t="b">
        <f>COUNTIF(Table2[Patient_ID],Table2[[#This Row],[Patient_ID]])&gt;1</f>
        <v>0</v>
      </c>
      <c r="N50" t="b">
        <f>COUNTIF(Table2[Name],Table2[[#This Row],[Name]])&gt;1</f>
        <v>0</v>
      </c>
      <c r="O5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0" t="str">
        <f t="shared" si="0"/>
        <v>Unknown</v>
      </c>
      <c r="Q50" t="b">
        <f>ISNUMBER(Table2[[#This Row],[Age]])</f>
        <v>1</v>
      </c>
      <c r="R50" t="str">
        <f>IF(ISNUMBER(Table2[[#This Row],[Date_of_Admission]]),"correct","incorrect")</f>
        <v>incorrect</v>
      </c>
      <c r="S50" t="str">
        <f>IF(ISNUMBER(Table2[[#This Row],[Date_of_Diagnosis]]),"correct","incorrect")</f>
        <v>incorrect</v>
      </c>
      <c r="T50" t="str">
        <f>IF(ISNUMBER(Table2[[#This Row],[Date_of_Treatment_Start]]),"correct","incorrect")</f>
        <v>incorrect</v>
      </c>
      <c r="U50" t="str">
        <f>IF(ISNUMBER(Table2[[#This Row],[Date_of_Surgery]]),"correct","incorrect")</f>
        <v>correct</v>
      </c>
      <c r="V50" t="str">
        <f>IF(ISNUMBER(Table2[[#This Row],[Date_of_Discharge]]),"correct","incorrect")</f>
        <v>incorrect</v>
      </c>
      <c r="W50" t="str">
        <f>IF(ISNUMBER(Table2[[#This Row],[Follow_up_Visit]]),"correct","incorrect")</f>
        <v>incorrect</v>
      </c>
      <c r="AC50" t="str">
        <f>LOOKUP(C50,{20,30,40,50,60,70,80,90},{"20-29","30-39","40-49","50-59","60-69","70-79","80-89"})</f>
        <v>80-89</v>
      </c>
    </row>
    <row r="51" spans="1:29" x14ac:dyDescent="0.2">
      <c r="A51" t="s">
        <v>421</v>
      </c>
      <c r="B51" t="s">
        <v>842</v>
      </c>
      <c r="C51">
        <v>81</v>
      </c>
      <c r="D51" t="s">
        <v>160</v>
      </c>
      <c r="E51" t="s">
        <v>422</v>
      </c>
      <c r="F51" t="s">
        <v>381</v>
      </c>
      <c r="G51" t="s">
        <v>423</v>
      </c>
      <c r="H51">
        <v>42857</v>
      </c>
      <c r="I51" t="s">
        <v>424</v>
      </c>
      <c r="J51" t="s">
        <v>951</v>
      </c>
      <c r="M51" t="b">
        <f>COUNTIF(Table2[Patient_ID],Table2[[#This Row],[Patient_ID]])&gt;1</f>
        <v>0</v>
      </c>
      <c r="N51" t="b">
        <f>COUNTIF(Table2[Name],Table2[[#This Row],[Name]])&gt;1</f>
        <v>0</v>
      </c>
      <c r="O5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51" t="str">
        <f t="shared" si="0"/>
        <v xml:space="preserve">        %            </v>
      </c>
      <c r="Q51" t="b">
        <f>ISNUMBER(Table2[[#This Row],[Age]])</f>
        <v>1</v>
      </c>
      <c r="R51" t="str">
        <f>IF(ISNUMBER(Table2[[#This Row],[Date_of_Admission]]),"correct","incorrect")</f>
        <v>incorrect</v>
      </c>
      <c r="S51" t="str">
        <f>IF(ISNUMBER(Table2[[#This Row],[Date_of_Diagnosis]]),"correct","incorrect")</f>
        <v>incorrect</v>
      </c>
      <c r="T51" t="str">
        <f>IF(ISNUMBER(Table2[[#This Row],[Date_of_Treatment_Start]]),"correct","incorrect")</f>
        <v>incorrect</v>
      </c>
      <c r="U51" t="str">
        <f>IF(ISNUMBER(Table2[[#This Row],[Date_of_Surgery]]),"correct","incorrect")</f>
        <v>correct</v>
      </c>
      <c r="V51" t="str">
        <f>IF(ISNUMBER(Table2[[#This Row],[Date_of_Discharge]]),"correct","incorrect")</f>
        <v>incorrect</v>
      </c>
      <c r="W51" t="str">
        <f>IF(ISNUMBER(Table2[[#This Row],[Follow_up_Visit]]),"correct","incorrect")</f>
        <v>incorrect</v>
      </c>
      <c r="AC51" t="str">
        <f>LOOKUP(C51,{20,30,40,50,60,70,80,90},{"20-29","30-39","40-49","50-59","60-69","70-79","80-89"})</f>
        <v>80-89</v>
      </c>
    </row>
    <row r="52" spans="1:29" x14ac:dyDescent="0.2">
      <c r="A52" t="s">
        <v>425</v>
      </c>
      <c r="B52" t="s">
        <v>426</v>
      </c>
      <c r="C52">
        <v>66</v>
      </c>
      <c r="D52" t="s">
        <v>160</v>
      </c>
      <c r="E52" t="s">
        <v>427</v>
      </c>
      <c r="F52" t="s">
        <v>428</v>
      </c>
      <c r="G52" t="s">
        <v>429</v>
      </c>
      <c r="H52" t="s">
        <v>430</v>
      </c>
      <c r="I52" t="s">
        <v>198</v>
      </c>
      <c r="J52">
        <v>44736</v>
      </c>
      <c r="M52" t="b">
        <f>COUNTIF(Table2[Patient_ID],Table2[[#This Row],[Patient_ID]])&gt;1</f>
        <v>0</v>
      </c>
      <c r="N52" t="b">
        <f>COUNTIF(Table2[Name],Table2[[#This Row],[Name]])&gt;1</f>
        <v>0</v>
      </c>
      <c r="O5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2" t="str">
        <f t="shared" si="0"/>
        <v>Unknown</v>
      </c>
      <c r="Q52" t="b">
        <f>ISNUMBER(Table2[[#This Row],[Age]])</f>
        <v>1</v>
      </c>
      <c r="R52" t="str">
        <f>IF(ISNUMBER(Table2[[#This Row],[Date_of_Admission]]),"correct","incorrect")</f>
        <v>incorrect</v>
      </c>
      <c r="S52" t="str">
        <f>IF(ISNUMBER(Table2[[#This Row],[Date_of_Diagnosis]]),"correct","incorrect")</f>
        <v>incorrect</v>
      </c>
      <c r="T52" t="str">
        <f>IF(ISNUMBER(Table2[[#This Row],[Date_of_Treatment_Start]]),"correct","incorrect")</f>
        <v>incorrect</v>
      </c>
      <c r="U52" t="str">
        <f>IF(ISNUMBER(Table2[[#This Row],[Date_of_Surgery]]),"correct","incorrect")</f>
        <v>incorrect</v>
      </c>
      <c r="V52" t="str">
        <f>IF(ISNUMBER(Table2[[#This Row],[Date_of_Discharge]]),"correct","incorrect")</f>
        <v>incorrect</v>
      </c>
      <c r="W52" t="str">
        <f>IF(ISNUMBER(Table2[[#This Row],[Follow_up_Visit]]),"correct","incorrect")</f>
        <v>correct</v>
      </c>
      <c r="AC52" t="str">
        <f>LOOKUP(C52,{20,30,40,50,60,70,80,90},{"20-29","30-39","40-49","50-59","60-69","70-79","80-89"})</f>
        <v>60-69</v>
      </c>
    </row>
    <row r="53" spans="1:29" x14ac:dyDescent="0.2">
      <c r="A53" t="s">
        <v>431</v>
      </c>
      <c r="B53" t="s">
        <v>432</v>
      </c>
      <c r="C53">
        <v>81</v>
      </c>
      <c r="D53" t="s">
        <v>146</v>
      </c>
      <c r="E53" t="s">
        <v>433</v>
      </c>
      <c r="F53" t="s">
        <v>341</v>
      </c>
      <c r="G53" t="s">
        <v>434</v>
      </c>
      <c r="H53" t="s">
        <v>435</v>
      </c>
      <c r="I53" t="s">
        <v>436</v>
      </c>
      <c r="J53">
        <v>44866</v>
      </c>
      <c r="M53" t="b">
        <f>COUNTIF(Table2[Patient_ID],Table2[[#This Row],[Patient_ID]])&gt;1</f>
        <v>0</v>
      </c>
      <c r="N53" t="b">
        <f>COUNTIF(Table2[Name],Table2[[#This Row],[Name]])&gt;1</f>
        <v>0</v>
      </c>
      <c r="O5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3" t="str">
        <f t="shared" si="0"/>
        <v>Unknown</v>
      </c>
      <c r="Q53" t="b">
        <f>ISNUMBER(Table2[[#This Row],[Age]])</f>
        <v>1</v>
      </c>
      <c r="R53" t="str">
        <f>IF(ISNUMBER(Table2[[#This Row],[Date_of_Admission]]),"correct","incorrect")</f>
        <v>incorrect</v>
      </c>
      <c r="S53" t="str">
        <f>IF(ISNUMBER(Table2[[#This Row],[Date_of_Diagnosis]]),"correct","incorrect")</f>
        <v>incorrect</v>
      </c>
      <c r="T53" t="str">
        <f>IF(ISNUMBER(Table2[[#This Row],[Date_of_Treatment_Start]]),"correct","incorrect")</f>
        <v>incorrect</v>
      </c>
      <c r="U53" t="str">
        <f>IF(ISNUMBER(Table2[[#This Row],[Date_of_Surgery]]),"correct","incorrect")</f>
        <v>incorrect</v>
      </c>
      <c r="V53" t="str">
        <f>IF(ISNUMBER(Table2[[#This Row],[Date_of_Discharge]]),"correct","incorrect")</f>
        <v>incorrect</v>
      </c>
      <c r="W53" t="str">
        <f>IF(ISNUMBER(Table2[[#This Row],[Follow_up_Visit]]),"correct","incorrect")</f>
        <v>correct</v>
      </c>
      <c r="AC53" t="str">
        <f>LOOKUP(C53,{20,30,40,50,60,70,80,90},{"20-29","30-39","40-49","50-59","60-69","70-79","80-89"})</f>
        <v>80-89</v>
      </c>
    </row>
    <row r="54" spans="1:29" x14ac:dyDescent="0.2">
      <c r="A54" t="s">
        <v>437</v>
      </c>
      <c r="B54" t="s">
        <v>438</v>
      </c>
      <c r="C54">
        <v>70</v>
      </c>
      <c r="D54" t="s">
        <v>160</v>
      </c>
      <c r="E54" t="s">
        <v>147</v>
      </c>
      <c r="F54" t="s">
        <v>439</v>
      </c>
      <c r="G54" t="s">
        <v>440</v>
      </c>
      <c r="H54" t="s">
        <v>441</v>
      </c>
      <c r="I54" t="s">
        <v>442</v>
      </c>
      <c r="J54">
        <v>44867</v>
      </c>
      <c r="M54" t="b">
        <f>COUNTIF(Table2[Patient_ID],Table2[[#This Row],[Patient_ID]])&gt;1</f>
        <v>0</v>
      </c>
      <c r="N54" t="b">
        <f>COUNTIF(Table2[Name],Table2[[#This Row],[Name]])&gt;1</f>
        <v>0</v>
      </c>
      <c r="O5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4" t="str">
        <f t="shared" si="0"/>
        <v>Unknown</v>
      </c>
      <c r="Q54" t="b">
        <f>ISNUMBER(Table2[[#This Row],[Age]])</f>
        <v>1</v>
      </c>
      <c r="R54" t="str">
        <f>IF(ISNUMBER(Table2[[#This Row],[Date_of_Admission]]),"correct","incorrect")</f>
        <v>incorrect</v>
      </c>
      <c r="S54" t="str">
        <f>IF(ISNUMBER(Table2[[#This Row],[Date_of_Diagnosis]]),"correct","incorrect")</f>
        <v>incorrect</v>
      </c>
      <c r="T54" t="str">
        <f>IF(ISNUMBER(Table2[[#This Row],[Date_of_Treatment_Start]]),"correct","incorrect")</f>
        <v>incorrect</v>
      </c>
      <c r="U54" t="str">
        <f>IF(ISNUMBER(Table2[[#This Row],[Date_of_Surgery]]),"correct","incorrect")</f>
        <v>incorrect</v>
      </c>
      <c r="V54" t="str">
        <f>IF(ISNUMBER(Table2[[#This Row],[Date_of_Discharge]]),"correct","incorrect")</f>
        <v>incorrect</v>
      </c>
      <c r="W54" t="str">
        <f>IF(ISNUMBER(Table2[[#This Row],[Follow_up_Visit]]),"correct","incorrect")</f>
        <v>correct</v>
      </c>
      <c r="AC54" t="str">
        <f>LOOKUP(C54,{20,30,40,50,60,70,80,90},{"20-29","30-39","40-49","50-59","60-69","70-79","80-89"})</f>
        <v>70-79</v>
      </c>
    </row>
    <row r="55" spans="1:29" x14ac:dyDescent="0.2">
      <c r="A55" t="s">
        <v>443</v>
      </c>
      <c r="B55" t="s">
        <v>444</v>
      </c>
      <c r="C55">
        <v>74</v>
      </c>
      <c r="D55" t="s">
        <v>146</v>
      </c>
      <c r="E55" t="s">
        <v>445</v>
      </c>
      <c r="F55" t="s">
        <v>446</v>
      </c>
      <c r="G55" t="s">
        <v>447</v>
      </c>
      <c r="H55" t="s">
        <v>448</v>
      </c>
      <c r="I55" t="s">
        <v>449</v>
      </c>
      <c r="J55" t="s">
        <v>161</v>
      </c>
      <c r="M55" t="b">
        <f>COUNTIF(Table2[Patient_ID],Table2[[#This Row],[Patient_ID]])&gt;1</f>
        <v>0</v>
      </c>
      <c r="N55" t="b">
        <f>COUNTIF(Table2[Name],Table2[[#This Row],[Name]])&gt;1</f>
        <v>0</v>
      </c>
      <c r="O5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5" t="str">
        <f t="shared" si="0"/>
        <v>Unknown</v>
      </c>
      <c r="Q55" t="b">
        <f>ISNUMBER(Table2[[#This Row],[Age]])</f>
        <v>1</v>
      </c>
      <c r="R55" t="str">
        <f>IF(ISNUMBER(Table2[[#This Row],[Date_of_Admission]]),"correct","incorrect")</f>
        <v>incorrect</v>
      </c>
      <c r="S55" t="str">
        <f>IF(ISNUMBER(Table2[[#This Row],[Date_of_Diagnosis]]),"correct","incorrect")</f>
        <v>incorrect</v>
      </c>
      <c r="T55" t="str">
        <f>IF(ISNUMBER(Table2[[#This Row],[Date_of_Treatment_Start]]),"correct","incorrect")</f>
        <v>incorrect</v>
      </c>
      <c r="U55" t="str">
        <f>IF(ISNUMBER(Table2[[#This Row],[Date_of_Surgery]]),"correct","incorrect")</f>
        <v>incorrect</v>
      </c>
      <c r="V55" t="str">
        <f>IF(ISNUMBER(Table2[[#This Row],[Date_of_Discharge]]),"correct","incorrect")</f>
        <v>incorrect</v>
      </c>
      <c r="W55" t="str">
        <f>IF(ISNUMBER(Table2[[#This Row],[Follow_up_Visit]]),"correct","incorrect")</f>
        <v>incorrect</v>
      </c>
      <c r="AC55" t="str">
        <f>LOOKUP(C55,{20,30,40,50,60,70,80,90},{"20-29","30-39","40-49","50-59","60-69","70-79","80-89"})</f>
        <v>70-79</v>
      </c>
    </row>
    <row r="56" spans="1:29" x14ac:dyDescent="0.2">
      <c r="A56" t="s">
        <v>450</v>
      </c>
      <c r="B56" t="s">
        <v>843</v>
      </c>
      <c r="C56">
        <v>83</v>
      </c>
      <c r="D56" t="s">
        <v>160</v>
      </c>
      <c r="E56" t="s">
        <v>451</v>
      </c>
      <c r="F56">
        <v>43229</v>
      </c>
      <c r="G56" t="s">
        <v>452</v>
      </c>
      <c r="H56">
        <v>43140</v>
      </c>
      <c r="I56">
        <v>20241015</v>
      </c>
      <c r="J56" t="s">
        <v>187</v>
      </c>
      <c r="M56" t="b">
        <f>COUNTIF(Table2[Patient_ID],Table2[[#This Row],[Patient_ID]])&gt;1</f>
        <v>0</v>
      </c>
      <c r="N56" t="b">
        <f>COUNTIF(Table2[Name],Table2[[#This Row],[Name]])&gt;1</f>
        <v>0</v>
      </c>
      <c r="O5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56" t="str">
        <f t="shared" si="0"/>
        <v xml:space="preserve">        %            </v>
      </c>
      <c r="Q56" t="b">
        <f>ISNUMBER(Table2[[#This Row],[Age]])</f>
        <v>1</v>
      </c>
      <c r="R56" t="str">
        <f>IF(ISNUMBER(Table2[[#This Row],[Date_of_Admission]]),"correct","incorrect")</f>
        <v>incorrect</v>
      </c>
      <c r="S56" t="str">
        <f>IF(ISNUMBER(Table2[[#This Row],[Date_of_Diagnosis]]),"correct","incorrect")</f>
        <v>correct</v>
      </c>
      <c r="T56" t="str">
        <f>IF(ISNUMBER(Table2[[#This Row],[Date_of_Treatment_Start]]),"correct","incorrect")</f>
        <v>incorrect</v>
      </c>
      <c r="U56" t="str">
        <f>IF(ISNUMBER(Table2[[#This Row],[Date_of_Surgery]]),"correct","incorrect")</f>
        <v>correct</v>
      </c>
      <c r="V56" t="str">
        <f>IF(ISNUMBER(Table2[[#This Row],[Date_of_Discharge]]),"correct","incorrect")</f>
        <v>correct</v>
      </c>
      <c r="W56" t="str">
        <f>IF(ISNUMBER(Table2[[#This Row],[Follow_up_Visit]]),"correct","incorrect")</f>
        <v>incorrect</v>
      </c>
      <c r="AC56" t="str">
        <f>LOOKUP(C56,{20,30,40,50,60,70,80,90},{"20-29","30-39","40-49","50-59","60-69","70-79","80-89"})</f>
        <v>80-89</v>
      </c>
    </row>
    <row r="57" spans="1:29" x14ac:dyDescent="0.2">
      <c r="A57" t="s">
        <v>453</v>
      </c>
      <c r="B57" t="s">
        <v>454</v>
      </c>
      <c r="C57">
        <v>40</v>
      </c>
      <c r="D57" t="s">
        <v>146</v>
      </c>
      <c r="E57" t="s">
        <v>455</v>
      </c>
      <c r="F57" t="s">
        <v>198</v>
      </c>
      <c r="G57" t="s">
        <v>456</v>
      </c>
      <c r="H57">
        <v>43140</v>
      </c>
      <c r="I57" t="s">
        <v>457</v>
      </c>
      <c r="J57" t="s">
        <v>937</v>
      </c>
      <c r="M57" t="b">
        <f>COUNTIF(Table2[Patient_ID],Table2[[#This Row],[Patient_ID]])&gt;1</f>
        <v>0</v>
      </c>
      <c r="N57" t="b">
        <f>COUNTIF(Table2[Name],Table2[[#This Row],[Name]])&gt;1</f>
        <v>0</v>
      </c>
      <c r="O5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7" t="str">
        <f t="shared" si="0"/>
        <v>Unknown</v>
      </c>
      <c r="Q57" t="b">
        <f>ISNUMBER(Table2[[#This Row],[Age]])</f>
        <v>1</v>
      </c>
      <c r="R57" t="str">
        <f>IF(ISNUMBER(Table2[[#This Row],[Date_of_Admission]]),"correct","incorrect")</f>
        <v>incorrect</v>
      </c>
      <c r="S57" t="str">
        <f>IF(ISNUMBER(Table2[[#This Row],[Date_of_Diagnosis]]),"correct","incorrect")</f>
        <v>incorrect</v>
      </c>
      <c r="T57" t="str">
        <f>IF(ISNUMBER(Table2[[#This Row],[Date_of_Treatment_Start]]),"correct","incorrect")</f>
        <v>incorrect</v>
      </c>
      <c r="U57" t="str">
        <f>IF(ISNUMBER(Table2[[#This Row],[Date_of_Surgery]]),"correct","incorrect")</f>
        <v>correct</v>
      </c>
      <c r="V57" t="str">
        <f>IF(ISNUMBER(Table2[[#This Row],[Date_of_Discharge]]),"correct","incorrect")</f>
        <v>incorrect</v>
      </c>
      <c r="W57" t="str">
        <f>IF(ISNUMBER(Table2[[#This Row],[Follow_up_Visit]]),"correct","incorrect")</f>
        <v>incorrect</v>
      </c>
      <c r="AC57" t="str">
        <f>LOOKUP(C57,{20,30,40,50,60,70,80,90},{"20-29","30-39","40-49","50-59","60-69","70-79","80-89"})</f>
        <v>40-49</v>
      </c>
    </row>
    <row r="58" spans="1:29" x14ac:dyDescent="0.2">
      <c r="A58" t="s">
        <v>458</v>
      </c>
      <c r="B58" t="s">
        <v>459</v>
      </c>
      <c r="C58">
        <v>22</v>
      </c>
      <c r="D58" t="s">
        <v>146</v>
      </c>
      <c r="E58">
        <v>44971</v>
      </c>
      <c r="F58">
        <v>45612</v>
      </c>
      <c r="G58" t="s">
        <v>460</v>
      </c>
      <c r="H58">
        <v>43140</v>
      </c>
      <c r="J58" t="s">
        <v>461</v>
      </c>
      <c r="M58" t="b">
        <f>COUNTIF(Table2[Patient_ID],Table2[[#This Row],[Patient_ID]])&gt;1</f>
        <v>0</v>
      </c>
      <c r="N58" t="b">
        <f>COUNTIF(Table2[Name],Table2[[#This Row],[Name]])&gt;1</f>
        <v>0</v>
      </c>
      <c r="O5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8" t="str">
        <f t="shared" si="0"/>
        <v>Unknown</v>
      </c>
      <c r="Q58" t="b">
        <f>ISNUMBER(Table2[[#This Row],[Age]])</f>
        <v>1</v>
      </c>
      <c r="R58" t="str">
        <f>IF(ISNUMBER(Table2[[#This Row],[Date_of_Admission]]),"correct","incorrect")</f>
        <v>correct</v>
      </c>
      <c r="S58" t="str">
        <f>IF(ISNUMBER(Table2[[#This Row],[Date_of_Diagnosis]]),"correct","incorrect")</f>
        <v>correct</v>
      </c>
      <c r="T58" t="str">
        <f>IF(ISNUMBER(Table2[[#This Row],[Date_of_Treatment_Start]]),"correct","incorrect")</f>
        <v>incorrect</v>
      </c>
      <c r="U58" t="str">
        <f>IF(ISNUMBER(Table2[[#This Row],[Date_of_Surgery]]),"correct","incorrect")</f>
        <v>correct</v>
      </c>
      <c r="V58" t="str">
        <f>IF(ISNUMBER(Table2[[#This Row],[Date_of_Discharge]]),"correct","incorrect")</f>
        <v>incorrect</v>
      </c>
      <c r="W58" t="str">
        <f>IF(ISNUMBER(Table2[[#This Row],[Follow_up_Visit]]),"correct","incorrect")</f>
        <v>incorrect</v>
      </c>
      <c r="AC58" t="str">
        <f>LOOKUP(C58,{20,30,40,50,60,70,80,90},{"20-29","30-39","40-49","50-59","60-69","70-79","80-89"})</f>
        <v>20-29</v>
      </c>
    </row>
    <row r="59" spans="1:29" x14ac:dyDescent="0.2">
      <c r="A59" t="s">
        <v>462</v>
      </c>
      <c r="B59" t="s">
        <v>463</v>
      </c>
      <c r="C59">
        <v>70</v>
      </c>
      <c r="D59" t="s">
        <v>160</v>
      </c>
      <c r="E59" t="s">
        <v>147</v>
      </c>
      <c r="F59" t="s">
        <v>198</v>
      </c>
      <c r="G59" t="s">
        <v>464</v>
      </c>
      <c r="H59">
        <v>43202</v>
      </c>
      <c r="I59" t="s">
        <v>465</v>
      </c>
      <c r="J59" t="s">
        <v>165</v>
      </c>
      <c r="M59" t="b">
        <f>COUNTIF(Table2[Patient_ID],Table2[[#This Row],[Patient_ID]])&gt;1</f>
        <v>0</v>
      </c>
      <c r="N59" t="b">
        <f>COUNTIF(Table2[Name],Table2[[#This Row],[Name]])&gt;1</f>
        <v>0</v>
      </c>
      <c r="O5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59" t="str">
        <f t="shared" si="0"/>
        <v>Unknown</v>
      </c>
      <c r="Q59" t="b">
        <f>ISNUMBER(Table2[[#This Row],[Age]])</f>
        <v>1</v>
      </c>
      <c r="R59" t="str">
        <f>IF(ISNUMBER(Table2[[#This Row],[Date_of_Admission]]),"correct","incorrect")</f>
        <v>incorrect</v>
      </c>
      <c r="S59" t="str">
        <f>IF(ISNUMBER(Table2[[#This Row],[Date_of_Diagnosis]]),"correct","incorrect")</f>
        <v>incorrect</v>
      </c>
      <c r="T59" t="str">
        <f>IF(ISNUMBER(Table2[[#This Row],[Date_of_Treatment_Start]]),"correct","incorrect")</f>
        <v>incorrect</v>
      </c>
      <c r="U59" t="str">
        <f>IF(ISNUMBER(Table2[[#This Row],[Date_of_Surgery]]),"correct","incorrect")</f>
        <v>correct</v>
      </c>
      <c r="V59" t="str">
        <f>IF(ISNUMBER(Table2[[#This Row],[Date_of_Discharge]]),"correct","incorrect")</f>
        <v>incorrect</v>
      </c>
      <c r="W59" t="str">
        <f>IF(ISNUMBER(Table2[[#This Row],[Follow_up_Visit]]),"correct","incorrect")</f>
        <v>incorrect</v>
      </c>
      <c r="AC59" t="str">
        <f>LOOKUP(C59,{20,30,40,50,60,70,80,90},{"20-29","30-39","40-49","50-59","60-69","70-79","80-89"})</f>
        <v>70-79</v>
      </c>
    </row>
    <row r="60" spans="1:29" x14ac:dyDescent="0.2">
      <c r="A60" t="s">
        <v>466</v>
      </c>
      <c r="B60" t="s">
        <v>844</v>
      </c>
      <c r="C60">
        <v>26</v>
      </c>
      <c r="D60" t="s">
        <v>160</v>
      </c>
      <c r="E60" t="s">
        <v>467</v>
      </c>
      <c r="F60" t="s">
        <v>198</v>
      </c>
      <c r="G60" t="s">
        <v>468</v>
      </c>
      <c r="H60" t="s">
        <v>469</v>
      </c>
      <c r="I60" t="s">
        <v>470</v>
      </c>
      <c r="J60" t="s">
        <v>165</v>
      </c>
      <c r="M60" t="b">
        <f>COUNTIF(Table2[Patient_ID],Table2[[#This Row],[Patient_ID]])&gt;1</f>
        <v>0</v>
      </c>
      <c r="N60" t="b">
        <f>COUNTIF(Table2[Name],Table2[[#This Row],[Name]])&gt;1</f>
        <v>0</v>
      </c>
      <c r="O6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60" t="str">
        <f t="shared" si="0"/>
        <v xml:space="preserve">         ,           </v>
      </c>
      <c r="Q60" t="b">
        <f>ISNUMBER(Table2[[#This Row],[Age]])</f>
        <v>1</v>
      </c>
      <c r="R60" t="str">
        <f>IF(ISNUMBER(Table2[[#This Row],[Date_of_Admission]]),"correct","incorrect")</f>
        <v>incorrect</v>
      </c>
      <c r="S60" t="str">
        <f>IF(ISNUMBER(Table2[[#This Row],[Date_of_Diagnosis]]),"correct","incorrect")</f>
        <v>incorrect</v>
      </c>
      <c r="T60" t="str">
        <f>IF(ISNUMBER(Table2[[#This Row],[Date_of_Treatment_Start]]),"correct","incorrect")</f>
        <v>incorrect</v>
      </c>
      <c r="U60" t="str">
        <f>IF(ISNUMBER(Table2[[#This Row],[Date_of_Surgery]]),"correct","incorrect")</f>
        <v>incorrect</v>
      </c>
      <c r="V60" t="str">
        <f>IF(ISNUMBER(Table2[[#This Row],[Date_of_Discharge]]),"correct","incorrect")</f>
        <v>incorrect</v>
      </c>
      <c r="W60" t="str">
        <f>IF(ISNUMBER(Table2[[#This Row],[Follow_up_Visit]]),"correct","incorrect")</f>
        <v>incorrect</v>
      </c>
      <c r="AC60" t="str">
        <f>LOOKUP(C60,{20,30,40,50,60,70,80,90},{"20-29","30-39","40-49","50-59","60-69","70-79","80-89"})</f>
        <v>20-29</v>
      </c>
    </row>
    <row r="61" spans="1:29" x14ac:dyDescent="0.2">
      <c r="A61" t="s">
        <v>471</v>
      </c>
      <c r="B61" t="s">
        <v>472</v>
      </c>
      <c r="C61">
        <v>40</v>
      </c>
      <c r="D61" t="s">
        <v>160</v>
      </c>
      <c r="E61" t="s">
        <v>473</v>
      </c>
      <c r="F61">
        <v>45062</v>
      </c>
      <c r="G61">
        <v>45051</v>
      </c>
      <c r="H61" t="s">
        <v>469</v>
      </c>
      <c r="I61">
        <v>20240425</v>
      </c>
      <c r="J61" t="s">
        <v>474</v>
      </c>
      <c r="M61" t="b">
        <f>COUNTIF(Table2[Patient_ID],Table2[[#This Row],[Patient_ID]])&gt;1</f>
        <v>0</v>
      </c>
      <c r="N61" t="b">
        <f>COUNTIF(Table2[Name],Table2[[#This Row],[Name]])&gt;1</f>
        <v>0</v>
      </c>
      <c r="O6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1" t="str">
        <f t="shared" si="0"/>
        <v>Unknown</v>
      </c>
      <c r="Q61" t="b">
        <f>ISNUMBER(Table2[[#This Row],[Age]])</f>
        <v>1</v>
      </c>
      <c r="R61" t="str">
        <f>IF(ISNUMBER(Table2[[#This Row],[Date_of_Admission]]),"correct","incorrect")</f>
        <v>incorrect</v>
      </c>
      <c r="S61" t="str">
        <f>IF(ISNUMBER(Table2[[#This Row],[Date_of_Diagnosis]]),"correct","incorrect")</f>
        <v>correct</v>
      </c>
      <c r="T61" t="str">
        <f>IF(ISNUMBER(Table2[[#This Row],[Date_of_Treatment_Start]]),"correct","incorrect")</f>
        <v>correct</v>
      </c>
      <c r="U61" t="str">
        <f>IF(ISNUMBER(Table2[[#This Row],[Date_of_Surgery]]),"correct","incorrect")</f>
        <v>incorrect</v>
      </c>
      <c r="V61" t="str">
        <f>IF(ISNUMBER(Table2[[#This Row],[Date_of_Discharge]]),"correct","incorrect")</f>
        <v>correct</v>
      </c>
      <c r="W61" t="str">
        <f>IF(ISNUMBER(Table2[[#This Row],[Follow_up_Visit]]),"correct","incorrect")</f>
        <v>incorrect</v>
      </c>
      <c r="AC61" t="str">
        <f>LOOKUP(C61,{20,30,40,50,60,70,80,90},{"20-29","30-39","40-49","50-59","60-69","70-79","80-89"})</f>
        <v>40-49</v>
      </c>
    </row>
    <row r="62" spans="1:29" x14ac:dyDescent="0.2">
      <c r="A62" t="s">
        <v>475</v>
      </c>
      <c r="B62" t="s">
        <v>476</v>
      </c>
      <c r="C62">
        <v>58</v>
      </c>
      <c r="D62" t="s">
        <v>160</v>
      </c>
      <c r="E62" t="s">
        <v>477</v>
      </c>
      <c r="F62" t="s">
        <v>198</v>
      </c>
      <c r="G62">
        <v>45063</v>
      </c>
      <c r="H62" t="s">
        <v>469</v>
      </c>
      <c r="J62" t="s">
        <v>940</v>
      </c>
      <c r="M62" t="b">
        <f>COUNTIF(Table2[Patient_ID],Table2[[#This Row],[Patient_ID]])&gt;1</f>
        <v>0</v>
      </c>
      <c r="N62" t="b">
        <f>COUNTIF(Table2[Name],Table2[[#This Row],[Name]])&gt;1</f>
        <v>0</v>
      </c>
      <c r="O6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2" t="str">
        <f t="shared" si="0"/>
        <v>Unknown</v>
      </c>
      <c r="Q62" t="b">
        <f>ISNUMBER(Table2[[#This Row],[Age]])</f>
        <v>1</v>
      </c>
      <c r="R62" t="str">
        <f>IF(ISNUMBER(Table2[[#This Row],[Date_of_Admission]]),"correct","incorrect")</f>
        <v>incorrect</v>
      </c>
      <c r="S62" t="str">
        <f>IF(ISNUMBER(Table2[[#This Row],[Date_of_Diagnosis]]),"correct","incorrect")</f>
        <v>incorrect</v>
      </c>
      <c r="T62" t="str">
        <f>IF(ISNUMBER(Table2[[#This Row],[Date_of_Treatment_Start]]),"correct","incorrect")</f>
        <v>correct</v>
      </c>
      <c r="U62" t="str">
        <f>IF(ISNUMBER(Table2[[#This Row],[Date_of_Surgery]]),"correct","incorrect")</f>
        <v>incorrect</v>
      </c>
      <c r="V62" t="str">
        <f>IF(ISNUMBER(Table2[[#This Row],[Date_of_Discharge]]),"correct","incorrect")</f>
        <v>incorrect</v>
      </c>
      <c r="W62" t="str">
        <f>IF(ISNUMBER(Table2[[#This Row],[Follow_up_Visit]]),"correct","incorrect")</f>
        <v>incorrect</v>
      </c>
      <c r="AC62" t="str">
        <f>LOOKUP(C62,{20,30,40,50,60,70,80,90},{"20-29","30-39","40-49","50-59","60-69","70-79","80-89"})</f>
        <v>50-59</v>
      </c>
    </row>
    <row r="63" spans="1:29" x14ac:dyDescent="0.2">
      <c r="A63" t="s">
        <v>478</v>
      </c>
      <c r="B63" t="s">
        <v>479</v>
      </c>
      <c r="C63">
        <v>37</v>
      </c>
      <c r="D63" t="s">
        <v>146</v>
      </c>
      <c r="E63" t="s">
        <v>480</v>
      </c>
      <c r="F63" t="s">
        <v>481</v>
      </c>
      <c r="G63">
        <v>45092</v>
      </c>
      <c r="H63" t="s">
        <v>482</v>
      </c>
      <c r="I63" t="s">
        <v>483</v>
      </c>
      <c r="J63">
        <v>44736</v>
      </c>
      <c r="M63" t="b">
        <f>COUNTIF(Table2[Patient_ID],Table2[[#This Row],[Patient_ID]])&gt;1</f>
        <v>0</v>
      </c>
      <c r="N63" t="b">
        <f>COUNTIF(Table2[Name],Table2[[#This Row],[Name]])&gt;1</f>
        <v>0</v>
      </c>
      <c r="O6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3" t="str">
        <f t="shared" si="0"/>
        <v>Unknown</v>
      </c>
      <c r="Q63" t="b">
        <f>ISNUMBER(Table2[[#This Row],[Age]])</f>
        <v>1</v>
      </c>
      <c r="R63" t="str">
        <f>IF(ISNUMBER(Table2[[#This Row],[Date_of_Admission]]),"correct","incorrect")</f>
        <v>incorrect</v>
      </c>
      <c r="S63" t="str">
        <f>IF(ISNUMBER(Table2[[#This Row],[Date_of_Diagnosis]]),"correct","incorrect")</f>
        <v>incorrect</v>
      </c>
      <c r="T63" t="str">
        <f>IF(ISNUMBER(Table2[[#This Row],[Date_of_Treatment_Start]]),"correct","incorrect")</f>
        <v>correct</v>
      </c>
      <c r="U63" t="str">
        <f>IF(ISNUMBER(Table2[[#This Row],[Date_of_Surgery]]),"correct","incorrect")</f>
        <v>incorrect</v>
      </c>
      <c r="V63" t="str">
        <f>IF(ISNUMBER(Table2[[#This Row],[Date_of_Discharge]]),"correct","incorrect")</f>
        <v>incorrect</v>
      </c>
      <c r="W63" t="str">
        <f>IF(ISNUMBER(Table2[[#This Row],[Follow_up_Visit]]),"correct","incorrect")</f>
        <v>correct</v>
      </c>
      <c r="AC63" t="str">
        <f>LOOKUP(C63,{20,30,40,50,60,70,80,90},{"20-29","30-39","40-49","50-59","60-69","70-79","80-89"})</f>
        <v>30-39</v>
      </c>
    </row>
    <row r="64" spans="1:29" x14ac:dyDescent="0.2">
      <c r="A64" t="s">
        <v>484</v>
      </c>
      <c r="B64" t="s">
        <v>485</v>
      </c>
      <c r="C64">
        <v>23</v>
      </c>
      <c r="D64" t="s">
        <v>160</v>
      </c>
      <c r="E64" t="s">
        <v>486</v>
      </c>
      <c r="F64" t="s">
        <v>487</v>
      </c>
      <c r="G64">
        <v>45131</v>
      </c>
      <c r="H64" t="s">
        <v>482</v>
      </c>
      <c r="J64">
        <v>45019</v>
      </c>
      <c r="M64" t="b">
        <f>COUNTIF(Table2[Patient_ID],Table2[[#This Row],[Patient_ID]])&gt;1</f>
        <v>0</v>
      </c>
      <c r="N64" t="b">
        <f>COUNTIF(Table2[Name],Table2[[#This Row],[Name]])&gt;1</f>
        <v>0</v>
      </c>
      <c r="O6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4" t="str">
        <f t="shared" si="0"/>
        <v>Unknown</v>
      </c>
      <c r="Q64" t="b">
        <f>ISNUMBER(Table2[[#This Row],[Age]])</f>
        <v>1</v>
      </c>
      <c r="R64" t="str">
        <f>IF(ISNUMBER(Table2[[#This Row],[Date_of_Admission]]),"correct","incorrect")</f>
        <v>incorrect</v>
      </c>
      <c r="S64" t="str">
        <f>IF(ISNUMBER(Table2[[#This Row],[Date_of_Diagnosis]]),"correct","incorrect")</f>
        <v>incorrect</v>
      </c>
      <c r="T64" t="str">
        <f>IF(ISNUMBER(Table2[[#This Row],[Date_of_Treatment_Start]]),"correct","incorrect")</f>
        <v>correct</v>
      </c>
      <c r="U64" t="str">
        <f>IF(ISNUMBER(Table2[[#This Row],[Date_of_Surgery]]),"correct","incorrect")</f>
        <v>incorrect</v>
      </c>
      <c r="V64" t="str">
        <f>IF(ISNUMBER(Table2[[#This Row],[Date_of_Discharge]]),"correct","incorrect")</f>
        <v>incorrect</v>
      </c>
      <c r="W64" t="str">
        <f>IF(ISNUMBER(Table2[[#This Row],[Follow_up_Visit]]),"correct","incorrect")</f>
        <v>correct</v>
      </c>
      <c r="AC64" t="str">
        <f>LOOKUP(C64,{20,30,40,50,60,70,80,90},{"20-29","30-39","40-49","50-59","60-69","70-79","80-89"})</f>
        <v>20-29</v>
      </c>
    </row>
    <row r="65" spans="1:29" x14ac:dyDescent="0.2">
      <c r="A65" t="s">
        <v>488</v>
      </c>
      <c r="B65" t="s">
        <v>489</v>
      </c>
      <c r="C65">
        <v>79</v>
      </c>
      <c r="D65" t="s">
        <v>146</v>
      </c>
      <c r="E65" t="s">
        <v>490</v>
      </c>
      <c r="F65" t="s">
        <v>491</v>
      </c>
      <c r="G65" t="s">
        <v>492</v>
      </c>
      <c r="H65" t="s">
        <v>482</v>
      </c>
      <c r="I65" t="s">
        <v>493</v>
      </c>
      <c r="J65" t="s">
        <v>165</v>
      </c>
      <c r="M65" t="b">
        <f>COUNTIF(Table2[Patient_ID],Table2[[#This Row],[Patient_ID]])&gt;1</f>
        <v>0</v>
      </c>
      <c r="N65" t="b">
        <f>COUNTIF(Table2[Name],Table2[[#This Row],[Name]])&gt;1</f>
        <v>0</v>
      </c>
      <c r="O6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5" t="str">
        <f t="shared" si="0"/>
        <v>Unknown</v>
      </c>
      <c r="Q65" t="b">
        <f>ISNUMBER(Table2[[#This Row],[Age]])</f>
        <v>1</v>
      </c>
      <c r="R65" t="str">
        <f>IF(ISNUMBER(Table2[[#This Row],[Date_of_Admission]]),"correct","incorrect")</f>
        <v>incorrect</v>
      </c>
      <c r="S65" t="str">
        <f>IF(ISNUMBER(Table2[[#This Row],[Date_of_Diagnosis]]),"correct","incorrect")</f>
        <v>incorrect</v>
      </c>
      <c r="T65" t="str">
        <f>IF(ISNUMBER(Table2[[#This Row],[Date_of_Treatment_Start]]),"correct","incorrect")</f>
        <v>incorrect</v>
      </c>
      <c r="U65" t="str">
        <f>IF(ISNUMBER(Table2[[#This Row],[Date_of_Surgery]]),"correct","incorrect")</f>
        <v>incorrect</v>
      </c>
      <c r="V65" t="str">
        <f>IF(ISNUMBER(Table2[[#This Row],[Date_of_Discharge]]),"correct","incorrect")</f>
        <v>incorrect</v>
      </c>
      <c r="W65" t="str">
        <f>IF(ISNUMBER(Table2[[#This Row],[Follow_up_Visit]]),"correct","incorrect")</f>
        <v>incorrect</v>
      </c>
      <c r="AC65" t="str">
        <f>LOOKUP(C65,{20,30,40,50,60,70,80,90},{"20-29","30-39","40-49","50-59","60-69","70-79","80-89"})</f>
        <v>70-79</v>
      </c>
    </row>
    <row r="66" spans="1:29" x14ac:dyDescent="0.2">
      <c r="A66" t="s">
        <v>494</v>
      </c>
      <c r="B66" t="s">
        <v>845</v>
      </c>
      <c r="C66">
        <v>33</v>
      </c>
      <c r="D66" t="s">
        <v>146</v>
      </c>
      <c r="E66" t="s">
        <v>495</v>
      </c>
      <c r="F66" t="s">
        <v>496</v>
      </c>
      <c r="G66" t="s">
        <v>497</v>
      </c>
      <c r="H66" t="s">
        <v>498</v>
      </c>
      <c r="J66" t="s">
        <v>234</v>
      </c>
      <c r="M66" t="b">
        <f>COUNTIF(Table2[Patient_ID],Table2[[#This Row],[Patient_ID]])&gt;1</f>
        <v>0</v>
      </c>
      <c r="N66" t="b">
        <f>COUNTIF(Table2[Name],Table2[[#This Row],[Name]])&gt;1</f>
        <v>0</v>
      </c>
      <c r="O6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66" t="str">
        <f t="shared" si="0"/>
        <v xml:space="preserve">     (               </v>
      </c>
      <c r="Q66" t="b">
        <f>ISNUMBER(Table2[[#This Row],[Age]])</f>
        <v>1</v>
      </c>
      <c r="R66" t="str">
        <f>IF(ISNUMBER(Table2[[#This Row],[Date_of_Admission]]),"correct","incorrect")</f>
        <v>incorrect</v>
      </c>
      <c r="S66" t="str">
        <f>IF(ISNUMBER(Table2[[#This Row],[Date_of_Diagnosis]]),"correct","incorrect")</f>
        <v>incorrect</v>
      </c>
      <c r="T66" t="str">
        <f>IF(ISNUMBER(Table2[[#This Row],[Date_of_Treatment_Start]]),"correct","incorrect")</f>
        <v>incorrect</v>
      </c>
      <c r="U66" t="str">
        <f>IF(ISNUMBER(Table2[[#This Row],[Date_of_Surgery]]),"correct","incorrect")</f>
        <v>incorrect</v>
      </c>
      <c r="V66" t="str">
        <f>IF(ISNUMBER(Table2[[#This Row],[Date_of_Discharge]]),"correct","incorrect")</f>
        <v>incorrect</v>
      </c>
      <c r="W66" t="str">
        <f>IF(ISNUMBER(Table2[[#This Row],[Follow_up_Visit]]),"correct","incorrect")</f>
        <v>incorrect</v>
      </c>
      <c r="AC66" t="str">
        <f>LOOKUP(C66,{20,30,40,50,60,70,80,90},{"20-29","30-39","40-49","50-59","60-69","70-79","80-89"})</f>
        <v>30-39</v>
      </c>
    </row>
    <row r="67" spans="1:29" x14ac:dyDescent="0.2">
      <c r="A67" t="s">
        <v>499</v>
      </c>
      <c r="B67" t="s">
        <v>500</v>
      </c>
      <c r="C67">
        <v>28</v>
      </c>
      <c r="D67" t="s">
        <v>146</v>
      </c>
      <c r="E67" t="s">
        <v>147</v>
      </c>
      <c r="F67" t="s">
        <v>198</v>
      </c>
      <c r="G67" t="s">
        <v>501</v>
      </c>
      <c r="H67" t="s">
        <v>502</v>
      </c>
      <c r="I67">
        <v>20230916</v>
      </c>
      <c r="J67" t="s">
        <v>161</v>
      </c>
      <c r="M67" t="b">
        <f>COUNTIF(Table2[Patient_ID],Table2[[#This Row],[Patient_ID]])&gt;1</f>
        <v>0</v>
      </c>
      <c r="N67" t="b">
        <f>COUNTIF(Table2[Name],Table2[[#This Row],[Name]])&gt;1</f>
        <v>0</v>
      </c>
      <c r="O6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7" t="str">
        <f t="shared" ref="P67:P130" si="1">IF(TRIM(O67)="","Unknown",O67)</f>
        <v>Unknown</v>
      </c>
      <c r="Q67" t="b">
        <f>ISNUMBER(Table2[[#This Row],[Age]])</f>
        <v>1</v>
      </c>
      <c r="R67" t="str">
        <f>IF(ISNUMBER(Table2[[#This Row],[Date_of_Admission]]),"correct","incorrect")</f>
        <v>incorrect</v>
      </c>
      <c r="S67" t="str">
        <f>IF(ISNUMBER(Table2[[#This Row],[Date_of_Diagnosis]]),"correct","incorrect")</f>
        <v>incorrect</v>
      </c>
      <c r="T67" t="str">
        <f>IF(ISNUMBER(Table2[[#This Row],[Date_of_Treatment_Start]]),"correct","incorrect")</f>
        <v>incorrect</v>
      </c>
      <c r="U67" t="str">
        <f>IF(ISNUMBER(Table2[[#This Row],[Date_of_Surgery]]),"correct","incorrect")</f>
        <v>incorrect</v>
      </c>
      <c r="V67" t="str">
        <f>IF(ISNUMBER(Table2[[#This Row],[Date_of_Discharge]]),"correct","incorrect")</f>
        <v>correct</v>
      </c>
      <c r="W67" t="str">
        <f>IF(ISNUMBER(Table2[[#This Row],[Follow_up_Visit]]),"correct","incorrect")</f>
        <v>incorrect</v>
      </c>
      <c r="AC67" t="str">
        <f>LOOKUP(C67,{20,30,40,50,60,70,80,90},{"20-29","30-39","40-49","50-59","60-69","70-79","80-89"})</f>
        <v>20-29</v>
      </c>
    </row>
    <row r="68" spans="1:29" x14ac:dyDescent="0.2">
      <c r="A68" t="s">
        <v>503</v>
      </c>
      <c r="B68" t="s">
        <v>504</v>
      </c>
      <c r="C68">
        <v>43</v>
      </c>
      <c r="D68" t="s">
        <v>160</v>
      </c>
      <c r="E68" t="s">
        <v>505</v>
      </c>
      <c r="F68" t="s">
        <v>506</v>
      </c>
      <c r="G68" t="s">
        <v>193</v>
      </c>
      <c r="H68" t="s">
        <v>507</v>
      </c>
      <c r="I68" t="s">
        <v>508</v>
      </c>
      <c r="J68" t="s">
        <v>937</v>
      </c>
      <c r="M68" t="b">
        <f>COUNTIF(Table2[Patient_ID],Table2[[#This Row],[Patient_ID]])&gt;1</f>
        <v>0</v>
      </c>
      <c r="N68" t="b">
        <f>COUNTIF(Table2[Name],Table2[[#This Row],[Name]])&gt;1</f>
        <v>0</v>
      </c>
      <c r="O6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8" t="str">
        <f t="shared" si="1"/>
        <v>Unknown</v>
      </c>
      <c r="Q68" t="b">
        <f>ISNUMBER(Table2[[#This Row],[Age]])</f>
        <v>1</v>
      </c>
      <c r="R68" t="str">
        <f>IF(ISNUMBER(Table2[[#This Row],[Date_of_Admission]]),"correct","incorrect")</f>
        <v>incorrect</v>
      </c>
      <c r="S68" t="str">
        <f>IF(ISNUMBER(Table2[[#This Row],[Date_of_Diagnosis]]),"correct","incorrect")</f>
        <v>incorrect</v>
      </c>
      <c r="T68" t="str">
        <f>IF(ISNUMBER(Table2[[#This Row],[Date_of_Treatment_Start]]),"correct","incorrect")</f>
        <v>incorrect</v>
      </c>
      <c r="U68" t="str">
        <f>IF(ISNUMBER(Table2[[#This Row],[Date_of_Surgery]]),"correct","incorrect")</f>
        <v>incorrect</v>
      </c>
      <c r="V68" t="str">
        <f>IF(ISNUMBER(Table2[[#This Row],[Date_of_Discharge]]),"correct","incorrect")</f>
        <v>incorrect</v>
      </c>
      <c r="W68" t="str">
        <f>IF(ISNUMBER(Table2[[#This Row],[Follow_up_Visit]]),"correct","incorrect")</f>
        <v>incorrect</v>
      </c>
      <c r="AC68" t="str">
        <f>LOOKUP(C68,{20,30,40,50,60,70,80,90},{"20-29","30-39","40-49","50-59","60-69","70-79","80-89"})</f>
        <v>40-49</v>
      </c>
    </row>
    <row r="69" spans="1:29" x14ac:dyDescent="0.2">
      <c r="A69" t="s">
        <v>509</v>
      </c>
      <c r="B69" t="s">
        <v>510</v>
      </c>
      <c r="C69">
        <v>72</v>
      </c>
      <c r="D69" t="s">
        <v>146</v>
      </c>
      <c r="E69" t="s">
        <v>511</v>
      </c>
      <c r="F69" t="s">
        <v>512</v>
      </c>
      <c r="G69" t="s">
        <v>513</v>
      </c>
      <c r="H69" t="s">
        <v>507</v>
      </c>
      <c r="I69" t="s">
        <v>198</v>
      </c>
      <c r="J69" t="s">
        <v>514</v>
      </c>
      <c r="M69" t="b">
        <f>COUNTIF(Table2[Patient_ID],Table2[[#This Row],[Patient_ID]])&gt;1</f>
        <v>0</v>
      </c>
      <c r="N69" t="b">
        <f>COUNTIF(Table2[Name],Table2[[#This Row],[Name]])&gt;1</f>
        <v>0</v>
      </c>
      <c r="O6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69" t="str">
        <f t="shared" si="1"/>
        <v>Unknown</v>
      </c>
      <c r="Q69" t="b">
        <f>ISNUMBER(Table2[[#This Row],[Age]])</f>
        <v>1</v>
      </c>
      <c r="R69" t="str">
        <f>IF(ISNUMBER(Table2[[#This Row],[Date_of_Admission]]),"correct","incorrect")</f>
        <v>incorrect</v>
      </c>
      <c r="S69" t="str">
        <f>IF(ISNUMBER(Table2[[#This Row],[Date_of_Diagnosis]]),"correct","incorrect")</f>
        <v>incorrect</v>
      </c>
      <c r="T69" t="str">
        <f>IF(ISNUMBER(Table2[[#This Row],[Date_of_Treatment_Start]]),"correct","incorrect")</f>
        <v>incorrect</v>
      </c>
      <c r="U69" t="str">
        <f>IF(ISNUMBER(Table2[[#This Row],[Date_of_Surgery]]),"correct","incorrect")</f>
        <v>incorrect</v>
      </c>
      <c r="V69" t="str">
        <f>IF(ISNUMBER(Table2[[#This Row],[Date_of_Discharge]]),"correct","incorrect")</f>
        <v>incorrect</v>
      </c>
      <c r="W69" t="str">
        <f>IF(ISNUMBER(Table2[[#This Row],[Follow_up_Visit]]),"correct","incorrect")</f>
        <v>incorrect</v>
      </c>
      <c r="AC69" t="str">
        <f>LOOKUP(C69,{20,30,40,50,60,70,80,90},{"20-29","30-39","40-49","50-59","60-69","70-79","80-89"})</f>
        <v>70-79</v>
      </c>
    </row>
    <row r="70" spans="1:29" x14ac:dyDescent="0.2">
      <c r="A70" t="s">
        <v>515</v>
      </c>
      <c r="B70" t="s">
        <v>516</v>
      </c>
      <c r="C70">
        <v>21</v>
      </c>
      <c r="D70" t="s">
        <v>160</v>
      </c>
      <c r="E70" t="s">
        <v>147</v>
      </c>
      <c r="F70" t="s">
        <v>517</v>
      </c>
      <c r="G70">
        <v>45403</v>
      </c>
      <c r="H70" t="s">
        <v>891</v>
      </c>
      <c r="I70" t="s">
        <v>518</v>
      </c>
      <c r="J70" t="s">
        <v>161</v>
      </c>
      <c r="M70" t="b">
        <f>COUNTIF(Table2[Patient_ID],Table2[[#This Row],[Patient_ID]])&gt;1</f>
        <v>0</v>
      </c>
      <c r="N70" t="b">
        <f>COUNTIF(Table2[Name],Table2[[#This Row],[Name]])&gt;1</f>
        <v>0</v>
      </c>
      <c r="O7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0" t="str">
        <f t="shared" si="1"/>
        <v>Unknown</v>
      </c>
      <c r="Q70" t="b">
        <f>ISNUMBER(Table2[[#This Row],[Age]])</f>
        <v>1</v>
      </c>
      <c r="R70" t="str">
        <f>IF(ISNUMBER(Table2[[#This Row],[Date_of_Admission]]),"correct","incorrect")</f>
        <v>incorrect</v>
      </c>
      <c r="S70" t="str">
        <f>IF(ISNUMBER(Table2[[#This Row],[Date_of_Diagnosis]]),"correct","incorrect")</f>
        <v>incorrect</v>
      </c>
      <c r="T70" t="str">
        <f>IF(ISNUMBER(Table2[[#This Row],[Date_of_Treatment_Start]]),"correct","incorrect")</f>
        <v>correct</v>
      </c>
      <c r="U70" t="str">
        <f>IF(ISNUMBER(Table2[[#This Row],[Date_of_Surgery]]),"correct","incorrect")</f>
        <v>incorrect</v>
      </c>
      <c r="V70" t="str">
        <f>IF(ISNUMBER(Table2[[#This Row],[Date_of_Discharge]]),"correct","incorrect")</f>
        <v>incorrect</v>
      </c>
      <c r="W70" t="str">
        <f>IF(ISNUMBER(Table2[[#This Row],[Follow_up_Visit]]),"correct","incorrect")</f>
        <v>incorrect</v>
      </c>
      <c r="AC70" t="str">
        <f>LOOKUP(C70,{20,30,40,50,60,70,80,90},{"20-29","30-39","40-49","50-59","60-69","70-79","80-89"})</f>
        <v>20-29</v>
      </c>
    </row>
    <row r="71" spans="1:29" x14ac:dyDescent="0.2">
      <c r="A71" t="s">
        <v>519</v>
      </c>
      <c r="B71" t="s">
        <v>520</v>
      </c>
      <c r="C71">
        <v>79</v>
      </c>
      <c r="D71" t="s">
        <v>146</v>
      </c>
      <c r="E71" t="s">
        <v>521</v>
      </c>
      <c r="F71" t="s">
        <v>522</v>
      </c>
      <c r="G71">
        <v>45450</v>
      </c>
      <c r="H71" t="s">
        <v>891</v>
      </c>
      <c r="I71" t="s">
        <v>523</v>
      </c>
      <c r="J71">
        <v>44927</v>
      </c>
      <c r="M71" t="b">
        <f>COUNTIF(Table2[Patient_ID],Table2[[#This Row],[Patient_ID]])&gt;1</f>
        <v>0</v>
      </c>
      <c r="N71" t="b">
        <f>COUNTIF(Table2[Name],Table2[[#This Row],[Name]])&gt;1</f>
        <v>0</v>
      </c>
      <c r="O7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1" t="str">
        <f t="shared" si="1"/>
        <v>Unknown</v>
      </c>
      <c r="Q71" t="b">
        <f>ISNUMBER(Table2[[#This Row],[Age]])</f>
        <v>1</v>
      </c>
      <c r="R71" t="str">
        <f>IF(ISNUMBER(Table2[[#This Row],[Date_of_Admission]]),"correct","incorrect")</f>
        <v>incorrect</v>
      </c>
      <c r="S71" t="str">
        <f>IF(ISNUMBER(Table2[[#This Row],[Date_of_Diagnosis]]),"correct","incorrect")</f>
        <v>incorrect</v>
      </c>
      <c r="T71" t="str">
        <f>IF(ISNUMBER(Table2[[#This Row],[Date_of_Treatment_Start]]),"correct","incorrect")</f>
        <v>correct</v>
      </c>
      <c r="U71" t="str">
        <f>IF(ISNUMBER(Table2[[#This Row],[Date_of_Surgery]]),"correct","incorrect")</f>
        <v>incorrect</v>
      </c>
      <c r="V71" t="str">
        <f>IF(ISNUMBER(Table2[[#This Row],[Date_of_Discharge]]),"correct","incorrect")</f>
        <v>incorrect</v>
      </c>
      <c r="W71" t="str">
        <f>IF(ISNUMBER(Table2[[#This Row],[Follow_up_Visit]]),"correct","incorrect")</f>
        <v>correct</v>
      </c>
      <c r="AC71" t="str">
        <f>LOOKUP(C71,{20,30,40,50,60,70,80,90},{"20-29","30-39","40-49","50-59","60-69","70-79","80-89"})</f>
        <v>70-79</v>
      </c>
    </row>
    <row r="72" spans="1:29" x14ac:dyDescent="0.2">
      <c r="A72" t="s">
        <v>524</v>
      </c>
      <c r="B72" t="s">
        <v>846</v>
      </c>
      <c r="C72">
        <v>63</v>
      </c>
      <c r="D72" t="s">
        <v>146</v>
      </c>
      <c r="E72" t="s">
        <v>525</v>
      </c>
      <c r="F72" t="s">
        <v>526</v>
      </c>
      <c r="G72" t="s">
        <v>527</v>
      </c>
      <c r="H72" t="s">
        <v>891</v>
      </c>
      <c r="J72" t="s">
        <v>939</v>
      </c>
      <c r="M72" t="b">
        <f>COUNTIF(Table2[Patient_ID],Table2[[#This Row],[Patient_ID]])&gt;1</f>
        <v>0</v>
      </c>
      <c r="N72" t="b">
        <f>COUNTIF(Table2[Name],Table2[[#This Row],[Name]])&gt;1</f>
        <v>0</v>
      </c>
      <c r="O7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72" t="str">
        <f t="shared" si="1"/>
        <v xml:space="preserve">      )              </v>
      </c>
      <c r="Q72" t="b">
        <f>ISNUMBER(Table2[[#This Row],[Age]])</f>
        <v>1</v>
      </c>
      <c r="R72" t="str">
        <f>IF(ISNUMBER(Table2[[#This Row],[Date_of_Admission]]),"correct","incorrect")</f>
        <v>incorrect</v>
      </c>
      <c r="S72" t="str">
        <f>IF(ISNUMBER(Table2[[#This Row],[Date_of_Diagnosis]]),"correct","incorrect")</f>
        <v>incorrect</v>
      </c>
      <c r="T72" t="str">
        <f>IF(ISNUMBER(Table2[[#This Row],[Date_of_Treatment_Start]]),"correct","incorrect")</f>
        <v>incorrect</v>
      </c>
      <c r="U72" t="str">
        <f>IF(ISNUMBER(Table2[[#This Row],[Date_of_Surgery]]),"correct","incorrect")</f>
        <v>incorrect</v>
      </c>
      <c r="V72" t="str">
        <f>IF(ISNUMBER(Table2[[#This Row],[Date_of_Discharge]]),"correct","incorrect")</f>
        <v>incorrect</v>
      </c>
      <c r="W72" t="str">
        <f>IF(ISNUMBER(Table2[[#This Row],[Follow_up_Visit]]),"correct","incorrect")</f>
        <v>incorrect</v>
      </c>
      <c r="AC72" t="str">
        <f>LOOKUP(C72,{20,30,40,50,60,70,80,90},{"20-29","30-39","40-49","50-59","60-69","70-79","80-89"})</f>
        <v>60-69</v>
      </c>
    </row>
    <row r="73" spans="1:29" x14ac:dyDescent="0.2">
      <c r="A73" t="s">
        <v>528</v>
      </c>
      <c r="B73" t="s">
        <v>529</v>
      </c>
      <c r="C73">
        <v>27</v>
      </c>
      <c r="D73" t="s">
        <v>146</v>
      </c>
      <c r="E73" t="s">
        <v>530</v>
      </c>
      <c r="F73" t="s">
        <v>531</v>
      </c>
      <c r="G73" t="s">
        <v>532</v>
      </c>
      <c r="H73" t="s">
        <v>891</v>
      </c>
      <c r="I73" t="s">
        <v>198</v>
      </c>
      <c r="J73" t="s">
        <v>951</v>
      </c>
      <c r="M73" t="b">
        <f>COUNTIF(Table2[Patient_ID],Table2[[#This Row],[Patient_ID]])&gt;1</f>
        <v>0</v>
      </c>
      <c r="N73" t="b">
        <f>COUNTIF(Table2[Name],Table2[[#This Row],[Name]])&gt;1</f>
        <v>0</v>
      </c>
      <c r="O7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3" t="str">
        <f t="shared" si="1"/>
        <v>Unknown</v>
      </c>
      <c r="Q73" t="b">
        <f>ISNUMBER(Table2[[#This Row],[Age]])</f>
        <v>1</v>
      </c>
      <c r="R73" t="str">
        <f>IF(ISNUMBER(Table2[[#This Row],[Date_of_Admission]]),"correct","incorrect")</f>
        <v>incorrect</v>
      </c>
      <c r="S73" t="str">
        <f>IF(ISNUMBER(Table2[[#This Row],[Date_of_Diagnosis]]),"correct","incorrect")</f>
        <v>incorrect</v>
      </c>
      <c r="T73" t="str">
        <f>IF(ISNUMBER(Table2[[#This Row],[Date_of_Treatment_Start]]),"correct","incorrect")</f>
        <v>incorrect</v>
      </c>
      <c r="U73" t="str">
        <f>IF(ISNUMBER(Table2[[#This Row],[Date_of_Surgery]]),"correct","incorrect")</f>
        <v>incorrect</v>
      </c>
      <c r="V73" t="str">
        <f>IF(ISNUMBER(Table2[[#This Row],[Date_of_Discharge]]),"correct","incorrect")</f>
        <v>incorrect</v>
      </c>
      <c r="W73" t="str">
        <f>IF(ISNUMBER(Table2[[#This Row],[Follow_up_Visit]]),"correct","incorrect")</f>
        <v>incorrect</v>
      </c>
      <c r="AC73" t="str">
        <f>LOOKUP(C73,{20,30,40,50,60,70,80,90},{"20-29","30-39","40-49","50-59","60-69","70-79","80-89"})</f>
        <v>20-29</v>
      </c>
    </row>
    <row r="74" spans="1:29" x14ac:dyDescent="0.2">
      <c r="A74" t="s">
        <v>533</v>
      </c>
      <c r="B74" t="s">
        <v>534</v>
      </c>
      <c r="C74">
        <v>66</v>
      </c>
      <c r="D74" t="s">
        <v>160</v>
      </c>
      <c r="E74" t="s">
        <v>535</v>
      </c>
      <c r="F74" t="s">
        <v>198</v>
      </c>
      <c r="G74" t="s">
        <v>536</v>
      </c>
      <c r="H74">
        <v>42889</v>
      </c>
      <c r="J74">
        <v>44736</v>
      </c>
      <c r="M74" t="b">
        <f>COUNTIF(Table2[Patient_ID],Table2[[#This Row],[Patient_ID]])&gt;1</f>
        <v>0</v>
      </c>
      <c r="N74" t="b">
        <f>COUNTIF(Table2[Name],Table2[[#This Row],[Name]])&gt;1</f>
        <v>0</v>
      </c>
      <c r="O7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4" t="str">
        <f t="shared" si="1"/>
        <v>Unknown</v>
      </c>
      <c r="Q74" t="b">
        <f>ISNUMBER(Table2[[#This Row],[Age]])</f>
        <v>1</v>
      </c>
      <c r="R74" t="str">
        <f>IF(ISNUMBER(Table2[[#This Row],[Date_of_Admission]]),"correct","incorrect")</f>
        <v>incorrect</v>
      </c>
      <c r="S74" t="str">
        <f>IF(ISNUMBER(Table2[[#This Row],[Date_of_Diagnosis]]),"correct","incorrect")</f>
        <v>incorrect</v>
      </c>
      <c r="T74" t="str">
        <f>IF(ISNUMBER(Table2[[#This Row],[Date_of_Treatment_Start]]),"correct","incorrect")</f>
        <v>incorrect</v>
      </c>
      <c r="U74" t="str">
        <f>IF(ISNUMBER(Table2[[#This Row],[Date_of_Surgery]]),"correct","incorrect")</f>
        <v>correct</v>
      </c>
      <c r="V74" t="str">
        <f>IF(ISNUMBER(Table2[[#This Row],[Date_of_Discharge]]),"correct","incorrect")</f>
        <v>incorrect</v>
      </c>
      <c r="W74" t="str">
        <f>IF(ISNUMBER(Table2[[#This Row],[Follow_up_Visit]]),"correct","incorrect")</f>
        <v>correct</v>
      </c>
      <c r="AC74" t="str">
        <f>LOOKUP(C74,{20,30,40,50,60,70,80,90},{"20-29","30-39","40-49","50-59","60-69","70-79","80-89"})</f>
        <v>60-69</v>
      </c>
    </row>
    <row r="75" spans="1:29" x14ac:dyDescent="0.2">
      <c r="A75" t="s">
        <v>537</v>
      </c>
      <c r="B75" t="s">
        <v>538</v>
      </c>
      <c r="C75">
        <v>54</v>
      </c>
      <c r="D75" t="s">
        <v>160</v>
      </c>
      <c r="E75" t="s">
        <v>539</v>
      </c>
      <c r="F75" t="s">
        <v>343</v>
      </c>
      <c r="G75" t="s">
        <v>540</v>
      </c>
      <c r="H75" t="s">
        <v>541</v>
      </c>
      <c r="I75" t="s">
        <v>542</v>
      </c>
      <c r="J75">
        <v>44927</v>
      </c>
      <c r="M75" t="b">
        <f>COUNTIF(Table2[Patient_ID],Table2[[#This Row],[Patient_ID]])&gt;1</f>
        <v>0</v>
      </c>
      <c r="N75" t="b">
        <f>COUNTIF(Table2[Name],Table2[[#This Row],[Name]])&gt;1</f>
        <v>0</v>
      </c>
      <c r="O7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5" t="str">
        <f t="shared" si="1"/>
        <v>Unknown</v>
      </c>
      <c r="Q75" t="b">
        <f>ISNUMBER(Table2[[#This Row],[Age]])</f>
        <v>1</v>
      </c>
      <c r="R75" t="str">
        <f>IF(ISNUMBER(Table2[[#This Row],[Date_of_Admission]]),"correct","incorrect")</f>
        <v>incorrect</v>
      </c>
      <c r="S75" t="str">
        <f>IF(ISNUMBER(Table2[[#This Row],[Date_of_Diagnosis]]),"correct","incorrect")</f>
        <v>incorrect</v>
      </c>
      <c r="T75" t="str">
        <f>IF(ISNUMBER(Table2[[#This Row],[Date_of_Treatment_Start]]),"correct","incorrect")</f>
        <v>incorrect</v>
      </c>
      <c r="U75" t="str">
        <f>IF(ISNUMBER(Table2[[#This Row],[Date_of_Surgery]]),"correct","incorrect")</f>
        <v>incorrect</v>
      </c>
      <c r="V75" t="str">
        <f>IF(ISNUMBER(Table2[[#This Row],[Date_of_Discharge]]),"correct","incorrect")</f>
        <v>incorrect</v>
      </c>
      <c r="W75" t="str">
        <f>IF(ISNUMBER(Table2[[#This Row],[Follow_up_Visit]]),"correct","incorrect")</f>
        <v>correct</v>
      </c>
      <c r="AC75" t="str">
        <f>LOOKUP(C75,{20,30,40,50,60,70,80,90},{"20-29","30-39","40-49","50-59","60-69","70-79","80-89"})</f>
        <v>50-59</v>
      </c>
    </row>
    <row r="76" spans="1:29" x14ac:dyDescent="0.2">
      <c r="A76" t="s">
        <v>543</v>
      </c>
      <c r="B76" t="s">
        <v>544</v>
      </c>
      <c r="C76">
        <v>55</v>
      </c>
      <c r="D76" t="s">
        <v>160</v>
      </c>
      <c r="E76" t="s">
        <v>545</v>
      </c>
      <c r="F76">
        <v>45476</v>
      </c>
      <c r="G76" t="s">
        <v>546</v>
      </c>
      <c r="H76" t="s">
        <v>335</v>
      </c>
      <c r="I76" t="s">
        <v>547</v>
      </c>
      <c r="J76" t="s">
        <v>939</v>
      </c>
      <c r="M76" t="b">
        <f>COUNTIF(Table2[Patient_ID],Table2[[#This Row],[Patient_ID]])&gt;1</f>
        <v>0</v>
      </c>
      <c r="N76" t="b">
        <f>COUNTIF(Table2[Name],Table2[[#This Row],[Name]])&gt;1</f>
        <v>0</v>
      </c>
      <c r="O7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6" t="str">
        <f t="shared" si="1"/>
        <v>Unknown</v>
      </c>
      <c r="Q76" t="b">
        <f>ISNUMBER(Table2[[#This Row],[Age]])</f>
        <v>1</v>
      </c>
      <c r="R76" t="str">
        <f>IF(ISNUMBER(Table2[[#This Row],[Date_of_Admission]]),"correct","incorrect")</f>
        <v>incorrect</v>
      </c>
      <c r="S76" t="str">
        <f>IF(ISNUMBER(Table2[[#This Row],[Date_of_Diagnosis]]),"correct","incorrect")</f>
        <v>correct</v>
      </c>
      <c r="T76" t="str">
        <f>IF(ISNUMBER(Table2[[#This Row],[Date_of_Treatment_Start]]),"correct","incorrect")</f>
        <v>incorrect</v>
      </c>
      <c r="U76" t="str">
        <f>IF(ISNUMBER(Table2[[#This Row],[Date_of_Surgery]]),"correct","incorrect")</f>
        <v>incorrect</v>
      </c>
      <c r="V76" t="str">
        <f>IF(ISNUMBER(Table2[[#This Row],[Date_of_Discharge]]),"correct","incorrect")</f>
        <v>incorrect</v>
      </c>
      <c r="W76" t="str">
        <f>IF(ISNUMBER(Table2[[#This Row],[Follow_up_Visit]]),"correct","incorrect")</f>
        <v>incorrect</v>
      </c>
      <c r="AC76" t="str">
        <f>LOOKUP(C76,{20,30,40,50,60,70,80,90},{"20-29","30-39","40-49","50-59","60-69","70-79","80-89"})</f>
        <v>50-59</v>
      </c>
    </row>
    <row r="77" spans="1:29" x14ac:dyDescent="0.2">
      <c r="A77" t="s">
        <v>548</v>
      </c>
      <c r="B77" t="s">
        <v>549</v>
      </c>
      <c r="C77">
        <v>69</v>
      </c>
      <c r="D77" t="s">
        <v>160</v>
      </c>
      <c r="E77" t="s">
        <v>398</v>
      </c>
      <c r="F77" t="s">
        <v>550</v>
      </c>
      <c r="G77" t="s">
        <v>551</v>
      </c>
      <c r="H77" t="s">
        <v>335</v>
      </c>
      <c r="I77" t="s">
        <v>552</v>
      </c>
      <c r="J77">
        <v>45406</v>
      </c>
      <c r="M77" t="b">
        <f>COUNTIF(Table2[Patient_ID],Table2[[#This Row],[Patient_ID]])&gt;1</f>
        <v>0</v>
      </c>
      <c r="N77" t="b">
        <f>COUNTIF(Table2[Name],Table2[[#This Row],[Name]])&gt;1</f>
        <v>0</v>
      </c>
      <c r="O7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7" t="str">
        <f t="shared" si="1"/>
        <v>Unknown</v>
      </c>
      <c r="Q77" t="b">
        <f>ISNUMBER(Table2[[#This Row],[Age]])</f>
        <v>1</v>
      </c>
      <c r="R77" t="str">
        <f>IF(ISNUMBER(Table2[[#This Row],[Date_of_Admission]]),"correct","incorrect")</f>
        <v>incorrect</v>
      </c>
      <c r="S77" t="str">
        <f>IF(ISNUMBER(Table2[[#This Row],[Date_of_Diagnosis]]),"correct","incorrect")</f>
        <v>incorrect</v>
      </c>
      <c r="T77" t="str">
        <f>IF(ISNUMBER(Table2[[#This Row],[Date_of_Treatment_Start]]),"correct","incorrect")</f>
        <v>incorrect</v>
      </c>
      <c r="U77" t="str">
        <f>IF(ISNUMBER(Table2[[#This Row],[Date_of_Surgery]]),"correct","incorrect")</f>
        <v>incorrect</v>
      </c>
      <c r="V77" t="str">
        <f>IF(ISNUMBER(Table2[[#This Row],[Date_of_Discharge]]),"correct","incorrect")</f>
        <v>incorrect</v>
      </c>
      <c r="W77" t="str">
        <f>IF(ISNUMBER(Table2[[#This Row],[Follow_up_Visit]]),"correct","incorrect")</f>
        <v>correct</v>
      </c>
      <c r="AC77" t="str">
        <f>LOOKUP(C77,{20,30,40,50,60,70,80,90},{"20-29","30-39","40-49","50-59","60-69","70-79","80-89"})</f>
        <v>60-69</v>
      </c>
    </row>
    <row r="78" spans="1:29" x14ac:dyDescent="0.2">
      <c r="A78" t="s">
        <v>553</v>
      </c>
      <c r="B78" t="s">
        <v>554</v>
      </c>
      <c r="C78">
        <v>23</v>
      </c>
      <c r="D78" t="s">
        <v>146</v>
      </c>
      <c r="E78" t="s">
        <v>555</v>
      </c>
      <c r="F78" t="s">
        <v>556</v>
      </c>
      <c r="G78" t="s">
        <v>557</v>
      </c>
      <c r="H78" t="s">
        <v>335</v>
      </c>
      <c r="I78" t="s">
        <v>558</v>
      </c>
      <c r="M78" t="b">
        <f>COUNTIF(Table2[Patient_ID],Table2[[#This Row],[Patient_ID]])&gt;1</f>
        <v>0</v>
      </c>
      <c r="N78" t="b">
        <f>COUNTIF(Table2[Name],Table2[[#This Row],[Name]])&gt;1</f>
        <v>0</v>
      </c>
      <c r="O7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8" t="str">
        <f t="shared" si="1"/>
        <v>Unknown</v>
      </c>
      <c r="Q78" t="b">
        <f>ISNUMBER(Table2[[#This Row],[Age]])</f>
        <v>1</v>
      </c>
      <c r="R78" t="str">
        <f>IF(ISNUMBER(Table2[[#This Row],[Date_of_Admission]]),"correct","incorrect")</f>
        <v>incorrect</v>
      </c>
      <c r="S78" t="str">
        <f>IF(ISNUMBER(Table2[[#This Row],[Date_of_Diagnosis]]),"correct","incorrect")</f>
        <v>incorrect</v>
      </c>
      <c r="T78" t="str">
        <f>IF(ISNUMBER(Table2[[#This Row],[Date_of_Treatment_Start]]),"correct","incorrect")</f>
        <v>incorrect</v>
      </c>
      <c r="U78" t="str">
        <f>IF(ISNUMBER(Table2[[#This Row],[Date_of_Surgery]]),"correct","incorrect")</f>
        <v>incorrect</v>
      </c>
      <c r="V78" t="str">
        <f>IF(ISNUMBER(Table2[[#This Row],[Date_of_Discharge]]),"correct","incorrect")</f>
        <v>incorrect</v>
      </c>
      <c r="W78" t="str">
        <f>IF(ISNUMBER(Table2[[#This Row],[Follow_up_Visit]]),"correct","incorrect")</f>
        <v>incorrect</v>
      </c>
      <c r="AC78" t="str">
        <f>LOOKUP(C78,{20,30,40,50,60,70,80,90},{"20-29","30-39","40-49","50-59","60-69","70-79","80-89"})</f>
        <v>20-29</v>
      </c>
    </row>
    <row r="79" spans="1:29" x14ac:dyDescent="0.2">
      <c r="A79" t="s">
        <v>559</v>
      </c>
      <c r="B79" t="s">
        <v>560</v>
      </c>
      <c r="C79">
        <v>22</v>
      </c>
      <c r="D79" t="s">
        <v>146</v>
      </c>
      <c r="E79" t="s">
        <v>561</v>
      </c>
      <c r="F79" t="s">
        <v>329</v>
      </c>
      <c r="G79" t="s">
        <v>562</v>
      </c>
      <c r="H79" t="s">
        <v>335</v>
      </c>
      <c r="I79" t="s">
        <v>198</v>
      </c>
      <c r="J79" t="s">
        <v>150</v>
      </c>
      <c r="M79" t="b">
        <f>COUNTIF(Table2[Patient_ID],Table2[[#This Row],[Patient_ID]])&gt;1</f>
        <v>0</v>
      </c>
      <c r="N79" t="b">
        <f>COUNTIF(Table2[Name],Table2[[#This Row],[Name]])&gt;1</f>
        <v>0</v>
      </c>
      <c r="O7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79" t="str">
        <f t="shared" si="1"/>
        <v>Unknown</v>
      </c>
      <c r="Q79" t="b">
        <f>ISNUMBER(Table2[[#This Row],[Age]])</f>
        <v>1</v>
      </c>
      <c r="R79" t="str">
        <f>IF(ISNUMBER(Table2[[#This Row],[Date_of_Admission]]),"correct","incorrect")</f>
        <v>incorrect</v>
      </c>
      <c r="S79" t="str">
        <f>IF(ISNUMBER(Table2[[#This Row],[Date_of_Diagnosis]]),"correct","incorrect")</f>
        <v>incorrect</v>
      </c>
      <c r="T79" t="str">
        <f>IF(ISNUMBER(Table2[[#This Row],[Date_of_Treatment_Start]]),"correct","incorrect")</f>
        <v>incorrect</v>
      </c>
      <c r="U79" t="str">
        <f>IF(ISNUMBER(Table2[[#This Row],[Date_of_Surgery]]),"correct","incorrect")</f>
        <v>incorrect</v>
      </c>
      <c r="V79" t="str">
        <f>IF(ISNUMBER(Table2[[#This Row],[Date_of_Discharge]]),"correct","incorrect")</f>
        <v>incorrect</v>
      </c>
      <c r="W79" t="str">
        <f>IF(ISNUMBER(Table2[[#This Row],[Follow_up_Visit]]),"correct","incorrect")</f>
        <v>incorrect</v>
      </c>
      <c r="AC79" t="str">
        <f>LOOKUP(C79,{20,30,40,50,60,70,80,90},{"20-29","30-39","40-49","50-59","60-69","70-79","80-89"})</f>
        <v>20-29</v>
      </c>
    </row>
    <row r="80" spans="1:29" x14ac:dyDescent="0.2">
      <c r="A80" t="s">
        <v>563</v>
      </c>
      <c r="B80" t="s">
        <v>847</v>
      </c>
      <c r="C80">
        <v>21</v>
      </c>
      <c r="D80" t="s">
        <v>146</v>
      </c>
      <c r="E80" t="s">
        <v>564</v>
      </c>
      <c r="F80" t="s">
        <v>565</v>
      </c>
      <c r="G80" t="s">
        <v>566</v>
      </c>
      <c r="H80" t="s">
        <v>335</v>
      </c>
      <c r="I80" t="s">
        <v>567</v>
      </c>
      <c r="J80" t="s">
        <v>568</v>
      </c>
      <c r="M80" t="b">
        <f>COUNTIF(Table2[Patient_ID],Table2[[#This Row],[Patient_ID]])&gt;1</f>
        <v>0</v>
      </c>
      <c r="N80" t="b">
        <f>COUNTIF(Table2[Name],Table2[[#This Row],[Name]])&gt;1</f>
        <v>0</v>
      </c>
      <c r="O8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v>
      </c>
      <c r="P80" t="str">
        <f t="shared" si="1"/>
        <v xml:space="preserve">           $         </v>
      </c>
      <c r="Q80" t="b">
        <f>ISNUMBER(Table2[[#This Row],[Age]])</f>
        <v>1</v>
      </c>
      <c r="R80" t="str">
        <f>IF(ISNUMBER(Table2[[#This Row],[Date_of_Admission]]),"correct","incorrect")</f>
        <v>incorrect</v>
      </c>
      <c r="S80" t="str">
        <f>IF(ISNUMBER(Table2[[#This Row],[Date_of_Diagnosis]]),"correct","incorrect")</f>
        <v>incorrect</v>
      </c>
      <c r="T80" t="str">
        <f>IF(ISNUMBER(Table2[[#This Row],[Date_of_Treatment_Start]]),"correct","incorrect")</f>
        <v>incorrect</v>
      </c>
      <c r="U80" t="str">
        <f>IF(ISNUMBER(Table2[[#This Row],[Date_of_Surgery]]),"correct","incorrect")</f>
        <v>incorrect</v>
      </c>
      <c r="V80" t="str">
        <f>IF(ISNUMBER(Table2[[#This Row],[Date_of_Discharge]]),"correct","incorrect")</f>
        <v>incorrect</v>
      </c>
      <c r="W80" t="str">
        <f>IF(ISNUMBER(Table2[[#This Row],[Follow_up_Visit]]),"correct","incorrect")</f>
        <v>incorrect</v>
      </c>
      <c r="AC80" t="str">
        <f>LOOKUP(C80,{20,30,40,50,60,70,80,90},{"20-29","30-39","40-49","50-59","60-69","70-79","80-89"})</f>
        <v>20-29</v>
      </c>
    </row>
    <row r="81" spans="1:29" x14ac:dyDescent="0.2">
      <c r="A81" t="s">
        <v>569</v>
      </c>
      <c r="B81" t="s">
        <v>570</v>
      </c>
      <c r="C81">
        <v>25</v>
      </c>
      <c r="D81" t="s">
        <v>160</v>
      </c>
      <c r="E81">
        <v>45094</v>
      </c>
      <c r="F81">
        <v>45004</v>
      </c>
      <c r="G81" t="s">
        <v>571</v>
      </c>
      <c r="H81" t="s">
        <v>572</v>
      </c>
      <c r="I81" t="s">
        <v>573</v>
      </c>
      <c r="J81" t="s">
        <v>182</v>
      </c>
      <c r="M81" t="b">
        <f>COUNTIF(Table2[Patient_ID],Table2[[#This Row],[Patient_ID]])&gt;1</f>
        <v>0</v>
      </c>
      <c r="N81" t="b">
        <f>COUNTIF(Table2[Name],Table2[[#This Row],[Name]])&gt;1</f>
        <v>0</v>
      </c>
      <c r="O8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1" t="str">
        <f t="shared" si="1"/>
        <v>Unknown</v>
      </c>
      <c r="Q81" t="b">
        <f>ISNUMBER(Table2[[#This Row],[Age]])</f>
        <v>1</v>
      </c>
      <c r="R81" t="str">
        <f>IF(ISNUMBER(Table2[[#This Row],[Date_of_Admission]]),"correct","incorrect")</f>
        <v>correct</v>
      </c>
      <c r="S81" t="str">
        <f>IF(ISNUMBER(Table2[[#This Row],[Date_of_Diagnosis]]),"correct","incorrect")</f>
        <v>correct</v>
      </c>
      <c r="T81" t="str">
        <f>IF(ISNUMBER(Table2[[#This Row],[Date_of_Treatment_Start]]),"correct","incorrect")</f>
        <v>incorrect</v>
      </c>
      <c r="U81" t="str">
        <f>IF(ISNUMBER(Table2[[#This Row],[Date_of_Surgery]]),"correct","incorrect")</f>
        <v>incorrect</v>
      </c>
      <c r="V81" t="str">
        <f>IF(ISNUMBER(Table2[[#This Row],[Date_of_Discharge]]),"correct","incorrect")</f>
        <v>incorrect</v>
      </c>
      <c r="W81" t="str">
        <f>IF(ISNUMBER(Table2[[#This Row],[Follow_up_Visit]]),"correct","incorrect")</f>
        <v>incorrect</v>
      </c>
      <c r="AC81" t="str">
        <f>LOOKUP(C81,{20,30,40,50,60,70,80,90},{"20-29","30-39","40-49","50-59","60-69","70-79","80-89"})</f>
        <v>20-29</v>
      </c>
    </row>
    <row r="82" spans="1:29" x14ac:dyDescent="0.2">
      <c r="A82" t="s">
        <v>574</v>
      </c>
      <c r="B82" t="s">
        <v>575</v>
      </c>
      <c r="C82">
        <v>73</v>
      </c>
      <c r="D82" t="s">
        <v>146</v>
      </c>
      <c r="E82" t="s">
        <v>147</v>
      </c>
      <c r="F82" t="s">
        <v>576</v>
      </c>
      <c r="G82" t="s">
        <v>577</v>
      </c>
      <c r="H82" t="s">
        <v>578</v>
      </c>
      <c r="I82" t="s">
        <v>198</v>
      </c>
      <c r="J82" t="s">
        <v>223</v>
      </c>
      <c r="M82" t="b">
        <f>COUNTIF(Table2[Patient_ID],Table2[[#This Row],[Patient_ID]])&gt;1</f>
        <v>0</v>
      </c>
      <c r="N82" t="b">
        <f>COUNTIF(Table2[Name],Table2[[#This Row],[Name]])&gt;1</f>
        <v>0</v>
      </c>
      <c r="O8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2" t="str">
        <f t="shared" si="1"/>
        <v>Unknown</v>
      </c>
      <c r="Q82" t="b">
        <f>ISNUMBER(Table2[[#This Row],[Age]])</f>
        <v>1</v>
      </c>
      <c r="R82" t="str">
        <f>IF(ISNUMBER(Table2[[#This Row],[Date_of_Admission]]),"correct","incorrect")</f>
        <v>incorrect</v>
      </c>
      <c r="S82" t="str">
        <f>IF(ISNUMBER(Table2[[#This Row],[Date_of_Diagnosis]]),"correct","incorrect")</f>
        <v>incorrect</v>
      </c>
      <c r="T82" t="str">
        <f>IF(ISNUMBER(Table2[[#This Row],[Date_of_Treatment_Start]]),"correct","incorrect")</f>
        <v>incorrect</v>
      </c>
      <c r="U82" t="str">
        <f>IF(ISNUMBER(Table2[[#This Row],[Date_of_Surgery]]),"correct","incorrect")</f>
        <v>incorrect</v>
      </c>
      <c r="V82" t="str">
        <f>IF(ISNUMBER(Table2[[#This Row],[Date_of_Discharge]]),"correct","incorrect")</f>
        <v>incorrect</v>
      </c>
      <c r="W82" t="str">
        <f>IF(ISNUMBER(Table2[[#This Row],[Follow_up_Visit]]),"correct","incorrect")</f>
        <v>incorrect</v>
      </c>
      <c r="AC82" t="str">
        <f>LOOKUP(C82,{20,30,40,50,60,70,80,90},{"20-29","30-39","40-49","50-59","60-69","70-79","80-89"})</f>
        <v>70-79</v>
      </c>
    </row>
    <row r="83" spans="1:29" x14ac:dyDescent="0.2">
      <c r="A83" t="s">
        <v>579</v>
      </c>
      <c r="B83" t="s">
        <v>580</v>
      </c>
      <c r="C83">
        <v>23</v>
      </c>
      <c r="D83" t="s">
        <v>146</v>
      </c>
      <c r="E83" t="s">
        <v>198</v>
      </c>
      <c r="F83" t="s">
        <v>581</v>
      </c>
      <c r="G83" t="s">
        <v>582</v>
      </c>
      <c r="H83" t="s">
        <v>430</v>
      </c>
      <c r="I83">
        <v>20240125</v>
      </c>
      <c r="J83" t="s">
        <v>272</v>
      </c>
      <c r="M83" t="b">
        <f>COUNTIF(Table2[Patient_ID],Table2[[#This Row],[Patient_ID]])&gt;1</f>
        <v>0</v>
      </c>
      <c r="N83" t="b">
        <f>COUNTIF(Table2[Name],Table2[[#This Row],[Name]])&gt;1</f>
        <v>0</v>
      </c>
      <c r="O8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3" t="str">
        <f t="shared" si="1"/>
        <v>Unknown</v>
      </c>
      <c r="Q83" t="b">
        <f>ISNUMBER(Table2[[#This Row],[Age]])</f>
        <v>1</v>
      </c>
      <c r="R83" t="str">
        <f>IF(ISNUMBER(Table2[[#This Row],[Date_of_Admission]]),"correct","incorrect")</f>
        <v>incorrect</v>
      </c>
      <c r="S83" t="str">
        <f>IF(ISNUMBER(Table2[[#This Row],[Date_of_Diagnosis]]),"correct","incorrect")</f>
        <v>incorrect</v>
      </c>
      <c r="T83" t="str">
        <f>IF(ISNUMBER(Table2[[#This Row],[Date_of_Treatment_Start]]),"correct","incorrect")</f>
        <v>incorrect</v>
      </c>
      <c r="U83" t="str">
        <f>IF(ISNUMBER(Table2[[#This Row],[Date_of_Surgery]]),"correct","incorrect")</f>
        <v>incorrect</v>
      </c>
      <c r="V83" t="str">
        <f>IF(ISNUMBER(Table2[[#This Row],[Date_of_Discharge]]),"correct","incorrect")</f>
        <v>correct</v>
      </c>
      <c r="W83" t="str">
        <f>IF(ISNUMBER(Table2[[#This Row],[Follow_up_Visit]]),"correct","incorrect")</f>
        <v>incorrect</v>
      </c>
      <c r="AC83" t="str">
        <f>LOOKUP(C83,{20,30,40,50,60,70,80,90},{"20-29","30-39","40-49","50-59","60-69","70-79","80-89"})</f>
        <v>20-29</v>
      </c>
    </row>
    <row r="84" spans="1:29" x14ac:dyDescent="0.2">
      <c r="A84" t="s">
        <v>583</v>
      </c>
      <c r="B84" t="s">
        <v>584</v>
      </c>
      <c r="C84">
        <v>73</v>
      </c>
      <c r="D84" t="s">
        <v>146</v>
      </c>
      <c r="E84" t="s">
        <v>585</v>
      </c>
      <c r="F84" t="s">
        <v>526</v>
      </c>
      <c r="G84" t="s">
        <v>586</v>
      </c>
      <c r="H84" t="s">
        <v>430</v>
      </c>
      <c r="I84" t="s">
        <v>587</v>
      </c>
      <c r="J84">
        <v>20230809</v>
      </c>
      <c r="M84" t="b">
        <f>COUNTIF(Table2[Patient_ID],Table2[[#This Row],[Patient_ID]])&gt;1</f>
        <v>0</v>
      </c>
      <c r="N84" t="b">
        <f>COUNTIF(Table2[Name],Table2[[#This Row],[Name]])&gt;1</f>
        <v>0</v>
      </c>
      <c r="O8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4" t="str">
        <f t="shared" si="1"/>
        <v>Unknown</v>
      </c>
      <c r="Q84" t="b">
        <f>ISNUMBER(Table2[[#This Row],[Age]])</f>
        <v>1</v>
      </c>
      <c r="R84" t="str">
        <f>IF(ISNUMBER(Table2[[#This Row],[Date_of_Admission]]),"correct","incorrect")</f>
        <v>incorrect</v>
      </c>
      <c r="S84" t="str">
        <f>IF(ISNUMBER(Table2[[#This Row],[Date_of_Diagnosis]]),"correct","incorrect")</f>
        <v>incorrect</v>
      </c>
      <c r="T84" t="str">
        <f>IF(ISNUMBER(Table2[[#This Row],[Date_of_Treatment_Start]]),"correct","incorrect")</f>
        <v>incorrect</v>
      </c>
      <c r="U84" t="str">
        <f>IF(ISNUMBER(Table2[[#This Row],[Date_of_Surgery]]),"correct","incorrect")</f>
        <v>incorrect</v>
      </c>
      <c r="V84" t="str">
        <f>IF(ISNUMBER(Table2[[#This Row],[Date_of_Discharge]]),"correct","incorrect")</f>
        <v>incorrect</v>
      </c>
      <c r="W84" t="str">
        <f>IF(ISNUMBER(Table2[[#This Row],[Follow_up_Visit]]),"correct","incorrect")</f>
        <v>correct</v>
      </c>
      <c r="AC84" t="str">
        <f>LOOKUP(C84,{20,30,40,50,60,70,80,90},{"20-29","30-39","40-49","50-59","60-69","70-79","80-89"})</f>
        <v>70-79</v>
      </c>
    </row>
    <row r="85" spans="1:29" x14ac:dyDescent="0.2">
      <c r="A85" t="s">
        <v>588</v>
      </c>
      <c r="B85" t="s">
        <v>589</v>
      </c>
      <c r="C85">
        <v>82</v>
      </c>
      <c r="D85" t="s">
        <v>160</v>
      </c>
      <c r="E85" t="s">
        <v>590</v>
      </c>
      <c r="F85" t="s">
        <v>591</v>
      </c>
      <c r="G85" t="s">
        <v>592</v>
      </c>
      <c r="H85" t="s">
        <v>507</v>
      </c>
      <c r="J85">
        <v>45356</v>
      </c>
      <c r="M85" t="b">
        <f>COUNTIF(Table2[Patient_ID],Table2[[#This Row],[Patient_ID]])&gt;1</f>
        <v>0</v>
      </c>
      <c r="N85" t="b">
        <f>COUNTIF(Table2[Name],Table2[[#This Row],[Name]])&gt;1</f>
        <v>0</v>
      </c>
      <c r="O8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5" t="str">
        <f t="shared" si="1"/>
        <v>Unknown</v>
      </c>
      <c r="Q85" t="b">
        <f>ISNUMBER(Table2[[#This Row],[Age]])</f>
        <v>1</v>
      </c>
      <c r="R85" t="str">
        <f>IF(ISNUMBER(Table2[[#This Row],[Date_of_Admission]]),"correct","incorrect")</f>
        <v>incorrect</v>
      </c>
      <c r="S85" t="str">
        <f>IF(ISNUMBER(Table2[[#This Row],[Date_of_Diagnosis]]),"correct","incorrect")</f>
        <v>incorrect</v>
      </c>
      <c r="T85" t="str">
        <f>IF(ISNUMBER(Table2[[#This Row],[Date_of_Treatment_Start]]),"correct","incorrect")</f>
        <v>incorrect</v>
      </c>
      <c r="U85" t="str">
        <f>IF(ISNUMBER(Table2[[#This Row],[Date_of_Surgery]]),"correct","incorrect")</f>
        <v>incorrect</v>
      </c>
      <c r="V85" t="str">
        <f>IF(ISNUMBER(Table2[[#This Row],[Date_of_Discharge]]),"correct","incorrect")</f>
        <v>incorrect</v>
      </c>
      <c r="W85" t="str">
        <f>IF(ISNUMBER(Table2[[#This Row],[Follow_up_Visit]]),"correct","incorrect")</f>
        <v>correct</v>
      </c>
      <c r="AC85" t="str">
        <f>LOOKUP(C85,{20,30,40,50,60,70,80,90},{"20-29","30-39","40-49","50-59","60-69","70-79","80-89"})</f>
        <v>80-89</v>
      </c>
    </row>
    <row r="86" spans="1:29" x14ac:dyDescent="0.2">
      <c r="A86" t="s">
        <v>593</v>
      </c>
      <c r="B86" t="s">
        <v>594</v>
      </c>
      <c r="C86">
        <v>37</v>
      </c>
      <c r="D86" t="s">
        <v>160</v>
      </c>
      <c r="E86" t="s">
        <v>147</v>
      </c>
      <c r="F86" t="s">
        <v>595</v>
      </c>
      <c r="G86" t="s">
        <v>330</v>
      </c>
      <c r="H86" t="s">
        <v>507</v>
      </c>
      <c r="I86" t="s">
        <v>596</v>
      </c>
      <c r="J86" t="s">
        <v>597</v>
      </c>
      <c r="M86" t="b">
        <f>COUNTIF(Table2[Patient_ID],Table2[[#This Row],[Patient_ID]])&gt;1</f>
        <v>0</v>
      </c>
      <c r="N86" t="b">
        <f>COUNTIF(Table2[Name],Table2[[#This Row],[Name]])&gt;1</f>
        <v>0</v>
      </c>
      <c r="O8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6" t="str">
        <f t="shared" si="1"/>
        <v>Unknown</v>
      </c>
      <c r="Q86" t="b">
        <f>ISNUMBER(Table2[[#This Row],[Age]])</f>
        <v>1</v>
      </c>
      <c r="R86" t="str">
        <f>IF(ISNUMBER(Table2[[#This Row],[Date_of_Admission]]),"correct","incorrect")</f>
        <v>incorrect</v>
      </c>
      <c r="S86" t="str">
        <f>IF(ISNUMBER(Table2[[#This Row],[Date_of_Diagnosis]]),"correct","incorrect")</f>
        <v>incorrect</v>
      </c>
      <c r="T86" t="str">
        <f>IF(ISNUMBER(Table2[[#This Row],[Date_of_Treatment_Start]]),"correct","incorrect")</f>
        <v>incorrect</v>
      </c>
      <c r="U86" t="str">
        <f>IF(ISNUMBER(Table2[[#This Row],[Date_of_Surgery]]),"correct","incorrect")</f>
        <v>incorrect</v>
      </c>
      <c r="V86" t="str">
        <f>IF(ISNUMBER(Table2[[#This Row],[Date_of_Discharge]]),"correct","incorrect")</f>
        <v>incorrect</v>
      </c>
      <c r="W86" t="str">
        <f>IF(ISNUMBER(Table2[[#This Row],[Follow_up_Visit]]),"correct","incorrect")</f>
        <v>incorrect</v>
      </c>
      <c r="AC86" t="str">
        <f>LOOKUP(C86,{20,30,40,50,60,70,80,90},{"20-29","30-39","40-49","50-59","60-69","70-79","80-89"})</f>
        <v>30-39</v>
      </c>
    </row>
    <row r="87" spans="1:29" x14ac:dyDescent="0.2">
      <c r="A87" t="s">
        <v>598</v>
      </c>
      <c r="B87" t="s">
        <v>599</v>
      </c>
      <c r="C87">
        <v>63</v>
      </c>
      <c r="D87" t="s">
        <v>146</v>
      </c>
      <c r="E87" t="s">
        <v>147</v>
      </c>
      <c r="F87" t="s">
        <v>260</v>
      </c>
      <c r="G87" t="s">
        <v>600</v>
      </c>
      <c r="H87">
        <v>43587</v>
      </c>
      <c r="I87" t="s">
        <v>601</v>
      </c>
      <c r="J87" t="s">
        <v>514</v>
      </c>
      <c r="M87" t="b">
        <f>COUNTIF(Table2[Patient_ID],Table2[[#This Row],[Patient_ID]])&gt;1</f>
        <v>0</v>
      </c>
      <c r="N87" t="b">
        <f>COUNTIF(Table2[Name],Table2[[#This Row],[Name]])&gt;1</f>
        <v>0</v>
      </c>
      <c r="O8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7" t="str">
        <f t="shared" si="1"/>
        <v>Unknown</v>
      </c>
      <c r="Q87" t="b">
        <f>ISNUMBER(Table2[[#This Row],[Age]])</f>
        <v>1</v>
      </c>
      <c r="R87" t="str">
        <f>IF(ISNUMBER(Table2[[#This Row],[Date_of_Admission]]),"correct","incorrect")</f>
        <v>incorrect</v>
      </c>
      <c r="S87" t="str">
        <f>IF(ISNUMBER(Table2[[#This Row],[Date_of_Diagnosis]]),"correct","incorrect")</f>
        <v>incorrect</v>
      </c>
      <c r="T87" t="str">
        <f>IF(ISNUMBER(Table2[[#This Row],[Date_of_Treatment_Start]]),"correct","incorrect")</f>
        <v>incorrect</v>
      </c>
      <c r="U87" t="str">
        <f>IF(ISNUMBER(Table2[[#This Row],[Date_of_Surgery]]),"correct","incorrect")</f>
        <v>correct</v>
      </c>
      <c r="V87" t="str">
        <f>IF(ISNUMBER(Table2[[#This Row],[Date_of_Discharge]]),"correct","incorrect")</f>
        <v>incorrect</v>
      </c>
      <c r="W87" t="str">
        <f>IF(ISNUMBER(Table2[[#This Row],[Follow_up_Visit]]),"correct","incorrect")</f>
        <v>incorrect</v>
      </c>
      <c r="AC87" t="str">
        <f>LOOKUP(C87,{20,30,40,50,60,70,80,90},{"20-29","30-39","40-49","50-59","60-69","70-79","80-89"})</f>
        <v>60-69</v>
      </c>
    </row>
    <row r="88" spans="1:29" x14ac:dyDescent="0.2">
      <c r="A88" t="s">
        <v>602</v>
      </c>
      <c r="B88" t="s">
        <v>603</v>
      </c>
      <c r="C88">
        <v>53</v>
      </c>
      <c r="D88" t="s">
        <v>160</v>
      </c>
      <c r="E88" t="s">
        <v>604</v>
      </c>
      <c r="F88">
        <v>45343</v>
      </c>
      <c r="G88" t="s">
        <v>605</v>
      </c>
      <c r="H88">
        <v>43587</v>
      </c>
      <c r="I88" t="s">
        <v>606</v>
      </c>
      <c r="J88" t="s">
        <v>246</v>
      </c>
      <c r="M88" t="b">
        <f>COUNTIF(Table2[Patient_ID],Table2[[#This Row],[Patient_ID]])&gt;1</f>
        <v>0</v>
      </c>
      <c r="N88" t="b">
        <f>COUNTIF(Table2[Name],Table2[[#This Row],[Name]])&gt;1</f>
        <v>0</v>
      </c>
      <c r="O8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8" t="str">
        <f t="shared" si="1"/>
        <v>Unknown</v>
      </c>
      <c r="Q88" t="b">
        <f>ISNUMBER(Table2[[#This Row],[Age]])</f>
        <v>1</v>
      </c>
      <c r="R88" t="str">
        <f>IF(ISNUMBER(Table2[[#This Row],[Date_of_Admission]]),"correct","incorrect")</f>
        <v>incorrect</v>
      </c>
      <c r="S88" t="str">
        <f>IF(ISNUMBER(Table2[[#This Row],[Date_of_Diagnosis]]),"correct","incorrect")</f>
        <v>correct</v>
      </c>
      <c r="T88" t="str">
        <f>IF(ISNUMBER(Table2[[#This Row],[Date_of_Treatment_Start]]),"correct","incorrect")</f>
        <v>incorrect</v>
      </c>
      <c r="U88" t="str">
        <f>IF(ISNUMBER(Table2[[#This Row],[Date_of_Surgery]]),"correct","incorrect")</f>
        <v>correct</v>
      </c>
      <c r="V88" t="str">
        <f>IF(ISNUMBER(Table2[[#This Row],[Date_of_Discharge]]),"correct","incorrect")</f>
        <v>incorrect</v>
      </c>
      <c r="W88" t="str">
        <f>IF(ISNUMBER(Table2[[#This Row],[Follow_up_Visit]]),"correct","incorrect")</f>
        <v>incorrect</v>
      </c>
      <c r="AC88" t="str">
        <f>LOOKUP(C88,{20,30,40,50,60,70,80,90},{"20-29","30-39","40-49","50-59","60-69","70-79","80-89"})</f>
        <v>50-59</v>
      </c>
    </row>
    <row r="89" spans="1:29" x14ac:dyDescent="0.2">
      <c r="A89" t="s">
        <v>607</v>
      </c>
      <c r="B89" t="s">
        <v>608</v>
      </c>
      <c r="C89">
        <v>81</v>
      </c>
      <c r="D89" t="s">
        <v>160</v>
      </c>
      <c r="E89" t="s">
        <v>147</v>
      </c>
      <c r="F89" t="s">
        <v>609</v>
      </c>
      <c r="G89" t="s">
        <v>610</v>
      </c>
      <c r="H89">
        <v>43587</v>
      </c>
      <c r="I89" t="s">
        <v>611</v>
      </c>
      <c r="J89" t="s">
        <v>150</v>
      </c>
      <c r="M89" t="b">
        <f>COUNTIF(Table2[Patient_ID],Table2[[#This Row],[Patient_ID]])&gt;1</f>
        <v>0</v>
      </c>
      <c r="N89" t="b">
        <f>COUNTIF(Table2[Name],Table2[[#This Row],[Name]])&gt;1</f>
        <v>0</v>
      </c>
      <c r="O8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89" t="str">
        <f t="shared" si="1"/>
        <v>Unknown</v>
      </c>
      <c r="Q89" t="b">
        <f>ISNUMBER(Table2[[#This Row],[Age]])</f>
        <v>1</v>
      </c>
      <c r="R89" t="str">
        <f>IF(ISNUMBER(Table2[[#This Row],[Date_of_Admission]]),"correct","incorrect")</f>
        <v>incorrect</v>
      </c>
      <c r="S89" t="str">
        <f>IF(ISNUMBER(Table2[[#This Row],[Date_of_Diagnosis]]),"correct","incorrect")</f>
        <v>incorrect</v>
      </c>
      <c r="T89" t="str">
        <f>IF(ISNUMBER(Table2[[#This Row],[Date_of_Treatment_Start]]),"correct","incorrect")</f>
        <v>incorrect</v>
      </c>
      <c r="U89" t="str">
        <f>IF(ISNUMBER(Table2[[#This Row],[Date_of_Surgery]]),"correct","incorrect")</f>
        <v>correct</v>
      </c>
      <c r="V89" t="str">
        <f>IF(ISNUMBER(Table2[[#This Row],[Date_of_Discharge]]),"correct","incorrect")</f>
        <v>incorrect</v>
      </c>
      <c r="W89" t="str">
        <f>IF(ISNUMBER(Table2[[#This Row],[Follow_up_Visit]]),"correct","incorrect")</f>
        <v>incorrect</v>
      </c>
      <c r="AC89" t="str">
        <f>LOOKUP(C89,{20,30,40,50,60,70,80,90},{"20-29","30-39","40-49","50-59","60-69","70-79","80-89"})</f>
        <v>80-89</v>
      </c>
    </row>
    <row r="90" spans="1:29" x14ac:dyDescent="0.2">
      <c r="A90" t="s">
        <v>612</v>
      </c>
      <c r="B90" t="s">
        <v>848</v>
      </c>
      <c r="C90">
        <v>41</v>
      </c>
      <c r="D90" t="s">
        <v>146</v>
      </c>
      <c r="E90" t="s">
        <v>613</v>
      </c>
      <c r="F90" t="s">
        <v>397</v>
      </c>
      <c r="G90" t="s">
        <v>614</v>
      </c>
      <c r="H90" t="s">
        <v>615</v>
      </c>
      <c r="I90">
        <v>20231227</v>
      </c>
      <c r="J90" t="s">
        <v>223</v>
      </c>
      <c r="M90" t="b">
        <f>COUNTIF(Table2[Patient_ID],Table2[[#This Row],[Patient_ID]])&gt;1</f>
        <v>0</v>
      </c>
      <c r="N90" t="b">
        <f>COUNTIF(Table2[Name],Table2[[#This Row],[Name]])&gt;1</f>
        <v>0</v>
      </c>
      <c r="O9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    *          </v>
      </c>
      <c r="P90" t="str">
        <f t="shared" si="1"/>
        <v xml:space="preserve">     (    *          </v>
      </c>
      <c r="Q90" t="b">
        <f>ISNUMBER(Table2[[#This Row],[Age]])</f>
        <v>1</v>
      </c>
      <c r="R90" t="str">
        <f>IF(ISNUMBER(Table2[[#This Row],[Date_of_Admission]]),"correct","incorrect")</f>
        <v>incorrect</v>
      </c>
      <c r="S90" t="str">
        <f>IF(ISNUMBER(Table2[[#This Row],[Date_of_Diagnosis]]),"correct","incorrect")</f>
        <v>incorrect</v>
      </c>
      <c r="T90" t="str">
        <f>IF(ISNUMBER(Table2[[#This Row],[Date_of_Treatment_Start]]),"correct","incorrect")</f>
        <v>incorrect</v>
      </c>
      <c r="U90" t="str">
        <f>IF(ISNUMBER(Table2[[#This Row],[Date_of_Surgery]]),"correct","incorrect")</f>
        <v>incorrect</v>
      </c>
      <c r="V90" t="str">
        <f>IF(ISNUMBER(Table2[[#This Row],[Date_of_Discharge]]),"correct","incorrect")</f>
        <v>correct</v>
      </c>
      <c r="W90" t="str">
        <f>IF(ISNUMBER(Table2[[#This Row],[Follow_up_Visit]]),"correct","incorrect")</f>
        <v>incorrect</v>
      </c>
      <c r="AC90" t="str">
        <f>LOOKUP(C90,{20,30,40,50,60,70,80,90},{"20-29","30-39","40-49","50-59","60-69","70-79","80-89"})</f>
        <v>40-49</v>
      </c>
    </row>
    <row r="91" spans="1:29" x14ac:dyDescent="0.2">
      <c r="A91" t="s">
        <v>616</v>
      </c>
      <c r="B91" t="s">
        <v>617</v>
      </c>
      <c r="C91">
        <v>33</v>
      </c>
      <c r="D91" t="s">
        <v>160</v>
      </c>
      <c r="E91" t="s">
        <v>618</v>
      </c>
      <c r="F91" t="s">
        <v>619</v>
      </c>
      <c r="G91" t="s">
        <v>620</v>
      </c>
      <c r="H91" t="s">
        <v>615</v>
      </c>
      <c r="I91" t="s">
        <v>621</v>
      </c>
      <c r="J91" t="s">
        <v>187</v>
      </c>
      <c r="M91" t="b">
        <f>COUNTIF(Table2[Patient_ID],Table2[[#This Row],[Patient_ID]])&gt;1</f>
        <v>0</v>
      </c>
      <c r="N91" t="b">
        <f>COUNTIF(Table2[Name],Table2[[#This Row],[Name]])&gt;1</f>
        <v>0</v>
      </c>
      <c r="O9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1" t="str">
        <f t="shared" si="1"/>
        <v>Unknown</v>
      </c>
      <c r="Q91" t="b">
        <f>ISNUMBER(Table2[[#This Row],[Age]])</f>
        <v>1</v>
      </c>
      <c r="R91" t="str">
        <f>IF(ISNUMBER(Table2[[#This Row],[Date_of_Admission]]),"correct","incorrect")</f>
        <v>incorrect</v>
      </c>
      <c r="S91" t="str">
        <f>IF(ISNUMBER(Table2[[#This Row],[Date_of_Diagnosis]]),"correct","incorrect")</f>
        <v>incorrect</v>
      </c>
      <c r="T91" t="str">
        <f>IF(ISNUMBER(Table2[[#This Row],[Date_of_Treatment_Start]]),"correct","incorrect")</f>
        <v>incorrect</v>
      </c>
      <c r="U91" t="str">
        <f>IF(ISNUMBER(Table2[[#This Row],[Date_of_Surgery]]),"correct","incorrect")</f>
        <v>incorrect</v>
      </c>
      <c r="V91" t="str">
        <f>IF(ISNUMBER(Table2[[#This Row],[Date_of_Discharge]]),"correct","incorrect")</f>
        <v>incorrect</v>
      </c>
      <c r="W91" t="str">
        <f>IF(ISNUMBER(Table2[[#This Row],[Follow_up_Visit]]),"correct","incorrect")</f>
        <v>incorrect</v>
      </c>
      <c r="AC91" t="str">
        <f>LOOKUP(C91,{20,30,40,50,60,70,80,90},{"20-29","30-39","40-49","50-59","60-69","70-79","80-89"})</f>
        <v>30-39</v>
      </c>
    </row>
    <row r="92" spans="1:29" x14ac:dyDescent="0.2">
      <c r="A92" t="s">
        <v>622</v>
      </c>
      <c r="B92" t="s">
        <v>623</v>
      </c>
      <c r="C92">
        <v>67</v>
      </c>
      <c r="D92" t="s">
        <v>160</v>
      </c>
      <c r="E92" t="s">
        <v>624</v>
      </c>
      <c r="F92" t="s">
        <v>625</v>
      </c>
      <c r="G92" t="s">
        <v>626</v>
      </c>
      <c r="H92" t="s">
        <v>615</v>
      </c>
      <c r="I92" t="s">
        <v>198</v>
      </c>
      <c r="J92" t="s">
        <v>165</v>
      </c>
      <c r="M92" t="b">
        <f>COUNTIF(Table2[Patient_ID],Table2[[#This Row],[Patient_ID]])&gt;1</f>
        <v>0</v>
      </c>
      <c r="N92" t="b">
        <f>COUNTIF(Table2[Name],Table2[[#This Row],[Name]])&gt;1</f>
        <v>0</v>
      </c>
      <c r="O9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2" t="str">
        <f t="shared" si="1"/>
        <v>Unknown</v>
      </c>
      <c r="Q92" t="b">
        <f>ISNUMBER(Table2[[#This Row],[Age]])</f>
        <v>1</v>
      </c>
      <c r="R92" t="str">
        <f>IF(ISNUMBER(Table2[[#This Row],[Date_of_Admission]]),"correct","incorrect")</f>
        <v>incorrect</v>
      </c>
      <c r="S92" t="str">
        <f>IF(ISNUMBER(Table2[[#This Row],[Date_of_Diagnosis]]),"correct","incorrect")</f>
        <v>incorrect</v>
      </c>
      <c r="T92" t="str">
        <f>IF(ISNUMBER(Table2[[#This Row],[Date_of_Treatment_Start]]),"correct","incorrect")</f>
        <v>incorrect</v>
      </c>
      <c r="U92" t="str">
        <f>IF(ISNUMBER(Table2[[#This Row],[Date_of_Surgery]]),"correct","incorrect")</f>
        <v>incorrect</v>
      </c>
      <c r="V92" t="str">
        <f>IF(ISNUMBER(Table2[[#This Row],[Date_of_Discharge]]),"correct","incorrect")</f>
        <v>incorrect</v>
      </c>
      <c r="W92" t="str">
        <f>IF(ISNUMBER(Table2[[#This Row],[Follow_up_Visit]]),"correct","incorrect")</f>
        <v>incorrect</v>
      </c>
      <c r="AC92" t="str">
        <f>LOOKUP(C92,{20,30,40,50,60,70,80,90},{"20-29","30-39","40-49","50-59","60-69","70-79","80-89"})</f>
        <v>60-69</v>
      </c>
    </row>
    <row r="93" spans="1:29" x14ac:dyDescent="0.2">
      <c r="A93" t="s">
        <v>627</v>
      </c>
      <c r="B93" t="s">
        <v>628</v>
      </c>
      <c r="C93">
        <v>34</v>
      </c>
      <c r="D93" t="s">
        <v>160</v>
      </c>
      <c r="E93" t="s">
        <v>147</v>
      </c>
      <c r="F93" t="s">
        <v>591</v>
      </c>
      <c r="G93" t="s">
        <v>629</v>
      </c>
      <c r="H93" t="s">
        <v>615</v>
      </c>
      <c r="I93" t="s">
        <v>630</v>
      </c>
      <c r="J93" t="s">
        <v>272</v>
      </c>
      <c r="M93" t="b">
        <f>COUNTIF(Table2[Patient_ID],Table2[[#This Row],[Patient_ID]])&gt;1</f>
        <v>0</v>
      </c>
      <c r="N93" t="b">
        <f>COUNTIF(Table2[Name],Table2[[#This Row],[Name]])&gt;1</f>
        <v>0</v>
      </c>
      <c r="O9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3" t="str">
        <f t="shared" si="1"/>
        <v>Unknown</v>
      </c>
      <c r="Q93" t="b">
        <f>ISNUMBER(Table2[[#This Row],[Age]])</f>
        <v>1</v>
      </c>
      <c r="R93" t="str">
        <f>IF(ISNUMBER(Table2[[#This Row],[Date_of_Admission]]),"correct","incorrect")</f>
        <v>incorrect</v>
      </c>
      <c r="S93" t="str">
        <f>IF(ISNUMBER(Table2[[#This Row],[Date_of_Diagnosis]]),"correct","incorrect")</f>
        <v>incorrect</v>
      </c>
      <c r="T93" t="str">
        <f>IF(ISNUMBER(Table2[[#This Row],[Date_of_Treatment_Start]]),"correct","incorrect")</f>
        <v>incorrect</v>
      </c>
      <c r="U93" t="str">
        <f>IF(ISNUMBER(Table2[[#This Row],[Date_of_Surgery]]),"correct","incorrect")</f>
        <v>incorrect</v>
      </c>
      <c r="V93" t="str">
        <f>IF(ISNUMBER(Table2[[#This Row],[Date_of_Discharge]]),"correct","incorrect")</f>
        <v>incorrect</v>
      </c>
      <c r="W93" t="str">
        <f>IF(ISNUMBER(Table2[[#This Row],[Follow_up_Visit]]),"correct","incorrect")</f>
        <v>incorrect</v>
      </c>
      <c r="AC93" t="str">
        <f>LOOKUP(C93,{20,30,40,50,60,70,80,90},{"20-29","30-39","40-49","50-59","60-69","70-79","80-89"})</f>
        <v>30-39</v>
      </c>
    </row>
    <row r="94" spans="1:29" x14ac:dyDescent="0.2">
      <c r="A94" t="s">
        <v>631</v>
      </c>
      <c r="B94" t="s">
        <v>632</v>
      </c>
      <c r="C94">
        <v>81</v>
      </c>
      <c r="D94" t="s">
        <v>146</v>
      </c>
      <c r="E94" t="s">
        <v>147</v>
      </c>
      <c r="F94" t="s">
        <v>633</v>
      </c>
      <c r="G94" t="s">
        <v>634</v>
      </c>
      <c r="H94" t="s">
        <v>615</v>
      </c>
      <c r="I94" t="s">
        <v>635</v>
      </c>
      <c r="J94" t="s">
        <v>198</v>
      </c>
      <c r="M94" t="b">
        <f>COUNTIF(Table2[Patient_ID],Table2[[#This Row],[Patient_ID]])&gt;1</f>
        <v>0</v>
      </c>
      <c r="N94" t="b">
        <f>COUNTIF(Table2[Name],Table2[[#This Row],[Name]])&gt;1</f>
        <v>0</v>
      </c>
      <c r="O9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4" t="str">
        <f t="shared" si="1"/>
        <v>Unknown</v>
      </c>
      <c r="Q94" t="b">
        <f>ISNUMBER(Table2[[#This Row],[Age]])</f>
        <v>1</v>
      </c>
      <c r="R94" t="str">
        <f>IF(ISNUMBER(Table2[[#This Row],[Date_of_Admission]]),"correct","incorrect")</f>
        <v>incorrect</v>
      </c>
      <c r="S94" t="str">
        <f>IF(ISNUMBER(Table2[[#This Row],[Date_of_Diagnosis]]),"correct","incorrect")</f>
        <v>incorrect</v>
      </c>
      <c r="T94" t="str">
        <f>IF(ISNUMBER(Table2[[#This Row],[Date_of_Treatment_Start]]),"correct","incorrect")</f>
        <v>incorrect</v>
      </c>
      <c r="U94" t="str">
        <f>IF(ISNUMBER(Table2[[#This Row],[Date_of_Surgery]]),"correct","incorrect")</f>
        <v>incorrect</v>
      </c>
      <c r="V94" t="str">
        <f>IF(ISNUMBER(Table2[[#This Row],[Date_of_Discharge]]),"correct","incorrect")</f>
        <v>incorrect</v>
      </c>
      <c r="W94" t="str">
        <f>IF(ISNUMBER(Table2[[#This Row],[Follow_up_Visit]]),"correct","incorrect")</f>
        <v>incorrect</v>
      </c>
      <c r="AC94" t="str">
        <f>LOOKUP(C94,{20,30,40,50,60,70,80,90},{"20-29","30-39","40-49","50-59","60-69","70-79","80-89"})</f>
        <v>80-89</v>
      </c>
    </row>
    <row r="95" spans="1:29" x14ac:dyDescent="0.2">
      <c r="A95" t="s">
        <v>636</v>
      </c>
      <c r="B95" t="s">
        <v>637</v>
      </c>
      <c r="C95">
        <v>59</v>
      </c>
      <c r="D95" t="s">
        <v>160</v>
      </c>
      <c r="E95" t="s">
        <v>638</v>
      </c>
      <c r="F95">
        <v>45198</v>
      </c>
      <c r="G95" t="s">
        <v>639</v>
      </c>
      <c r="H95" t="s">
        <v>615</v>
      </c>
      <c r="I95" t="s">
        <v>640</v>
      </c>
      <c r="J95">
        <v>44362</v>
      </c>
      <c r="M95" t="b">
        <f>COUNTIF(Table2[Patient_ID],Table2[[#This Row],[Patient_ID]])&gt;1</f>
        <v>0</v>
      </c>
      <c r="N95" t="b">
        <f>COUNTIF(Table2[Name],Table2[[#This Row],[Name]])&gt;1</f>
        <v>0</v>
      </c>
      <c r="O9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5" t="str">
        <f t="shared" si="1"/>
        <v>Unknown</v>
      </c>
      <c r="Q95" t="b">
        <f>ISNUMBER(Table2[[#This Row],[Age]])</f>
        <v>1</v>
      </c>
      <c r="R95" t="str">
        <f>IF(ISNUMBER(Table2[[#This Row],[Date_of_Admission]]),"correct","incorrect")</f>
        <v>incorrect</v>
      </c>
      <c r="S95" t="str">
        <f>IF(ISNUMBER(Table2[[#This Row],[Date_of_Diagnosis]]),"correct","incorrect")</f>
        <v>correct</v>
      </c>
      <c r="T95" t="str">
        <f>IF(ISNUMBER(Table2[[#This Row],[Date_of_Treatment_Start]]),"correct","incorrect")</f>
        <v>incorrect</v>
      </c>
      <c r="U95" t="str">
        <f>IF(ISNUMBER(Table2[[#This Row],[Date_of_Surgery]]),"correct","incorrect")</f>
        <v>incorrect</v>
      </c>
      <c r="V95" t="str">
        <f>IF(ISNUMBER(Table2[[#This Row],[Date_of_Discharge]]),"correct","incorrect")</f>
        <v>incorrect</v>
      </c>
      <c r="W95" t="str">
        <f>IF(ISNUMBER(Table2[[#This Row],[Follow_up_Visit]]),"correct","incorrect")</f>
        <v>correct</v>
      </c>
      <c r="AC95" t="str">
        <f>LOOKUP(C95,{20,30,40,50,60,70,80,90},{"20-29","30-39","40-49","50-59","60-69","70-79","80-89"})</f>
        <v>50-59</v>
      </c>
    </row>
    <row r="96" spans="1:29" x14ac:dyDescent="0.2">
      <c r="A96" t="s">
        <v>641</v>
      </c>
      <c r="B96" t="s">
        <v>642</v>
      </c>
      <c r="C96">
        <v>72</v>
      </c>
      <c r="D96" t="s">
        <v>146</v>
      </c>
      <c r="E96" t="s">
        <v>643</v>
      </c>
      <c r="F96" t="s">
        <v>644</v>
      </c>
      <c r="G96" t="s">
        <v>645</v>
      </c>
      <c r="H96" t="s">
        <v>615</v>
      </c>
      <c r="I96">
        <v>20240223</v>
      </c>
      <c r="J96" t="s">
        <v>514</v>
      </c>
      <c r="M96" t="b">
        <f>COUNTIF(Table2[Patient_ID],Table2[[#This Row],[Patient_ID]])&gt;1</f>
        <v>0</v>
      </c>
      <c r="N96" t="b">
        <f>COUNTIF(Table2[Name],Table2[[#This Row],[Name]])&gt;1</f>
        <v>0</v>
      </c>
      <c r="O9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6" t="str">
        <f t="shared" si="1"/>
        <v>Unknown</v>
      </c>
      <c r="Q96" t="b">
        <f>ISNUMBER(Table2[[#This Row],[Age]])</f>
        <v>1</v>
      </c>
      <c r="R96" t="str">
        <f>IF(ISNUMBER(Table2[[#This Row],[Date_of_Admission]]),"correct","incorrect")</f>
        <v>incorrect</v>
      </c>
      <c r="S96" t="str">
        <f>IF(ISNUMBER(Table2[[#This Row],[Date_of_Diagnosis]]),"correct","incorrect")</f>
        <v>incorrect</v>
      </c>
      <c r="T96" t="str">
        <f>IF(ISNUMBER(Table2[[#This Row],[Date_of_Treatment_Start]]),"correct","incorrect")</f>
        <v>incorrect</v>
      </c>
      <c r="U96" t="str">
        <f>IF(ISNUMBER(Table2[[#This Row],[Date_of_Surgery]]),"correct","incorrect")</f>
        <v>incorrect</v>
      </c>
      <c r="V96" t="str">
        <f>IF(ISNUMBER(Table2[[#This Row],[Date_of_Discharge]]),"correct","incorrect")</f>
        <v>correct</v>
      </c>
      <c r="W96" t="str">
        <f>IF(ISNUMBER(Table2[[#This Row],[Follow_up_Visit]]),"correct","incorrect")</f>
        <v>incorrect</v>
      </c>
      <c r="AC96" t="str">
        <f>LOOKUP(C96,{20,30,40,50,60,70,80,90},{"20-29","30-39","40-49","50-59","60-69","70-79","80-89"})</f>
        <v>70-79</v>
      </c>
    </row>
    <row r="97" spans="1:29" x14ac:dyDescent="0.2">
      <c r="A97" t="s">
        <v>646</v>
      </c>
      <c r="B97" t="s">
        <v>647</v>
      </c>
      <c r="C97">
        <v>43</v>
      </c>
      <c r="D97" t="s">
        <v>146</v>
      </c>
      <c r="E97">
        <v>45144</v>
      </c>
      <c r="F97" t="s">
        <v>648</v>
      </c>
      <c r="G97" t="s">
        <v>649</v>
      </c>
      <c r="H97">
        <v>43290</v>
      </c>
      <c r="I97">
        <v>20241206</v>
      </c>
      <c r="J97" t="s">
        <v>165</v>
      </c>
      <c r="M97" t="b">
        <f>COUNTIF(Table2[Patient_ID],Table2[[#This Row],[Patient_ID]])&gt;1</f>
        <v>0</v>
      </c>
      <c r="N97" t="b">
        <f>COUNTIF(Table2[Name],Table2[[#This Row],[Name]])&gt;1</f>
        <v>0</v>
      </c>
      <c r="O9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7" t="str">
        <f t="shared" si="1"/>
        <v>Unknown</v>
      </c>
      <c r="Q97" t="b">
        <f>ISNUMBER(Table2[[#This Row],[Age]])</f>
        <v>1</v>
      </c>
      <c r="R97" t="str">
        <f>IF(ISNUMBER(Table2[[#This Row],[Date_of_Admission]]),"correct","incorrect")</f>
        <v>correct</v>
      </c>
      <c r="S97" t="str">
        <f>IF(ISNUMBER(Table2[[#This Row],[Date_of_Diagnosis]]),"correct","incorrect")</f>
        <v>incorrect</v>
      </c>
      <c r="T97" t="str">
        <f>IF(ISNUMBER(Table2[[#This Row],[Date_of_Treatment_Start]]),"correct","incorrect")</f>
        <v>incorrect</v>
      </c>
      <c r="U97" t="str">
        <f>IF(ISNUMBER(Table2[[#This Row],[Date_of_Surgery]]),"correct","incorrect")</f>
        <v>correct</v>
      </c>
      <c r="V97" t="str">
        <f>IF(ISNUMBER(Table2[[#This Row],[Date_of_Discharge]]),"correct","incorrect")</f>
        <v>correct</v>
      </c>
      <c r="W97" t="str">
        <f>IF(ISNUMBER(Table2[[#This Row],[Follow_up_Visit]]),"correct","incorrect")</f>
        <v>incorrect</v>
      </c>
      <c r="AC97" t="str">
        <f>LOOKUP(C97,{20,30,40,50,60,70,80,90},{"20-29","30-39","40-49","50-59","60-69","70-79","80-89"})</f>
        <v>40-49</v>
      </c>
    </row>
    <row r="98" spans="1:29" x14ac:dyDescent="0.2">
      <c r="A98" t="s">
        <v>650</v>
      </c>
      <c r="B98" t="s">
        <v>651</v>
      </c>
      <c r="C98">
        <v>45</v>
      </c>
      <c r="D98" t="s">
        <v>160</v>
      </c>
      <c r="E98">
        <v>45332</v>
      </c>
      <c r="F98">
        <v>45604</v>
      </c>
      <c r="G98" t="s">
        <v>652</v>
      </c>
      <c r="H98" t="s">
        <v>653</v>
      </c>
      <c r="I98" t="s">
        <v>654</v>
      </c>
      <c r="J98" t="s">
        <v>198</v>
      </c>
      <c r="M98" t="b">
        <f>COUNTIF(Table2[Patient_ID],Table2[[#This Row],[Patient_ID]])&gt;1</f>
        <v>0</v>
      </c>
      <c r="N98" t="b">
        <f>COUNTIF(Table2[Name],Table2[[#This Row],[Name]])&gt;1</f>
        <v>0</v>
      </c>
      <c r="O9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8" t="str">
        <f t="shared" si="1"/>
        <v>Unknown</v>
      </c>
      <c r="Q98" t="b">
        <f>ISNUMBER(Table2[[#This Row],[Age]])</f>
        <v>1</v>
      </c>
      <c r="R98" t="str">
        <f>IF(ISNUMBER(Table2[[#This Row],[Date_of_Admission]]),"correct","incorrect")</f>
        <v>correct</v>
      </c>
      <c r="S98" t="str">
        <f>IF(ISNUMBER(Table2[[#This Row],[Date_of_Diagnosis]]),"correct","incorrect")</f>
        <v>correct</v>
      </c>
      <c r="T98" t="str">
        <f>IF(ISNUMBER(Table2[[#This Row],[Date_of_Treatment_Start]]),"correct","incorrect")</f>
        <v>incorrect</v>
      </c>
      <c r="U98" t="str">
        <f>IF(ISNUMBER(Table2[[#This Row],[Date_of_Surgery]]),"correct","incorrect")</f>
        <v>incorrect</v>
      </c>
      <c r="V98" t="str">
        <f>IF(ISNUMBER(Table2[[#This Row],[Date_of_Discharge]]),"correct","incorrect")</f>
        <v>incorrect</v>
      </c>
      <c r="W98" t="str">
        <f>IF(ISNUMBER(Table2[[#This Row],[Follow_up_Visit]]),"correct","incorrect")</f>
        <v>incorrect</v>
      </c>
      <c r="AC98" t="str">
        <f>LOOKUP(C98,{20,30,40,50,60,70,80,90},{"20-29","30-39","40-49","50-59","60-69","70-79","80-89"})</f>
        <v>40-49</v>
      </c>
    </row>
    <row r="99" spans="1:29" x14ac:dyDescent="0.2">
      <c r="A99" t="s">
        <v>655</v>
      </c>
      <c r="B99" t="s">
        <v>656</v>
      </c>
      <c r="C99">
        <v>79</v>
      </c>
      <c r="D99" t="s">
        <v>146</v>
      </c>
      <c r="E99" t="s">
        <v>657</v>
      </c>
      <c r="F99" t="s">
        <v>591</v>
      </c>
      <c r="G99" t="s">
        <v>658</v>
      </c>
      <c r="H99" t="s">
        <v>653</v>
      </c>
      <c r="J99" t="s">
        <v>234</v>
      </c>
      <c r="M99" t="b">
        <f>COUNTIF(Table2[Patient_ID],Table2[[#This Row],[Patient_ID]])&gt;1</f>
        <v>0</v>
      </c>
      <c r="N99" t="b">
        <f>COUNTIF(Table2[Name],Table2[[#This Row],[Name]])&gt;1</f>
        <v>0</v>
      </c>
      <c r="O9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99" t="str">
        <f t="shared" si="1"/>
        <v>Unknown</v>
      </c>
      <c r="Q99" t="b">
        <f>ISNUMBER(Table2[[#This Row],[Age]])</f>
        <v>1</v>
      </c>
      <c r="R99" t="str">
        <f>IF(ISNUMBER(Table2[[#This Row],[Date_of_Admission]]),"correct","incorrect")</f>
        <v>incorrect</v>
      </c>
      <c r="S99" t="str">
        <f>IF(ISNUMBER(Table2[[#This Row],[Date_of_Diagnosis]]),"correct","incorrect")</f>
        <v>incorrect</v>
      </c>
      <c r="T99" t="str">
        <f>IF(ISNUMBER(Table2[[#This Row],[Date_of_Treatment_Start]]),"correct","incorrect")</f>
        <v>incorrect</v>
      </c>
      <c r="U99" t="str">
        <f>IF(ISNUMBER(Table2[[#This Row],[Date_of_Surgery]]),"correct","incorrect")</f>
        <v>incorrect</v>
      </c>
      <c r="V99" t="str">
        <f>IF(ISNUMBER(Table2[[#This Row],[Date_of_Discharge]]),"correct","incorrect")</f>
        <v>incorrect</v>
      </c>
      <c r="W99" t="str">
        <f>IF(ISNUMBER(Table2[[#This Row],[Follow_up_Visit]]),"correct","incorrect")</f>
        <v>incorrect</v>
      </c>
      <c r="AC99" t="str">
        <f>LOOKUP(C99,{20,30,40,50,60,70,80,90},{"20-29","30-39","40-49","50-59","60-69","70-79","80-89"})</f>
        <v>70-79</v>
      </c>
    </row>
    <row r="100" spans="1:29" x14ac:dyDescent="0.2">
      <c r="A100" t="s">
        <v>659</v>
      </c>
      <c r="B100" t="s">
        <v>660</v>
      </c>
      <c r="C100">
        <v>60</v>
      </c>
      <c r="D100" t="s">
        <v>146</v>
      </c>
      <c r="E100" t="s">
        <v>147</v>
      </c>
      <c r="F100" t="s">
        <v>661</v>
      </c>
      <c r="G100" t="s">
        <v>662</v>
      </c>
      <c r="H100" t="s">
        <v>653</v>
      </c>
      <c r="J100" t="s">
        <v>272</v>
      </c>
      <c r="M100" t="b">
        <f>COUNTIF(Table2[Patient_ID],Table2[[#This Row],[Patient_ID]])&gt;1</f>
        <v>0</v>
      </c>
      <c r="N100" t="b">
        <f>COUNTIF(Table2[Name],Table2[[#This Row],[Name]])&gt;1</f>
        <v>0</v>
      </c>
      <c r="O10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0" t="str">
        <f t="shared" si="1"/>
        <v>Unknown</v>
      </c>
      <c r="Q100" t="b">
        <f>ISNUMBER(Table2[[#This Row],[Age]])</f>
        <v>1</v>
      </c>
      <c r="R100" t="str">
        <f>IF(ISNUMBER(Table2[[#This Row],[Date_of_Admission]]),"correct","incorrect")</f>
        <v>incorrect</v>
      </c>
      <c r="S100" t="str">
        <f>IF(ISNUMBER(Table2[[#This Row],[Date_of_Diagnosis]]),"correct","incorrect")</f>
        <v>incorrect</v>
      </c>
      <c r="T100" t="str">
        <f>IF(ISNUMBER(Table2[[#This Row],[Date_of_Treatment_Start]]),"correct","incorrect")</f>
        <v>incorrect</v>
      </c>
      <c r="U100" t="str">
        <f>IF(ISNUMBER(Table2[[#This Row],[Date_of_Surgery]]),"correct","incorrect")</f>
        <v>incorrect</v>
      </c>
      <c r="V100" t="str">
        <f>IF(ISNUMBER(Table2[[#This Row],[Date_of_Discharge]]),"correct","incorrect")</f>
        <v>incorrect</v>
      </c>
      <c r="W100" t="str">
        <f>IF(ISNUMBER(Table2[[#This Row],[Follow_up_Visit]]),"correct","incorrect")</f>
        <v>incorrect</v>
      </c>
      <c r="AC100" t="str">
        <f>LOOKUP(C100,{20,30,40,50,60,70,80,90},{"20-29","30-39","40-49","50-59","60-69","70-79","80-89"})</f>
        <v>60-69</v>
      </c>
    </row>
    <row r="101" spans="1:29" x14ac:dyDescent="0.2">
      <c r="A101" t="s">
        <v>663</v>
      </c>
      <c r="B101" t="s">
        <v>664</v>
      </c>
      <c r="C101">
        <v>72</v>
      </c>
      <c r="D101" t="s">
        <v>146</v>
      </c>
      <c r="E101" t="s">
        <v>665</v>
      </c>
      <c r="F101" t="s">
        <v>666</v>
      </c>
      <c r="G101" t="s">
        <v>667</v>
      </c>
      <c r="H101" t="s">
        <v>668</v>
      </c>
      <c r="J101" t="s">
        <v>161</v>
      </c>
      <c r="M101" t="b">
        <f>COUNTIF(Table2[Patient_ID],Table2[[#This Row],[Patient_ID]])&gt;1</f>
        <v>0</v>
      </c>
      <c r="N101" t="b">
        <f>COUNTIF(Table2[Name],Table2[[#This Row],[Name]])&gt;1</f>
        <v>0</v>
      </c>
      <c r="O10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1" t="str">
        <f t="shared" si="1"/>
        <v>Unknown</v>
      </c>
      <c r="Q101" t="b">
        <f>ISNUMBER(Table2[[#This Row],[Age]])</f>
        <v>1</v>
      </c>
      <c r="R101" t="str">
        <f>IF(ISNUMBER(Table2[[#This Row],[Date_of_Admission]]),"correct","incorrect")</f>
        <v>incorrect</v>
      </c>
      <c r="S101" t="str">
        <f>IF(ISNUMBER(Table2[[#This Row],[Date_of_Diagnosis]]),"correct","incorrect")</f>
        <v>incorrect</v>
      </c>
      <c r="T101" t="str">
        <f>IF(ISNUMBER(Table2[[#This Row],[Date_of_Treatment_Start]]),"correct","incorrect")</f>
        <v>incorrect</v>
      </c>
      <c r="U101" t="str">
        <f>IF(ISNUMBER(Table2[[#This Row],[Date_of_Surgery]]),"correct","incorrect")</f>
        <v>incorrect</v>
      </c>
      <c r="V101" t="str">
        <f>IF(ISNUMBER(Table2[[#This Row],[Date_of_Discharge]]),"correct","incorrect")</f>
        <v>incorrect</v>
      </c>
      <c r="W101" t="str">
        <f>IF(ISNUMBER(Table2[[#This Row],[Follow_up_Visit]]),"correct","incorrect")</f>
        <v>incorrect</v>
      </c>
      <c r="AC101" t="str">
        <f>LOOKUP(C101,{20,30,40,50,60,70,80,90},{"20-29","30-39","40-49","50-59","60-69","70-79","80-89"})</f>
        <v>70-79</v>
      </c>
    </row>
    <row r="102" spans="1:29" x14ac:dyDescent="0.2">
      <c r="A102" t="s">
        <v>669</v>
      </c>
      <c r="B102" t="s">
        <v>670</v>
      </c>
      <c r="C102">
        <v>48</v>
      </c>
      <c r="D102" t="s">
        <v>146</v>
      </c>
      <c r="E102" t="s">
        <v>147</v>
      </c>
      <c r="F102" t="s">
        <v>393</v>
      </c>
      <c r="G102" t="s">
        <v>671</v>
      </c>
      <c r="H102" t="s">
        <v>672</v>
      </c>
      <c r="I102" t="s">
        <v>673</v>
      </c>
      <c r="J102" t="s">
        <v>674</v>
      </c>
      <c r="M102" t="b">
        <f>COUNTIF(Table2[Patient_ID],Table2[[#This Row],[Patient_ID]])&gt;1</f>
        <v>0</v>
      </c>
      <c r="N102" t="b">
        <f>COUNTIF(Table2[Name],Table2[[#This Row],[Name]])&gt;1</f>
        <v>0</v>
      </c>
      <c r="O10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2" t="str">
        <f t="shared" si="1"/>
        <v>Unknown</v>
      </c>
      <c r="Q102" t="b">
        <f>ISNUMBER(Table2[[#This Row],[Age]])</f>
        <v>1</v>
      </c>
      <c r="R102" t="str">
        <f>IF(ISNUMBER(Table2[[#This Row],[Date_of_Admission]]),"correct","incorrect")</f>
        <v>incorrect</v>
      </c>
      <c r="S102" t="str">
        <f>IF(ISNUMBER(Table2[[#This Row],[Date_of_Diagnosis]]),"correct","incorrect")</f>
        <v>incorrect</v>
      </c>
      <c r="T102" t="str">
        <f>IF(ISNUMBER(Table2[[#This Row],[Date_of_Treatment_Start]]),"correct","incorrect")</f>
        <v>incorrect</v>
      </c>
      <c r="U102" t="str">
        <f>IF(ISNUMBER(Table2[[#This Row],[Date_of_Surgery]]),"correct","incorrect")</f>
        <v>incorrect</v>
      </c>
      <c r="V102" t="str">
        <f>IF(ISNUMBER(Table2[[#This Row],[Date_of_Discharge]]),"correct","incorrect")</f>
        <v>incorrect</v>
      </c>
      <c r="W102" t="str">
        <f>IF(ISNUMBER(Table2[[#This Row],[Follow_up_Visit]]),"correct","incorrect")</f>
        <v>incorrect</v>
      </c>
      <c r="AC102" t="str">
        <f>LOOKUP(C102,{20,30,40,50,60,70,80,90},{"20-29","30-39","40-49","50-59","60-69","70-79","80-89"})</f>
        <v>40-49</v>
      </c>
    </row>
    <row r="103" spans="1:29" x14ac:dyDescent="0.2">
      <c r="A103" t="s">
        <v>675</v>
      </c>
      <c r="B103" t="s">
        <v>676</v>
      </c>
      <c r="C103">
        <v>34</v>
      </c>
      <c r="D103" t="s">
        <v>160</v>
      </c>
      <c r="E103" t="s">
        <v>677</v>
      </c>
      <c r="F103" t="s">
        <v>678</v>
      </c>
      <c r="G103" t="s">
        <v>679</v>
      </c>
      <c r="H103" t="s">
        <v>680</v>
      </c>
      <c r="I103" t="s">
        <v>681</v>
      </c>
      <c r="J103" t="s">
        <v>682</v>
      </c>
      <c r="M103" t="b">
        <f>COUNTIF(Table2[Patient_ID],Table2[[#This Row],[Patient_ID]])&gt;1</f>
        <v>0</v>
      </c>
      <c r="N103" t="b">
        <f>COUNTIF(Table2[Name],Table2[[#This Row],[Name]])&gt;1</f>
        <v>0</v>
      </c>
      <c r="O10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3" t="str">
        <f t="shared" si="1"/>
        <v>Unknown</v>
      </c>
      <c r="Q103" t="b">
        <f>ISNUMBER(Table2[[#This Row],[Age]])</f>
        <v>1</v>
      </c>
      <c r="R103" t="str">
        <f>IF(ISNUMBER(Table2[[#This Row],[Date_of_Admission]]),"correct","incorrect")</f>
        <v>incorrect</v>
      </c>
      <c r="S103" t="str">
        <f>IF(ISNUMBER(Table2[[#This Row],[Date_of_Diagnosis]]),"correct","incorrect")</f>
        <v>incorrect</v>
      </c>
      <c r="T103" t="str">
        <f>IF(ISNUMBER(Table2[[#This Row],[Date_of_Treatment_Start]]),"correct","incorrect")</f>
        <v>incorrect</v>
      </c>
      <c r="U103" t="str">
        <f>IF(ISNUMBER(Table2[[#This Row],[Date_of_Surgery]]),"correct","incorrect")</f>
        <v>incorrect</v>
      </c>
      <c r="V103" t="str">
        <f>IF(ISNUMBER(Table2[[#This Row],[Date_of_Discharge]]),"correct","incorrect")</f>
        <v>incorrect</v>
      </c>
      <c r="W103" t="str">
        <f>IF(ISNUMBER(Table2[[#This Row],[Follow_up_Visit]]),"correct","incorrect")</f>
        <v>incorrect</v>
      </c>
      <c r="AC103" t="str">
        <f>LOOKUP(C103,{20,30,40,50,60,70,80,90},{"20-29","30-39","40-49","50-59","60-69","70-79","80-89"})</f>
        <v>30-39</v>
      </c>
    </row>
    <row r="104" spans="1:29" x14ac:dyDescent="0.2">
      <c r="A104" t="s">
        <v>683</v>
      </c>
      <c r="B104" t="s">
        <v>684</v>
      </c>
      <c r="C104">
        <v>64</v>
      </c>
      <c r="D104" t="s">
        <v>160</v>
      </c>
      <c r="E104" t="s">
        <v>685</v>
      </c>
      <c r="F104" t="s">
        <v>591</v>
      </c>
      <c r="G104" t="s">
        <v>686</v>
      </c>
      <c r="H104">
        <v>43355</v>
      </c>
      <c r="J104" t="s">
        <v>165</v>
      </c>
      <c r="M104" t="b">
        <f>COUNTIF(Table2[Patient_ID],Table2[[#This Row],[Patient_ID]])&gt;1</f>
        <v>0</v>
      </c>
      <c r="N104" t="b">
        <f>COUNTIF(Table2[Name],Table2[[#This Row],[Name]])&gt;1</f>
        <v>0</v>
      </c>
      <c r="O10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4" t="str">
        <f t="shared" si="1"/>
        <v>Unknown</v>
      </c>
      <c r="Q104" t="b">
        <f>ISNUMBER(Table2[[#This Row],[Age]])</f>
        <v>1</v>
      </c>
      <c r="R104" t="str">
        <f>IF(ISNUMBER(Table2[[#This Row],[Date_of_Admission]]),"correct","incorrect")</f>
        <v>incorrect</v>
      </c>
      <c r="S104" t="str">
        <f>IF(ISNUMBER(Table2[[#This Row],[Date_of_Diagnosis]]),"correct","incorrect")</f>
        <v>incorrect</v>
      </c>
      <c r="T104" t="str">
        <f>IF(ISNUMBER(Table2[[#This Row],[Date_of_Treatment_Start]]),"correct","incorrect")</f>
        <v>incorrect</v>
      </c>
      <c r="U104" t="str">
        <f>IF(ISNUMBER(Table2[[#This Row],[Date_of_Surgery]]),"correct","incorrect")</f>
        <v>correct</v>
      </c>
      <c r="V104" t="str">
        <f>IF(ISNUMBER(Table2[[#This Row],[Date_of_Discharge]]),"correct","incorrect")</f>
        <v>incorrect</v>
      </c>
      <c r="W104" t="str">
        <f>IF(ISNUMBER(Table2[[#This Row],[Follow_up_Visit]]),"correct","incorrect")</f>
        <v>incorrect</v>
      </c>
      <c r="AC104" t="str">
        <f>LOOKUP(C104,{20,30,40,50,60,70,80,90},{"20-29","30-39","40-49","50-59","60-69","70-79","80-89"})</f>
        <v>60-69</v>
      </c>
    </row>
    <row r="105" spans="1:29" x14ac:dyDescent="0.2">
      <c r="A105" t="s">
        <v>688</v>
      </c>
      <c r="B105" t="s">
        <v>689</v>
      </c>
      <c r="C105">
        <v>84</v>
      </c>
      <c r="D105" t="s">
        <v>146</v>
      </c>
      <c r="E105" t="s">
        <v>147</v>
      </c>
      <c r="F105" t="s">
        <v>690</v>
      </c>
      <c r="G105" t="s">
        <v>691</v>
      </c>
      <c r="J105" t="s">
        <v>692</v>
      </c>
      <c r="M105" t="b">
        <f>COUNTIF(Table2[Patient_ID],Table2[[#This Row],[Patient_ID]])&gt;1</f>
        <v>0</v>
      </c>
      <c r="N105" t="b">
        <f>COUNTIF(Table2[Name],Table2[[#This Row],[Name]])&gt;1</f>
        <v>0</v>
      </c>
      <c r="O10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5" t="str">
        <f t="shared" si="1"/>
        <v>Unknown</v>
      </c>
      <c r="Q105" t="b">
        <f>ISNUMBER(Table2[[#This Row],[Age]])</f>
        <v>1</v>
      </c>
      <c r="R105" t="str">
        <f>IF(ISNUMBER(Table2[[#This Row],[Date_of_Admission]]),"correct","incorrect")</f>
        <v>incorrect</v>
      </c>
      <c r="S105" t="str">
        <f>IF(ISNUMBER(Table2[[#This Row],[Date_of_Diagnosis]]),"correct","incorrect")</f>
        <v>incorrect</v>
      </c>
      <c r="T105" t="str">
        <f>IF(ISNUMBER(Table2[[#This Row],[Date_of_Treatment_Start]]),"correct","incorrect")</f>
        <v>incorrect</v>
      </c>
      <c r="U105" t="str">
        <f>IF(ISNUMBER(Table2[[#This Row],[Date_of_Surgery]]),"correct","incorrect")</f>
        <v>incorrect</v>
      </c>
      <c r="V105" t="str">
        <f>IF(ISNUMBER(Table2[[#This Row],[Date_of_Discharge]]),"correct","incorrect")</f>
        <v>incorrect</v>
      </c>
      <c r="W105" t="str">
        <f>IF(ISNUMBER(Table2[[#This Row],[Follow_up_Visit]]),"correct","incorrect")</f>
        <v>incorrect</v>
      </c>
      <c r="AC105" t="str">
        <f>LOOKUP(C105,{20,30,40,50,60,70,80,90},{"20-29","30-39","40-49","50-59","60-69","70-79","80-89"})</f>
        <v>80-89</v>
      </c>
    </row>
    <row r="106" spans="1:29" x14ac:dyDescent="0.2">
      <c r="A106" t="s">
        <v>693</v>
      </c>
      <c r="B106" t="s">
        <v>694</v>
      </c>
      <c r="C106">
        <v>28</v>
      </c>
      <c r="D106" t="s">
        <v>160</v>
      </c>
      <c r="E106" t="s">
        <v>147</v>
      </c>
      <c r="F106" t="s">
        <v>695</v>
      </c>
      <c r="G106" t="s">
        <v>696</v>
      </c>
      <c r="H106" t="s">
        <v>697</v>
      </c>
      <c r="I106">
        <v>20241220</v>
      </c>
      <c r="J106" t="s">
        <v>161</v>
      </c>
      <c r="M106" t="b">
        <f>COUNTIF(Table2[Patient_ID],Table2[[#This Row],[Patient_ID]])&gt;1</f>
        <v>0</v>
      </c>
      <c r="N106" t="b">
        <f>COUNTIF(Table2[Name],Table2[[#This Row],[Name]])&gt;1</f>
        <v>0</v>
      </c>
      <c r="O10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6" t="str">
        <f t="shared" si="1"/>
        <v>Unknown</v>
      </c>
      <c r="Q106" t="b">
        <f>ISNUMBER(Table2[[#This Row],[Age]])</f>
        <v>1</v>
      </c>
      <c r="R106" t="str">
        <f>IF(ISNUMBER(Table2[[#This Row],[Date_of_Admission]]),"correct","incorrect")</f>
        <v>incorrect</v>
      </c>
      <c r="S106" t="str">
        <f>IF(ISNUMBER(Table2[[#This Row],[Date_of_Diagnosis]]),"correct","incorrect")</f>
        <v>incorrect</v>
      </c>
      <c r="T106" t="str">
        <f>IF(ISNUMBER(Table2[[#This Row],[Date_of_Treatment_Start]]),"correct","incorrect")</f>
        <v>incorrect</v>
      </c>
      <c r="U106" t="str">
        <f>IF(ISNUMBER(Table2[[#This Row],[Date_of_Surgery]]),"correct","incorrect")</f>
        <v>incorrect</v>
      </c>
      <c r="V106" t="str">
        <f>IF(ISNUMBER(Table2[[#This Row],[Date_of_Discharge]]),"correct","incorrect")</f>
        <v>correct</v>
      </c>
      <c r="W106" t="str">
        <f>IF(ISNUMBER(Table2[[#This Row],[Follow_up_Visit]]),"correct","incorrect")</f>
        <v>incorrect</v>
      </c>
      <c r="AC106" t="str">
        <f>LOOKUP(C106,{20,30,40,50,60,70,80,90},{"20-29","30-39","40-49","50-59","60-69","70-79","80-89"})</f>
        <v>20-29</v>
      </c>
    </row>
    <row r="107" spans="1:29" x14ac:dyDescent="0.2">
      <c r="A107" t="s">
        <v>698</v>
      </c>
      <c r="B107" t="s">
        <v>699</v>
      </c>
      <c r="C107">
        <v>20</v>
      </c>
      <c r="D107" t="s">
        <v>160</v>
      </c>
      <c r="E107" t="s">
        <v>700</v>
      </c>
      <c r="F107">
        <v>45525</v>
      </c>
      <c r="G107" t="s">
        <v>645</v>
      </c>
      <c r="H107" t="s">
        <v>701</v>
      </c>
      <c r="I107" t="s">
        <v>702</v>
      </c>
      <c r="J107">
        <v>45451</v>
      </c>
      <c r="M107" t="b">
        <f>COUNTIF(Table2[Patient_ID],Table2[[#This Row],[Patient_ID]])&gt;1</f>
        <v>0</v>
      </c>
      <c r="N107" t="b">
        <f>COUNTIF(Table2[Name],Table2[[#This Row],[Name]])&gt;1</f>
        <v>0</v>
      </c>
      <c r="O10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7" t="str">
        <f t="shared" si="1"/>
        <v>Unknown</v>
      </c>
      <c r="Q107" t="b">
        <f>ISNUMBER(Table2[[#This Row],[Age]])</f>
        <v>1</v>
      </c>
      <c r="R107" t="str">
        <f>IF(ISNUMBER(Table2[[#This Row],[Date_of_Admission]]),"correct","incorrect")</f>
        <v>incorrect</v>
      </c>
      <c r="S107" t="str">
        <f>IF(ISNUMBER(Table2[[#This Row],[Date_of_Diagnosis]]),"correct","incorrect")</f>
        <v>correct</v>
      </c>
      <c r="T107" t="str">
        <f>IF(ISNUMBER(Table2[[#This Row],[Date_of_Treatment_Start]]),"correct","incorrect")</f>
        <v>incorrect</v>
      </c>
      <c r="U107" t="str">
        <f>IF(ISNUMBER(Table2[[#This Row],[Date_of_Surgery]]),"correct","incorrect")</f>
        <v>incorrect</v>
      </c>
      <c r="V107" t="str">
        <f>IF(ISNUMBER(Table2[[#This Row],[Date_of_Discharge]]),"correct","incorrect")</f>
        <v>incorrect</v>
      </c>
      <c r="W107" t="str">
        <f>IF(ISNUMBER(Table2[[#This Row],[Follow_up_Visit]]),"correct","incorrect")</f>
        <v>correct</v>
      </c>
      <c r="AC107" t="str">
        <f>LOOKUP(C107,{20,30,40,50,60,70,80,90},{"20-29","30-39","40-49","50-59","60-69","70-79","80-89"})</f>
        <v>20-29</v>
      </c>
    </row>
    <row r="108" spans="1:29" x14ac:dyDescent="0.2">
      <c r="A108" t="s">
        <v>703</v>
      </c>
      <c r="B108" t="s">
        <v>704</v>
      </c>
      <c r="C108">
        <v>27</v>
      </c>
      <c r="D108" t="s">
        <v>160</v>
      </c>
      <c r="E108" t="s">
        <v>705</v>
      </c>
      <c r="F108" t="s">
        <v>706</v>
      </c>
      <c r="G108" t="s">
        <v>649</v>
      </c>
      <c r="H108" t="s">
        <v>707</v>
      </c>
      <c r="M108" t="b">
        <f>COUNTIF(Table2[Patient_ID],Table2[[#This Row],[Patient_ID]])&gt;1</f>
        <v>0</v>
      </c>
      <c r="N108" t="b">
        <f>COUNTIF(Table2[Name],Table2[[#This Row],[Name]])&gt;1</f>
        <v>0</v>
      </c>
      <c r="O10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8" t="str">
        <f t="shared" si="1"/>
        <v>Unknown</v>
      </c>
      <c r="Q108" t="b">
        <f>ISNUMBER(Table2[[#This Row],[Age]])</f>
        <v>1</v>
      </c>
      <c r="R108" t="str">
        <f>IF(ISNUMBER(Table2[[#This Row],[Date_of_Admission]]),"correct","incorrect")</f>
        <v>incorrect</v>
      </c>
      <c r="S108" t="str">
        <f>IF(ISNUMBER(Table2[[#This Row],[Date_of_Diagnosis]]),"correct","incorrect")</f>
        <v>incorrect</v>
      </c>
      <c r="T108" t="str">
        <f>IF(ISNUMBER(Table2[[#This Row],[Date_of_Treatment_Start]]),"correct","incorrect")</f>
        <v>incorrect</v>
      </c>
      <c r="U108" t="str">
        <f>IF(ISNUMBER(Table2[[#This Row],[Date_of_Surgery]]),"correct","incorrect")</f>
        <v>incorrect</v>
      </c>
      <c r="V108" t="str">
        <f>IF(ISNUMBER(Table2[[#This Row],[Date_of_Discharge]]),"correct","incorrect")</f>
        <v>incorrect</v>
      </c>
      <c r="W108" t="str">
        <f>IF(ISNUMBER(Table2[[#This Row],[Follow_up_Visit]]),"correct","incorrect")</f>
        <v>incorrect</v>
      </c>
      <c r="AC108" t="str">
        <f>LOOKUP(C108,{20,30,40,50,60,70,80,90},{"20-29","30-39","40-49","50-59","60-69","70-79","80-89"})</f>
        <v>20-29</v>
      </c>
    </row>
    <row r="109" spans="1:29" x14ac:dyDescent="0.2">
      <c r="A109" t="s">
        <v>708</v>
      </c>
      <c r="B109" t="s">
        <v>709</v>
      </c>
      <c r="C109">
        <v>82</v>
      </c>
      <c r="D109" t="s">
        <v>160</v>
      </c>
      <c r="E109" t="s">
        <v>710</v>
      </c>
      <c r="F109" t="s">
        <v>711</v>
      </c>
      <c r="G109" t="s">
        <v>652</v>
      </c>
      <c r="H109" t="s">
        <v>190</v>
      </c>
      <c r="I109" t="s">
        <v>712</v>
      </c>
      <c r="J109" t="s">
        <v>246</v>
      </c>
      <c r="M109" t="b">
        <f>COUNTIF(Table2[Patient_ID],Table2[[#This Row],[Patient_ID]])&gt;1</f>
        <v>0</v>
      </c>
      <c r="N109" t="b">
        <f>COUNTIF(Table2[Name],Table2[[#This Row],[Name]])&gt;1</f>
        <v>0</v>
      </c>
      <c r="O10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09" t="str">
        <f t="shared" si="1"/>
        <v>Unknown</v>
      </c>
      <c r="Q109" t="b">
        <f>ISNUMBER(Table2[[#This Row],[Age]])</f>
        <v>1</v>
      </c>
      <c r="R109" t="str">
        <f>IF(ISNUMBER(Table2[[#This Row],[Date_of_Admission]]),"correct","incorrect")</f>
        <v>incorrect</v>
      </c>
      <c r="S109" t="str">
        <f>IF(ISNUMBER(Table2[[#This Row],[Date_of_Diagnosis]]),"correct","incorrect")</f>
        <v>incorrect</v>
      </c>
      <c r="T109" t="str">
        <f>IF(ISNUMBER(Table2[[#This Row],[Date_of_Treatment_Start]]),"correct","incorrect")</f>
        <v>incorrect</v>
      </c>
      <c r="U109" t="str">
        <f>IF(ISNUMBER(Table2[[#This Row],[Date_of_Surgery]]),"correct","incorrect")</f>
        <v>incorrect</v>
      </c>
      <c r="V109" t="str">
        <f>IF(ISNUMBER(Table2[[#This Row],[Date_of_Discharge]]),"correct","incorrect")</f>
        <v>incorrect</v>
      </c>
      <c r="W109" t="str">
        <f>IF(ISNUMBER(Table2[[#This Row],[Follow_up_Visit]]),"correct","incorrect")</f>
        <v>incorrect</v>
      </c>
      <c r="AC109" t="str">
        <f>LOOKUP(C109,{20,30,40,50,60,70,80,90},{"20-29","30-39","40-49","50-59","60-69","70-79","80-89"})</f>
        <v>80-89</v>
      </c>
    </row>
    <row r="110" spans="1:29" x14ac:dyDescent="0.2">
      <c r="A110" t="s">
        <v>713</v>
      </c>
      <c r="B110" t="s">
        <v>714</v>
      </c>
      <c r="C110">
        <v>30</v>
      </c>
      <c r="D110" t="s">
        <v>146</v>
      </c>
      <c r="E110" t="s">
        <v>715</v>
      </c>
      <c r="F110" t="s">
        <v>591</v>
      </c>
      <c r="G110" t="s">
        <v>658</v>
      </c>
      <c r="H110" t="s">
        <v>716</v>
      </c>
      <c r="I110" t="s">
        <v>717</v>
      </c>
      <c r="J110" t="s">
        <v>718</v>
      </c>
      <c r="M110" t="b">
        <f>COUNTIF(Table2[Patient_ID],Table2[[#This Row],[Patient_ID]])&gt;1</f>
        <v>0</v>
      </c>
      <c r="N110" t="b">
        <f>COUNTIF(Table2[Name],Table2[[#This Row],[Name]])&gt;1</f>
        <v>0</v>
      </c>
      <c r="O11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0" t="str">
        <f t="shared" si="1"/>
        <v>Unknown</v>
      </c>
      <c r="Q110" t="b">
        <f>ISNUMBER(Table2[[#This Row],[Age]])</f>
        <v>1</v>
      </c>
      <c r="R110" t="str">
        <f>IF(ISNUMBER(Table2[[#This Row],[Date_of_Admission]]),"correct","incorrect")</f>
        <v>incorrect</v>
      </c>
      <c r="S110" t="str">
        <f>IF(ISNUMBER(Table2[[#This Row],[Date_of_Diagnosis]]),"correct","incorrect")</f>
        <v>incorrect</v>
      </c>
      <c r="T110" t="str">
        <f>IF(ISNUMBER(Table2[[#This Row],[Date_of_Treatment_Start]]),"correct","incorrect")</f>
        <v>incorrect</v>
      </c>
      <c r="U110" t="str">
        <f>IF(ISNUMBER(Table2[[#This Row],[Date_of_Surgery]]),"correct","incorrect")</f>
        <v>incorrect</v>
      </c>
      <c r="V110" t="str">
        <f>IF(ISNUMBER(Table2[[#This Row],[Date_of_Discharge]]),"correct","incorrect")</f>
        <v>incorrect</v>
      </c>
      <c r="W110" t="str">
        <f>IF(ISNUMBER(Table2[[#This Row],[Follow_up_Visit]]),"correct","incorrect")</f>
        <v>incorrect</v>
      </c>
      <c r="AC110" t="str">
        <f>LOOKUP(C110,{20,30,40,50,60,70,80,90},{"20-29","30-39","40-49","50-59","60-69","70-79","80-89"})</f>
        <v>30-39</v>
      </c>
    </row>
    <row r="111" spans="1:29" x14ac:dyDescent="0.2">
      <c r="A111" t="s">
        <v>719</v>
      </c>
      <c r="B111" t="s">
        <v>720</v>
      </c>
      <c r="C111">
        <v>27</v>
      </c>
      <c r="D111" t="s">
        <v>146</v>
      </c>
      <c r="E111" t="s">
        <v>721</v>
      </c>
      <c r="F111" t="s">
        <v>722</v>
      </c>
      <c r="G111" t="s">
        <v>662</v>
      </c>
      <c r="I111" t="s">
        <v>198</v>
      </c>
      <c r="J111" t="s">
        <v>150</v>
      </c>
      <c r="M111" t="b">
        <f>COUNTIF(Table2[Patient_ID],Table2[[#This Row],[Patient_ID]])&gt;1</f>
        <v>0</v>
      </c>
      <c r="N111" t="b">
        <f>COUNTIF(Table2[Name],Table2[[#This Row],[Name]])&gt;1</f>
        <v>0</v>
      </c>
      <c r="O11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1" t="str">
        <f t="shared" si="1"/>
        <v>Unknown</v>
      </c>
      <c r="Q111" t="b">
        <f>ISNUMBER(Table2[[#This Row],[Age]])</f>
        <v>1</v>
      </c>
      <c r="R111" t="str">
        <f>IF(ISNUMBER(Table2[[#This Row],[Date_of_Admission]]),"correct","incorrect")</f>
        <v>incorrect</v>
      </c>
      <c r="S111" t="str">
        <f>IF(ISNUMBER(Table2[[#This Row],[Date_of_Diagnosis]]),"correct","incorrect")</f>
        <v>incorrect</v>
      </c>
      <c r="T111" t="str">
        <f>IF(ISNUMBER(Table2[[#This Row],[Date_of_Treatment_Start]]),"correct","incorrect")</f>
        <v>incorrect</v>
      </c>
      <c r="U111" t="str">
        <f>IF(ISNUMBER(Table2[[#This Row],[Date_of_Surgery]]),"correct","incorrect")</f>
        <v>incorrect</v>
      </c>
      <c r="V111" t="str">
        <f>IF(ISNUMBER(Table2[[#This Row],[Date_of_Discharge]]),"correct","incorrect")</f>
        <v>incorrect</v>
      </c>
      <c r="W111" t="str">
        <f>IF(ISNUMBER(Table2[[#This Row],[Follow_up_Visit]]),"correct","incorrect")</f>
        <v>incorrect</v>
      </c>
      <c r="AC111" t="str">
        <f>LOOKUP(C111,{20,30,40,50,60,70,80,90},{"20-29","30-39","40-49","50-59","60-69","70-79","80-89"})</f>
        <v>20-29</v>
      </c>
    </row>
    <row r="112" spans="1:29" x14ac:dyDescent="0.2">
      <c r="A112" t="s">
        <v>723</v>
      </c>
      <c r="B112" t="s">
        <v>724</v>
      </c>
      <c r="C112">
        <v>21</v>
      </c>
      <c r="D112" t="s">
        <v>146</v>
      </c>
      <c r="E112" t="s">
        <v>725</v>
      </c>
      <c r="F112" t="s">
        <v>726</v>
      </c>
      <c r="G112" t="s">
        <v>667</v>
      </c>
      <c r="H112" t="s">
        <v>727</v>
      </c>
      <c r="I112" t="s">
        <v>728</v>
      </c>
      <c r="J112" t="s">
        <v>234</v>
      </c>
      <c r="M112" t="b">
        <f>COUNTIF(Table2[Patient_ID],Table2[[#This Row],[Patient_ID]])&gt;1</f>
        <v>0</v>
      </c>
      <c r="N112" t="b">
        <f>COUNTIF(Table2[Name],Table2[[#This Row],[Name]])&gt;1</f>
        <v>0</v>
      </c>
      <c r="O11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2" t="str">
        <f t="shared" si="1"/>
        <v>Unknown</v>
      </c>
      <c r="Q112" t="b">
        <f>ISNUMBER(Table2[[#This Row],[Age]])</f>
        <v>1</v>
      </c>
      <c r="R112" t="str">
        <f>IF(ISNUMBER(Table2[[#This Row],[Date_of_Admission]]),"correct","incorrect")</f>
        <v>incorrect</v>
      </c>
      <c r="S112" t="str">
        <f>IF(ISNUMBER(Table2[[#This Row],[Date_of_Diagnosis]]),"correct","incorrect")</f>
        <v>incorrect</v>
      </c>
      <c r="T112" t="str">
        <f>IF(ISNUMBER(Table2[[#This Row],[Date_of_Treatment_Start]]),"correct","incorrect")</f>
        <v>incorrect</v>
      </c>
      <c r="U112" t="str">
        <f>IF(ISNUMBER(Table2[[#This Row],[Date_of_Surgery]]),"correct","incorrect")</f>
        <v>incorrect</v>
      </c>
      <c r="V112" t="str">
        <f>IF(ISNUMBER(Table2[[#This Row],[Date_of_Discharge]]),"correct","incorrect")</f>
        <v>incorrect</v>
      </c>
      <c r="W112" t="str">
        <f>IF(ISNUMBER(Table2[[#This Row],[Follow_up_Visit]]),"correct","incorrect")</f>
        <v>incorrect</v>
      </c>
      <c r="AC112" t="str">
        <f>LOOKUP(C112,{20,30,40,50,60,70,80,90},{"20-29","30-39","40-49","50-59","60-69","70-79","80-89"})</f>
        <v>20-29</v>
      </c>
    </row>
    <row r="113" spans="1:29" x14ac:dyDescent="0.2">
      <c r="A113" t="s">
        <v>729</v>
      </c>
      <c r="B113" t="s">
        <v>730</v>
      </c>
      <c r="C113">
        <v>54</v>
      </c>
      <c r="D113" t="s">
        <v>160</v>
      </c>
      <c r="E113" t="s">
        <v>731</v>
      </c>
      <c r="F113" t="s">
        <v>732</v>
      </c>
      <c r="G113" t="s">
        <v>671</v>
      </c>
      <c r="H113" t="s">
        <v>733</v>
      </c>
      <c r="J113" t="s">
        <v>234</v>
      </c>
      <c r="M113" t="b">
        <f>COUNTIF(Table2[Patient_ID],Table2[[#This Row],[Patient_ID]])&gt;1</f>
        <v>0</v>
      </c>
      <c r="N113" t="b">
        <f>COUNTIF(Table2[Name],Table2[[#This Row],[Name]])&gt;1</f>
        <v>0</v>
      </c>
      <c r="O11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3" t="str">
        <f t="shared" si="1"/>
        <v>Unknown</v>
      </c>
      <c r="Q113" t="b">
        <f>ISNUMBER(Table2[[#This Row],[Age]])</f>
        <v>1</v>
      </c>
      <c r="R113" t="str">
        <f>IF(ISNUMBER(Table2[[#This Row],[Date_of_Admission]]),"correct","incorrect")</f>
        <v>incorrect</v>
      </c>
      <c r="S113" t="str">
        <f>IF(ISNUMBER(Table2[[#This Row],[Date_of_Diagnosis]]),"correct","incorrect")</f>
        <v>incorrect</v>
      </c>
      <c r="T113" t="str">
        <f>IF(ISNUMBER(Table2[[#This Row],[Date_of_Treatment_Start]]),"correct","incorrect")</f>
        <v>incorrect</v>
      </c>
      <c r="U113" t="str">
        <f>IF(ISNUMBER(Table2[[#This Row],[Date_of_Surgery]]),"correct","incorrect")</f>
        <v>incorrect</v>
      </c>
      <c r="V113" t="str">
        <f>IF(ISNUMBER(Table2[[#This Row],[Date_of_Discharge]]),"correct","incorrect")</f>
        <v>incorrect</v>
      </c>
      <c r="W113" t="str">
        <f>IF(ISNUMBER(Table2[[#This Row],[Follow_up_Visit]]),"correct","incorrect")</f>
        <v>incorrect</v>
      </c>
      <c r="AC113" t="str">
        <f>LOOKUP(C113,{20,30,40,50,60,70,80,90},{"20-29","30-39","40-49","50-59","60-69","70-79","80-89"})</f>
        <v>50-59</v>
      </c>
    </row>
    <row r="114" spans="1:29" x14ac:dyDescent="0.2">
      <c r="A114" t="s">
        <v>734</v>
      </c>
      <c r="B114" t="s">
        <v>735</v>
      </c>
      <c r="C114">
        <v>54</v>
      </c>
      <c r="D114" t="s">
        <v>160</v>
      </c>
      <c r="E114" t="s">
        <v>199</v>
      </c>
      <c r="F114" t="s">
        <v>591</v>
      </c>
      <c r="G114" t="s">
        <v>679</v>
      </c>
      <c r="H114" t="s">
        <v>736</v>
      </c>
      <c r="I114" t="s">
        <v>737</v>
      </c>
      <c r="J114" t="s">
        <v>187</v>
      </c>
      <c r="M114" t="b">
        <f>COUNTIF(Table2[Patient_ID],Table2[[#This Row],[Patient_ID]])&gt;1</f>
        <v>0</v>
      </c>
      <c r="N114" t="b">
        <f>COUNTIF(Table2[Name],Table2[[#This Row],[Name]])&gt;1</f>
        <v>0</v>
      </c>
      <c r="O11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4" t="str">
        <f t="shared" si="1"/>
        <v>Unknown</v>
      </c>
      <c r="Q114" t="b">
        <f>ISNUMBER(Table2[[#This Row],[Age]])</f>
        <v>1</v>
      </c>
      <c r="R114" t="str">
        <f>IF(ISNUMBER(Table2[[#This Row],[Date_of_Admission]]),"correct","incorrect")</f>
        <v>incorrect</v>
      </c>
      <c r="S114" t="str">
        <f>IF(ISNUMBER(Table2[[#This Row],[Date_of_Diagnosis]]),"correct","incorrect")</f>
        <v>incorrect</v>
      </c>
      <c r="T114" t="str">
        <f>IF(ISNUMBER(Table2[[#This Row],[Date_of_Treatment_Start]]),"correct","incorrect")</f>
        <v>incorrect</v>
      </c>
      <c r="U114" t="str">
        <f>IF(ISNUMBER(Table2[[#This Row],[Date_of_Surgery]]),"correct","incorrect")</f>
        <v>incorrect</v>
      </c>
      <c r="V114" t="str">
        <f>IF(ISNUMBER(Table2[[#This Row],[Date_of_Discharge]]),"correct","incorrect")</f>
        <v>incorrect</v>
      </c>
      <c r="W114" t="str">
        <f>IF(ISNUMBER(Table2[[#This Row],[Follow_up_Visit]]),"correct","incorrect")</f>
        <v>incorrect</v>
      </c>
      <c r="AC114" t="str">
        <f>LOOKUP(C114,{20,30,40,50,60,70,80,90},{"20-29","30-39","40-49","50-59","60-69","70-79","80-89"})</f>
        <v>50-59</v>
      </c>
    </row>
    <row r="115" spans="1:29" x14ac:dyDescent="0.2">
      <c r="A115" t="s">
        <v>738</v>
      </c>
      <c r="B115" t="s">
        <v>739</v>
      </c>
      <c r="C115">
        <v>52</v>
      </c>
      <c r="D115" t="s">
        <v>146</v>
      </c>
      <c r="E115" t="s">
        <v>206</v>
      </c>
      <c r="F115" t="s">
        <v>591</v>
      </c>
      <c r="G115" t="s">
        <v>740</v>
      </c>
      <c r="H115" t="s">
        <v>246</v>
      </c>
      <c r="I115" t="s">
        <v>741</v>
      </c>
      <c r="J115" t="s">
        <v>742</v>
      </c>
      <c r="M115" t="b">
        <f>COUNTIF(Table2[Patient_ID],Table2[[#This Row],[Patient_ID]])&gt;1</f>
        <v>0</v>
      </c>
      <c r="N115" t="b">
        <f>COUNTIF(Table2[Name],Table2[[#This Row],[Name]])&gt;1</f>
        <v>0</v>
      </c>
      <c r="O11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5" t="str">
        <f t="shared" si="1"/>
        <v>Unknown</v>
      </c>
      <c r="Q115" t="b">
        <f>ISNUMBER(Table2[[#This Row],[Age]])</f>
        <v>1</v>
      </c>
      <c r="R115" t="str">
        <f>IF(ISNUMBER(Table2[[#This Row],[Date_of_Admission]]),"correct","incorrect")</f>
        <v>incorrect</v>
      </c>
      <c r="S115" t="str">
        <f>IF(ISNUMBER(Table2[[#This Row],[Date_of_Diagnosis]]),"correct","incorrect")</f>
        <v>incorrect</v>
      </c>
      <c r="T115" t="str">
        <f>IF(ISNUMBER(Table2[[#This Row],[Date_of_Treatment_Start]]),"correct","incorrect")</f>
        <v>incorrect</v>
      </c>
      <c r="U115" t="str">
        <f>IF(ISNUMBER(Table2[[#This Row],[Date_of_Surgery]]),"correct","incorrect")</f>
        <v>incorrect</v>
      </c>
      <c r="V115" t="str">
        <f>IF(ISNUMBER(Table2[[#This Row],[Date_of_Discharge]]),"correct","incorrect")</f>
        <v>incorrect</v>
      </c>
      <c r="W115" t="str">
        <f>IF(ISNUMBER(Table2[[#This Row],[Follow_up_Visit]]),"correct","incorrect")</f>
        <v>incorrect</v>
      </c>
      <c r="AC115" t="str">
        <f>LOOKUP(C115,{20,30,40,50,60,70,80,90},{"20-29","30-39","40-49","50-59","60-69","70-79","80-89"})</f>
        <v>50-59</v>
      </c>
    </row>
    <row r="116" spans="1:29" x14ac:dyDescent="0.2">
      <c r="A116" t="s">
        <v>743</v>
      </c>
      <c r="B116" t="s">
        <v>744</v>
      </c>
      <c r="C116">
        <v>24</v>
      </c>
      <c r="D116" t="s">
        <v>146</v>
      </c>
      <c r="E116" t="s">
        <v>211</v>
      </c>
      <c r="F116" t="s">
        <v>745</v>
      </c>
      <c r="G116" t="s">
        <v>746</v>
      </c>
      <c r="H116" t="s">
        <v>190</v>
      </c>
      <c r="I116" t="s">
        <v>747</v>
      </c>
      <c r="J116" t="s">
        <v>234</v>
      </c>
      <c r="M116" t="b">
        <f>COUNTIF(Table2[Patient_ID],Table2[[#This Row],[Patient_ID]])&gt;1</f>
        <v>0</v>
      </c>
      <c r="N116" t="b">
        <f>COUNTIF(Table2[Name],Table2[[#This Row],[Name]])&gt;1</f>
        <v>0</v>
      </c>
      <c r="O11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6" t="str">
        <f t="shared" si="1"/>
        <v>Unknown</v>
      </c>
      <c r="Q116" t="b">
        <f>ISNUMBER(Table2[[#This Row],[Age]])</f>
        <v>1</v>
      </c>
      <c r="R116" t="str">
        <f>IF(ISNUMBER(Table2[[#This Row],[Date_of_Admission]]),"correct","incorrect")</f>
        <v>incorrect</v>
      </c>
      <c r="S116" t="str">
        <f>IF(ISNUMBER(Table2[[#This Row],[Date_of_Diagnosis]]),"correct","incorrect")</f>
        <v>incorrect</v>
      </c>
      <c r="T116" t="str">
        <f>IF(ISNUMBER(Table2[[#This Row],[Date_of_Treatment_Start]]),"correct","incorrect")</f>
        <v>incorrect</v>
      </c>
      <c r="U116" t="str">
        <f>IF(ISNUMBER(Table2[[#This Row],[Date_of_Surgery]]),"correct","incorrect")</f>
        <v>incorrect</v>
      </c>
      <c r="V116" t="str">
        <f>IF(ISNUMBER(Table2[[#This Row],[Date_of_Discharge]]),"correct","incorrect")</f>
        <v>incorrect</v>
      </c>
      <c r="W116" t="str">
        <f>IF(ISNUMBER(Table2[[#This Row],[Follow_up_Visit]]),"correct","incorrect")</f>
        <v>incorrect</v>
      </c>
      <c r="AC116" t="str">
        <f>LOOKUP(C116,{20,30,40,50,60,70,80,90},{"20-29","30-39","40-49","50-59","60-69","70-79","80-89"})</f>
        <v>20-29</v>
      </c>
    </row>
    <row r="117" spans="1:29" x14ac:dyDescent="0.2">
      <c r="A117" t="s">
        <v>748</v>
      </c>
      <c r="B117" t="s">
        <v>749</v>
      </c>
      <c r="C117">
        <v>60</v>
      </c>
      <c r="D117" t="s">
        <v>160</v>
      </c>
      <c r="E117" t="s">
        <v>216</v>
      </c>
      <c r="F117" t="s">
        <v>750</v>
      </c>
      <c r="G117" t="s">
        <v>751</v>
      </c>
      <c r="H117" t="s">
        <v>752</v>
      </c>
      <c r="I117" t="s">
        <v>198</v>
      </c>
      <c r="J117" t="s">
        <v>150</v>
      </c>
      <c r="M117" t="b">
        <f>COUNTIF(Table2[Patient_ID],Table2[[#This Row],[Patient_ID]])&gt;1</f>
        <v>0</v>
      </c>
      <c r="N117" t="b">
        <f>COUNTIF(Table2[Name],Table2[[#This Row],[Name]])&gt;1</f>
        <v>0</v>
      </c>
      <c r="O11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7" t="str">
        <f t="shared" si="1"/>
        <v>Unknown</v>
      </c>
      <c r="Q117" t="b">
        <f>ISNUMBER(Table2[[#This Row],[Age]])</f>
        <v>1</v>
      </c>
      <c r="R117" t="str">
        <f>IF(ISNUMBER(Table2[[#This Row],[Date_of_Admission]]),"correct","incorrect")</f>
        <v>incorrect</v>
      </c>
      <c r="S117" t="str">
        <f>IF(ISNUMBER(Table2[[#This Row],[Date_of_Diagnosis]]),"correct","incorrect")</f>
        <v>incorrect</v>
      </c>
      <c r="T117" t="str">
        <f>IF(ISNUMBER(Table2[[#This Row],[Date_of_Treatment_Start]]),"correct","incorrect")</f>
        <v>incorrect</v>
      </c>
      <c r="U117" t="str">
        <f>IF(ISNUMBER(Table2[[#This Row],[Date_of_Surgery]]),"correct","incorrect")</f>
        <v>incorrect</v>
      </c>
      <c r="V117" t="str">
        <f>IF(ISNUMBER(Table2[[#This Row],[Date_of_Discharge]]),"correct","incorrect")</f>
        <v>incorrect</v>
      </c>
      <c r="W117" t="str">
        <f>IF(ISNUMBER(Table2[[#This Row],[Follow_up_Visit]]),"correct","incorrect")</f>
        <v>incorrect</v>
      </c>
      <c r="AC117" t="str">
        <f>LOOKUP(C117,{20,30,40,50,60,70,80,90},{"20-29","30-39","40-49","50-59","60-69","70-79","80-89"})</f>
        <v>60-69</v>
      </c>
    </row>
    <row r="118" spans="1:29" x14ac:dyDescent="0.2">
      <c r="A118" t="s">
        <v>753</v>
      </c>
      <c r="B118" t="s">
        <v>754</v>
      </c>
      <c r="C118">
        <v>47</v>
      </c>
      <c r="D118" t="s">
        <v>146</v>
      </c>
      <c r="E118">
        <v>43843</v>
      </c>
      <c r="F118" t="s">
        <v>755</v>
      </c>
      <c r="G118" t="s">
        <v>756</v>
      </c>
      <c r="H118" t="s">
        <v>246</v>
      </c>
      <c r="I118" t="s">
        <v>757</v>
      </c>
      <c r="J118" t="s">
        <v>198</v>
      </c>
      <c r="M118" t="b">
        <f>COUNTIF(Table2[Patient_ID],Table2[[#This Row],[Patient_ID]])&gt;1</f>
        <v>0</v>
      </c>
      <c r="N118" t="b">
        <f>COUNTIF(Table2[Name],Table2[[#This Row],[Name]])&gt;1</f>
        <v>0</v>
      </c>
      <c r="O11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8" t="str">
        <f t="shared" si="1"/>
        <v>Unknown</v>
      </c>
      <c r="Q118" t="b">
        <f>ISNUMBER(Table2[[#This Row],[Age]])</f>
        <v>1</v>
      </c>
      <c r="R118" t="str">
        <f>IF(ISNUMBER(Table2[[#This Row],[Date_of_Admission]]),"correct","incorrect")</f>
        <v>correct</v>
      </c>
      <c r="S118" t="str">
        <f>IF(ISNUMBER(Table2[[#This Row],[Date_of_Diagnosis]]),"correct","incorrect")</f>
        <v>incorrect</v>
      </c>
      <c r="T118" t="str">
        <f>IF(ISNUMBER(Table2[[#This Row],[Date_of_Treatment_Start]]),"correct","incorrect")</f>
        <v>incorrect</v>
      </c>
      <c r="U118" t="str">
        <f>IF(ISNUMBER(Table2[[#This Row],[Date_of_Surgery]]),"correct","incorrect")</f>
        <v>incorrect</v>
      </c>
      <c r="V118" t="str">
        <f>IF(ISNUMBER(Table2[[#This Row],[Date_of_Discharge]]),"correct","incorrect")</f>
        <v>incorrect</v>
      </c>
      <c r="W118" t="str">
        <f>IF(ISNUMBER(Table2[[#This Row],[Follow_up_Visit]]),"correct","incorrect")</f>
        <v>incorrect</v>
      </c>
      <c r="AC118" t="str">
        <f>LOOKUP(C118,{20,30,40,50,60,70,80,90},{"20-29","30-39","40-49","50-59","60-69","70-79","80-89"})</f>
        <v>40-49</v>
      </c>
    </row>
    <row r="119" spans="1:29" x14ac:dyDescent="0.2">
      <c r="A119" t="s">
        <v>758</v>
      </c>
      <c r="B119" t="s">
        <v>759</v>
      </c>
      <c r="C119">
        <v>26</v>
      </c>
      <c r="D119" t="s">
        <v>160</v>
      </c>
      <c r="E119" t="s">
        <v>198</v>
      </c>
      <c r="F119" t="s">
        <v>760</v>
      </c>
      <c r="G119" t="s">
        <v>761</v>
      </c>
      <c r="H119" t="s">
        <v>190</v>
      </c>
      <c r="I119" t="s">
        <v>762</v>
      </c>
      <c r="J119" t="s">
        <v>190</v>
      </c>
      <c r="M119" t="b">
        <f>COUNTIF(Table2[Patient_ID],Table2[[#This Row],[Patient_ID]])&gt;1</f>
        <v>0</v>
      </c>
      <c r="N119" t="b">
        <f>COUNTIF(Table2[Name],Table2[[#This Row],[Name]])&gt;1</f>
        <v>0</v>
      </c>
      <c r="O11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19" t="str">
        <f t="shared" si="1"/>
        <v>Unknown</v>
      </c>
      <c r="Q119" t="b">
        <f>ISNUMBER(Table2[[#This Row],[Age]])</f>
        <v>1</v>
      </c>
      <c r="R119" t="str">
        <f>IF(ISNUMBER(Table2[[#This Row],[Date_of_Admission]]),"correct","incorrect")</f>
        <v>incorrect</v>
      </c>
      <c r="S119" t="str">
        <f>IF(ISNUMBER(Table2[[#This Row],[Date_of_Diagnosis]]),"correct","incorrect")</f>
        <v>incorrect</v>
      </c>
      <c r="T119" t="str">
        <f>IF(ISNUMBER(Table2[[#This Row],[Date_of_Treatment_Start]]),"correct","incorrect")</f>
        <v>incorrect</v>
      </c>
      <c r="U119" t="str">
        <f>IF(ISNUMBER(Table2[[#This Row],[Date_of_Surgery]]),"correct","incorrect")</f>
        <v>incorrect</v>
      </c>
      <c r="V119" t="str">
        <f>IF(ISNUMBER(Table2[[#This Row],[Date_of_Discharge]]),"correct","incorrect")</f>
        <v>incorrect</v>
      </c>
      <c r="W119" t="str">
        <f>IF(ISNUMBER(Table2[[#This Row],[Follow_up_Visit]]),"correct","incorrect")</f>
        <v>incorrect</v>
      </c>
      <c r="AC119" t="str">
        <f>LOOKUP(C119,{20,30,40,50,60,70,80,90},{"20-29","30-39","40-49","50-59","60-69","70-79","80-89"})</f>
        <v>20-29</v>
      </c>
    </row>
    <row r="120" spans="1:29" x14ac:dyDescent="0.2">
      <c r="A120" t="s">
        <v>763</v>
      </c>
      <c r="B120" t="s">
        <v>764</v>
      </c>
      <c r="C120">
        <v>31</v>
      </c>
      <c r="D120" t="s">
        <v>160</v>
      </c>
      <c r="E120" t="s">
        <v>765</v>
      </c>
      <c r="F120" t="s">
        <v>766</v>
      </c>
      <c r="G120" t="s">
        <v>767</v>
      </c>
      <c r="J120">
        <v>45540</v>
      </c>
      <c r="M120" t="b">
        <f>COUNTIF(Table2[Patient_ID],Table2[[#This Row],[Patient_ID]])&gt;1</f>
        <v>0</v>
      </c>
      <c r="N120" t="b">
        <f>COUNTIF(Table2[Name],Table2[[#This Row],[Name]])&gt;1</f>
        <v>0</v>
      </c>
      <c r="O12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0" t="str">
        <f t="shared" si="1"/>
        <v>Unknown</v>
      </c>
      <c r="Q120" t="b">
        <f>ISNUMBER(Table2[[#This Row],[Age]])</f>
        <v>1</v>
      </c>
      <c r="R120" t="str">
        <f>IF(ISNUMBER(Table2[[#This Row],[Date_of_Admission]]),"correct","incorrect")</f>
        <v>incorrect</v>
      </c>
      <c r="S120" t="str">
        <f>IF(ISNUMBER(Table2[[#This Row],[Date_of_Diagnosis]]),"correct","incorrect")</f>
        <v>incorrect</v>
      </c>
      <c r="T120" t="str">
        <f>IF(ISNUMBER(Table2[[#This Row],[Date_of_Treatment_Start]]),"correct","incorrect")</f>
        <v>incorrect</v>
      </c>
      <c r="U120" t="str">
        <f>IF(ISNUMBER(Table2[[#This Row],[Date_of_Surgery]]),"correct","incorrect")</f>
        <v>incorrect</v>
      </c>
      <c r="V120" t="str">
        <f>IF(ISNUMBER(Table2[[#This Row],[Date_of_Discharge]]),"correct","incorrect")</f>
        <v>incorrect</v>
      </c>
      <c r="W120" t="str">
        <f>IF(ISNUMBER(Table2[[#This Row],[Follow_up_Visit]]),"correct","incorrect")</f>
        <v>correct</v>
      </c>
      <c r="AC120" t="str">
        <f>LOOKUP(C120,{20,30,40,50,60,70,80,90},{"20-29","30-39","40-49","50-59","60-69","70-79","80-89"})</f>
        <v>30-39</v>
      </c>
    </row>
    <row r="121" spans="1:29" x14ac:dyDescent="0.2">
      <c r="A121" t="s">
        <v>768</v>
      </c>
      <c r="B121" t="s">
        <v>769</v>
      </c>
      <c r="C121">
        <v>53</v>
      </c>
      <c r="D121" t="s">
        <v>146</v>
      </c>
      <c r="E121" t="s">
        <v>147</v>
      </c>
      <c r="F121" t="s">
        <v>770</v>
      </c>
      <c r="G121" t="s">
        <v>771</v>
      </c>
      <c r="H121" t="s">
        <v>223</v>
      </c>
      <c r="I121" t="s">
        <v>772</v>
      </c>
      <c r="J121" t="s">
        <v>198</v>
      </c>
      <c r="M121" t="b">
        <f>COUNTIF(Table2[Patient_ID],Table2[[#This Row],[Patient_ID]])&gt;1</f>
        <v>0</v>
      </c>
      <c r="N121" t="b">
        <f>COUNTIF(Table2[Name],Table2[[#This Row],[Name]])&gt;1</f>
        <v>0</v>
      </c>
      <c r="O12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1" t="str">
        <f t="shared" si="1"/>
        <v>Unknown</v>
      </c>
      <c r="Q121" t="b">
        <f>ISNUMBER(Table2[[#This Row],[Age]])</f>
        <v>1</v>
      </c>
      <c r="R121" t="str">
        <f>IF(ISNUMBER(Table2[[#This Row],[Date_of_Admission]]),"correct","incorrect")</f>
        <v>incorrect</v>
      </c>
      <c r="S121" t="str">
        <f>IF(ISNUMBER(Table2[[#This Row],[Date_of_Diagnosis]]),"correct","incorrect")</f>
        <v>incorrect</v>
      </c>
      <c r="T121" t="str">
        <f>IF(ISNUMBER(Table2[[#This Row],[Date_of_Treatment_Start]]),"correct","incorrect")</f>
        <v>incorrect</v>
      </c>
      <c r="U121" t="str">
        <f>IF(ISNUMBER(Table2[[#This Row],[Date_of_Surgery]]),"correct","incorrect")</f>
        <v>incorrect</v>
      </c>
      <c r="V121" t="str">
        <f>IF(ISNUMBER(Table2[[#This Row],[Date_of_Discharge]]),"correct","incorrect")</f>
        <v>incorrect</v>
      </c>
      <c r="W121" t="str">
        <f>IF(ISNUMBER(Table2[[#This Row],[Follow_up_Visit]]),"correct","incorrect")</f>
        <v>incorrect</v>
      </c>
      <c r="AC121" t="str">
        <f>LOOKUP(C121,{20,30,40,50,60,70,80,90},{"20-29","30-39","40-49","50-59","60-69","70-79","80-89"})</f>
        <v>50-59</v>
      </c>
    </row>
    <row r="122" spans="1:29" x14ac:dyDescent="0.2">
      <c r="A122" t="s">
        <v>773</v>
      </c>
      <c r="B122" t="s">
        <v>774</v>
      </c>
      <c r="C122">
        <v>52</v>
      </c>
      <c r="D122" t="s">
        <v>146</v>
      </c>
      <c r="E122" t="s">
        <v>775</v>
      </c>
      <c r="F122" t="s">
        <v>776</v>
      </c>
      <c r="G122" t="s">
        <v>363</v>
      </c>
      <c r="H122" t="s">
        <v>777</v>
      </c>
      <c r="I122" t="s">
        <v>778</v>
      </c>
      <c r="J122">
        <v>44958</v>
      </c>
      <c r="M122" t="b">
        <f>COUNTIF(Table2[Patient_ID],Table2[[#This Row],[Patient_ID]])&gt;1</f>
        <v>0</v>
      </c>
      <c r="N122" t="b">
        <f>COUNTIF(Table2[Name],Table2[[#This Row],[Name]])&gt;1</f>
        <v>0</v>
      </c>
      <c r="O12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2" t="str">
        <f t="shared" si="1"/>
        <v>Unknown</v>
      </c>
      <c r="Q122" t="b">
        <f>ISNUMBER(Table2[[#This Row],[Age]])</f>
        <v>1</v>
      </c>
      <c r="R122" t="str">
        <f>IF(ISNUMBER(Table2[[#This Row],[Date_of_Admission]]),"correct","incorrect")</f>
        <v>incorrect</v>
      </c>
      <c r="S122" t="str">
        <f>IF(ISNUMBER(Table2[[#This Row],[Date_of_Diagnosis]]),"correct","incorrect")</f>
        <v>incorrect</v>
      </c>
      <c r="T122" t="str">
        <f>IF(ISNUMBER(Table2[[#This Row],[Date_of_Treatment_Start]]),"correct","incorrect")</f>
        <v>incorrect</v>
      </c>
      <c r="U122" t="str">
        <f>IF(ISNUMBER(Table2[[#This Row],[Date_of_Surgery]]),"correct","incorrect")</f>
        <v>incorrect</v>
      </c>
      <c r="V122" t="str">
        <f>IF(ISNUMBER(Table2[[#This Row],[Date_of_Discharge]]),"correct","incorrect")</f>
        <v>incorrect</v>
      </c>
      <c r="W122" t="str">
        <f>IF(ISNUMBER(Table2[[#This Row],[Follow_up_Visit]]),"correct","incorrect")</f>
        <v>correct</v>
      </c>
      <c r="AC122" t="str">
        <f>LOOKUP(C122,{20,30,40,50,60,70,80,90},{"20-29","30-39","40-49","50-59","60-69","70-79","80-89"})</f>
        <v>50-59</v>
      </c>
    </row>
    <row r="123" spans="1:29" x14ac:dyDescent="0.2">
      <c r="A123" t="s">
        <v>779</v>
      </c>
      <c r="B123" t="s">
        <v>780</v>
      </c>
      <c r="C123">
        <v>49</v>
      </c>
      <c r="D123" t="s">
        <v>160</v>
      </c>
      <c r="E123" t="s">
        <v>781</v>
      </c>
      <c r="F123" t="s">
        <v>726</v>
      </c>
      <c r="G123" t="s">
        <v>782</v>
      </c>
      <c r="H123" t="s">
        <v>223</v>
      </c>
      <c r="I123" t="s">
        <v>783</v>
      </c>
      <c r="J123">
        <v>45235</v>
      </c>
      <c r="M123" t="b">
        <f>COUNTIF(Table2[Patient_ID],Table2[[#This Row],[Patient_ID]])&gt;1</f>
        <v>0</v>
      </c>
      <c r="N123" t="b">
        <f>COUNTIF(Table2[Name],Table2[[#This Row],[Name]])&gt;1</f>
        <v>0</v>
      </c>
      <c r="O12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3" t="str">
        <f t="shared" si="1"/>
        <v>Unknown</v>
      </c>
      <c r="Q123" t="b">
        <f>ISNUMBER(Table2[[#This Row],[Age]])</f>
        <v>1</v>
      </c>
      <c r="R123" t="str">
        <f>IF(ISNUMBER(Table2[[#This Row],[Date_of_Admission]]),"correct","incorrect")</f>
        <v>incorrect</v>
      </c>
      <c r="S123" t="str">
        <f>IF(ISNUMBER(Table2[[#This Row],[Date_of_Diagnosis]]),"correct","incorrect")</f>
        <v>incorrect</v>
      </c>
      <c r="T123" t="str">
        <f>IF(ISNUMBER(Table2[[#This Row],[Date_of_Treatment_Start]]),"correct","incorrect")</f>
        <v>incorrect</v>
      </c>
      <c r="U123" t="str">
        <f>IF(ISNUMBER(Table2[[#This Row],[Date_of_Surgery]]),"correct","incorrect")</f>
        <v>incorrect</v>
      </c>
      <c r="V123" t="str">
        <f>IF(ISNUMBER(Table2[[#This Row],[Date_of_Discharge]]),"correct","incorrect")</f>
        <v>incorrect</v>
      </c>
      <c r="W123" t="str">
        <f>IF(ISNUMBER(Table2[[#This Row],[Follow_up_Visit]]),"correct","incorrect")</f>
        <v>correct</v>
      </c>
      <c r="AC123" t="str">
        <f>LOOKUP(C123,{20,30,40,50,60,70,80,90},{"20-29","30-39","40-49","50-59","60-69","70-79","80-89"})</f>
        <v>40-49</v>
      </c>
    </row>
    <row r="124" spans="1:29" x14ac:dyDescent="0.2">
      <c r="A124" t="s">
        <v>784</v>
      </c>
      <c r="B124" t="s">
        <v>785</v>
      </c>
      <c r="C124">
        <v>67</v>
      </c>
      <c r="D124" t="s">
        <v>160</v>
      </c>
      <c r="E124">
        <v>45537</v>
      </c>
      <c r="F124" t="s">
        <v>786</v>
      </c>
      <c r="G124" t="s">
        <v>687</v>
      </c>
      <c r="H124" t="s">
        <v>182</v>
      </c>
      <c r="J124">
        <v>45067</v>
      </c>
      <c r="M124" t="b">
        <f>COUNTIF(Table2[Patient_ID],Table2[[#This Row],[Patient_ID]])&gt;1</f>
        <v>0</v>
      </c>
      <c r="N124" t="b">
        <f>COUNTIF(Table2[Name],Table2[[#This Row],[Name]])&gt;1</f>
        <v>0</v>
      </c>
      <c r="O124"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4" t="str">
        <f t="shared" si="1"/>
        <v>Unknown</v>
      </c>
      <c r="Q124" t="b">
        <f>ISNUMBER(Table2[[#This Row],[Age]])</f>
        <v>1</v>
      </c>
      <c r="R124" t="str">
        <f>IF(ISNUMBER(Table2[[#This Row],[Date_of_Admission]]),"correct","incorrect")</f>
        <v>correct</v>
      </c>
      <c r="S124" t="str">
        <f>IF(ISNUMBER(Table2[[#This Row],[Date_of_Diagnosis]]),"correct","incorrect")</f>
        <v>incorrect</v>
      </c>
      <c r="T124" t="str">
        <f>IF(ISNUMBER(Table2[[#This Row],[Date_of_Treatment_Start]]),"correct","incorrect")</f>
        <v>incorrect</v>
      </c>
      <c r="U124" t="str">
        <f>IF(ISNUMBER(Table2[[#This Row],[Date_of_Surgery]]),"correct","incorrect")</f>
        <v>incorrect</v>
      </c>
      <c r="V124" t="str">
        <f>IF(ISNUMBER(Table2[[#This Row],[Date_of_Discharge]]),"correct","incorrect")</f>
        <v>incorrect</v>
      </c>
      <c r="W124" t="str">
        <f>IF(ISNUMBER(Table2[[#This Row],[Follow_up_Visit]]),"correct","incorrect")</f>
        <v>correct</v>
      </c>
      <c r="AC124" t="str">
        <f>LOOKUP(C124,{20,30,40,50,60,70,80,90},{"20-29","30-39","40-49","50-59","60-69","70-79","80-89"})</f>
        <v>60-69</v>
      </c>
    </row>
    <row r="125" spans="1:29" x14ac:dyDescent="0.2">
      <c r="A125" t="s">
        <v>787</v>
      </c>
      <c r="B125" t="s">
        <v>788</v>
      </c>
      <c r="C125">
        <v>42</v>
      </c>
      <c r="D125" t="s">
        <v>160</v>
      </c>
      <c r="E125" t="s">
        <v>147</v>
      </c>
      <c r="F125" t="s">
        <v>789</v>
      </c>
      <c r="G125" t="s">
        <v>790</v>
      </c>
      <c r="H125" t="s">
        <v>223</v>
      </c>
      <c r="I125" t="s">
        <v>791</v>
      </c>
      <c r="J125" t="s">
        <v>161</v>
      </c>
      <c r="M125" t="b">
        <f>COUNTIF(Table2[Patient_ID],Table2[[#This Row],[Patient_ID]])&gt;1</f>
        <v>0</v>
      </c>
      <c r="N125" t="b">
        <f>COUNTIF(Table2[Name],Table2[[#This Row],[Name]])&gt;1</f>
        <v>0</v>
      </c>
      <c r="O125"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5" t="str">
        <f t="shared" si="1"/>
        <v>Unknown</v>
      </c>
      <c r="Q125" t="b">
        <f>ISNUMBER(Table2[[#This Row],[Age]])</f>
        <v>1</v>
      </c>
      <c r="R125" t="str">
        <f>IF(ISNUMBER(Table2[[#This Row],[Date_of_Admission]]),"correct","incorrect")</f>
        <v>incorrect</v>
      </c>
      <c r="S125" t="str">
        <f>IF(ISNUMBER(Table2[[#This Row],[Date_of_Diagnosis]]),"correct","incorrect")</f>
        <v>incorrect</v>
      </c>
      <c r="T125" t="str">
        <f>IF(ISNUMBER(Table2[[#This Row],[Date_of_Treatment_Start]]),"correct","incorrect")</f>
        <v>incorrect</v>
      </c>
      <c r="U125" t="str">
        <f>IF(ISNUMBER(Table2[[#This Row],[Date_of_Surgery]]),"correct","incorrect")</f>
        <v>incorrect</v>
      </c>
      <c r="V125" t="str">
        <f>IF(ISNUMBER(Table2[[#This Row],[Date_of_Discharge]]),"correct","incorrect")</f>
        <v>incorrect</v>
      </c>
      <c r="W125" t="str">
        <f>IF(ISNUMBER(Table2[[#This Row],[Follow_up_Visit]]),"correct","incorrect")</f>
        <v>incorrect</v>
      </c>
      <c r="AC125" t="str">
        <f>LOOKUP(C125,{20,30,40,50,60,70,80,90},{"20-29","30-39","40-49","50-59","60-69","70-79","80-89"})</f>
        <v>40-49</v>
      </c>
    </row>
    <row r="126" spans="1:29" x14ac:dyDescent="0.2">
      <c r="A126" t="s">
        <v>792</v>
      </c>
      <c r="B126" t="s">
        <v>793</v>
      </c>
      <c r="C126">
        <v>81</v>
      </c>
      <c r="D126" t="s">
        <v>146</v>
      </c>
      <c r="E126" t="s">
        <v>794</v>
      </c>
      <c r="F126" t="s">
        <v>795</v>
      </c>
      <c r="G126" t="s">
        <v>796</v>
      </c>
      <c r="H126" t="s">
        <v>701</v>
      </c>
      <c r="J126" t="s">
        <v>150</v>
      </c>
      <c r="M126" t="b">
        <f>COUNTIF(Table2[Patient_ID],Table2[[#This Row],[Patient_ID]])&gt;1</f>
        <v>0</v>
      </c>
      <c r="N126" t="b">
        <f>COUNTIF(Table2[Name],Table2[[#This Row],[Name]])&gt;1</f>
        <v>0</v>
      </c>
      <c r="O126"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6" t="str">
        <f t="shared" si="1"/>
        <v>Unknown</v>
      </c>
      <c r="Q126" t="b">
        <f>ISNUMBER(Table2[[#This Row],[Age]])</f>
        <v>1</v>
      </c>
      <c r="R126" t="str">
        <f>IF(ISNUMBER(Table2[[#This Row],[Date_of_Admission]]),"correct","incorrect")</f>
        <v>incorrect</v>
      </c>
      <c r="S126" t="str">
        <f>IF(ISNUMBER(Table2[[#This Row],[Date_of_Diagnosis]]),"correct","incorrect")</f>
        <v>incorrect</v>
      </c>
      <c r="T126" t="str">
        <f>IF(ISNUMBER(Table2[[#This Row],[Date_of_Treatment_Start]]),"correct","incorrect")</f>
        <v>incorrect</v>
      </c>
      <c r="U126" t="str">
        <f>IF(ISNUMBER(Table2[[#This Row],[Date_of_Surgery]]),"correct","incorrect")</f>
        <v>incorrect</v>
      </c>
      <c r="V126" t="str">
        <f>IF(ISNUMBER(Table2[[#This Row],[Date_of_Discharge]]),"correct","incorrect")</f>
        <v>incorrect</v>
      </c>
      <c r="W126" t="str">
        <f>IF(ISNUMBER(Table2[[#This Row],[Follow_up_Visit]]),"correct","incorrect")</f>
        <v>incorrect</v>
      </c>
      <c r="AC126" t="str">
        <f>LOOKUP(C126,{20,30,40,50,60,70,80,90},{"20-29","30-39","40-49","50-59","60-69","70-79","80-89"})</f>
        <v>80-89</v>
      </c>
    </row>
    <row r="127" spans="1:29" x14ac:dyDescent="0.2">
      <c r="A127" t="s">
        <v>797</v>
      </c>
      <c r="B127" t="s">
        <v>798</v>
      </c>
      <c r="C127">
        <v>56</v>
      </c>
      <c r="D127" t="s">
        <v>160</v>
      </c>
      <c r="E127" t="s">
        <v>799</v>
      </c>
      <c r="F127" t="s">
        <v>800</v>
      </c>
      <c r="G127" t="s">
        <v>801</v>
      </c>
      <c r="H127" t="s">
        <v>701</v>
      </c>
      <c r="I127" t="s">
        <v>198</v>
      </c>
      <c r="J127" t="s">
        <v>223</v>
      </c>
      <c r="M127" t="b">
        <f>COUNTIF(Table2[Patient_ID],Table2[[#This Row],[Patient_ID]])&gt;1</f>
        <v>0</v>
      </c>
      <c r="N127" t="b">
        <f>COUNTIF(Table2[Name],Table2[[#This Row],[Name]])&gt;1</f>
        <v>0</v>
      </c>
      <c r="O127"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7" t="str">
        <f t="shared" si="1"/>
        <v>Unknown</v>
      </c>
      <c r="Q127" t="b">
        <f>ISNUMBER(Table2[[#This Row],[Age]])</f>
        <v>1</v>
      </c>
      <c r="R127" t="str">
        <f>IF(ISNUMBER(Table2[[#This Row],[Date_of_Admission]]),"correct","incorrect")</f>
        <v>incorrect</v>
      </c>
      <c r="S127" t="str">
        <f>IF(ISNUMBER(Table2[[#This Row],[Date_of_Diagnosis]]),"correct","incorrect")</f>
        <v>incorrect</v>
      </c>
      <c r="T127" t="str">
        <f>IF(ISNUMBER(Table2[[#This Row],[Date_of_Treatment_Start]]),"correct","incorrect")</f>
        <v>incorrect</v>
      </c>
      <c r="U127" t="str">
        <f>IF(ISNUMBER(Table2[[#This Row],[Date_of_Surgery]]),"correct","incorrect")</f>
        <v>incorrect</v>
      </c>
      <c r="V127" t="str">
        <f>IF(ISNUMBER(Table2[[#This Row],[Date_of_Discharge]]),"correct","incorrect")</f>
        <v>incorrect</v>
      </c>
      <c r="W127" t="str">
        <f>IF(ISNUMBER(Table2[[#This Row],[Follow_up_Visit]]),"correct","incorrect")</f>
        <v>incorrect</v>
      </c>
      <c r="AC127" t="str">
        <f>LOOKUP(C127,{20,30,40,50,60,70,80,90},{"20-29","30-39","40-49","50-59","60-69","70-79","80-89"})</f>
        <v>50-59</v>
      </c>
    </row>
    <row r="128" spans="1:29" x14ac:dyDescent="0.2">
      <c r="A128" t="s">
        <v>802</v>
      </c>
      <c r="B128" t="s">
        <v>803</v>
      </c>
      <c r="C128">
        <v>63</v>
      </c>
      <c r="D128" t="s">
        <v>146</v>
      </c>
      <c r="E128" t="s">
        <v>804</v>
      </c>
      <c r="F128" t="s">
        <v>198</v>
      </c>
      <c r="G128" t="s">
        <v>202</v>
      </c>
      <c r="H128" t="s">
        <v>198</v>
      </c>
      <c r="M128" t="b">
        <f>COUNTIF(Table2[Patient_ID],Table2[[#This Row],[Patient_ID]])&gt;1</f>
        <v>0</v>
      </c>
      <c r="N128" t="b">
        <f>COUNTIF(Table2[Name],Table2[[#This Row],[Name]])&gt;1</f>
        <v>0</v>
      </c>
      <c r="O128"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8" t="str">
        <f t="shared" si="1"/>
        <v>Unknown</v>
      </c>
      <c r="Q128" t="b">
        <f>ISNUMBER(Table2[[#This Row],[Age]])</f>
        <v>1</v>
      </c>
      <c r="R128" t="str">
        <f>IF(ISNUMBER(Table2[[#This Row],[Date_of_Admission]]),"correct","incorrect")</f>
        <v>incorrect</v>
      </c>
      <c r="S128" t="str">
        <f>IF(ISNUMBER(Table2[[#This Row],[Date_of_Diagnosis]]),"correct","incorrect")</f>
        <v>incorrect</v>
      </c>
      <c r="T128" t="str">
        <f>IF(ISNUMBER(Table2[[#This Row],[Date_of_Treatment_Start]]),"correct","incorrect")</f>
        <v>incorrect</v>
      </c>
      <c r="U128" t="str">
        <f>IF(ISNUMBER(Table2[[#This Row],[Date_of_Surgery]]),"correct","incorrect")</f>
        <v>incorrect</v>
      </c>
      <c r="V128" t="str">
        <f>IF(ISNUMBER(Table2[[#This Row],[Date_of_Discharge]]),"correct","incorrect")</f>
        <v>incorrect</v>
      </c>
      <c r="W128" t="str">
        <f>IF(ISNUMBER(Table2[[#This Row],[Follow_up_Visit]]),"correct","incorrect")</f>
        <v>incorrect</v>
      </c>
      <c r="AC128" t="str">
        <f>LOOKUP(C128,{20,30,40,50,60,70,80,90},{"20-29","30-39","40-49","50-59","60-69","70-79","80-89"})</f>
        <v>60-69</v>
      </c>
    </row>
    <row r="129" spans="1:29" x14ac:dyDescent="0.2">
      <c r="A129" t="s">
        <v>805</v>
      </c>
      <c r="B129" t="s">
        <v>806</v>
      </c>
      <c r="C129">
        <v>54</v>
      </c>
      <c r="D129" t="s">
        <v>160</v>
      </c>
      <c r="E129" t="s">
        <v>147</v>
      </c>
      <c r="F129" t="s">
        <v>790</v>
      </c>
      <c r="G129" t="s">
        <v>807</v>
      </c>
      <c r="H129" t="s">
        <v>150</v>
      </c>
      <c r="I129">
        <v>20240520</v>
      </c>
      <c r="J129">
        <v>45019</v>
      </c>
      <c r="M129" t="b">
        <f>COUNTIF(Table2[Patient_ID],Table2[[#This Row],[Patient_ID]])&gt;1</f>
        <v>0</v>
      </c>
      <c r="N129" t="b">
        <f>COUNTIF(Table2[Name],Table2[[#This Row],[Name]])&gt;1</f>
        <v>0</v>
      </c>
      <c r="O129"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29" t="str">
        <f t="shared" si="1"/>
        <v>Unknown</v>
      </c>
      <c r="Q129" t="b">
        <f>ISNUMBER(Table2[[#This Row],[Age]])</f>
        <v>1</v>
      </c>
      <c r="R129" t="str">
        <f>IF(ISNUMBER(Table2[[#This Row],[Date_of_Admission]]),"correct","incorrect")</f>
        <v>incorrect</v>
      </c>
      <c r="S129" t="str">
        <f>IF(ISNUMBER(Table2[[#This Row],[Date_of_Diagnosis]]),"correct","incorrect")</f>
        <v>incorrect</v>
      </c>
      <c r="T129" t="str">
        <f>IF(ISNUMBER(Table2[[#This Row],[Date_of_Treatment_Start]]),"correct","incorrect")</f>
        <v>incorrect</v>
      </c>
      <c r="U129" t="str">
        <f>IF(ISNUMBER(Table2[[#This Row],[Date_of_Surgery]]),"correct","incorrect")</f>
        <v>incorrect</v>
      </c>
      <c r="V129" t="str">
        <f>IF(ISNUMBER(Table2[[#This Row],[Date_of_Discharge]]),"correct","incorrect")</f>
        <v>correct</v>
      </c>
      <c r="W129" t="str">
        <f>IF(ISNUMBER(Table2[[#This Row],[Follow_up_Visit]]),"correct","incorrect")</f>
        <v>correct</v>
      </c>
      <c r="AC129" t="str">
        <f>LOOKUP(C129,{20,30,40,50,60,70,80,90},{"20-29","30-39","40-49","50-59","60-69","70-79","80-89"})</f>
        <v>50-59</v>
      </c>
    </row>
    <row r="130" spans="1:29" x14ac:dyDescent="0.2">
      <c r="A130" t="s">
        <v>808</v>
      </c>
      <c r="B130" t="s">
        <v>809</v>
      </c>
      <c r="C130">
        <v>84</v>
      </c>
      <c r="D130" t="s">
        <v>146</v>
      </c>
      <c r="E130" t="s">
        <v>198</v>
      </c>
      <c r="F130" t="s">
        <v>810</v>
      </c>
      <c r="G130" t="s">
        <v>811</v>
      </c>
      <c r="H130" t="s">
        <v>812</v>
      </c>
      <c r="I130" t="s">
        <v>813</v>
      </c>
      <c r="J130" t="s">
        <v>814</v>
      </c>
      <c r="M130" t="b">
        <f>COUNTIF(Table2[Patient_ID],Table2[[#This Row],[Patient_ID]])&gt;1</f>
        <v>0</v>
      </c>
      <c r="N130" t="b">
        <f>COUNTIF(Table2[Name],Table2[[#This Row],[Name]])&gt;1</f>
        <v>0</v>
      </c>
      <c r="O130"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30" t="str">
        <f t="shared" si="1"/>
        <v>Unknown</v>
      </c>
      <c r="Q130" t="b">
        <f>ISNUMBER(Table2[[#This Row],[Age]])</f>
        <v>1</v>
      </c>
      <c r="R130" t="str">
        <f>IF(ISNUMBER(Table2[[#This Row],[Date_of_Admission]]),"correct","incorrect")</f>
        <v>incorrect</v>
      </c>
      <c r="S130" t="str">
        <f>IF(ISNUMBER(Table2[[#This Row],[Date_of_Diagnosis]]),"correct","incorrect")</f>
        <v>incorrect</v>
      </c>
      <c r="T130" t="str">
        <f>IF(ISNUMBER(Table2[[#This Row],[Date_of_Treatment_Start]]),"correct","incorrect")</f>
        <v>incorrect</v>
      </c>
      <c r="U130" t="str">
        <f>IF(ISNUMBER(Table2[[#This Row],[Date_of_Surgery]]),"correct","incorrect")</f>
        <v>incorrect</v>
      </c>
      <c r="V130" t="str">
        <f>IF(ISNUMBER(Table2[[#This Row],[Date_of_Discharge]]),"correct","incorrect")</f>
        <v>incorrect</v>
      </c>
      <c r="W130" t="str">
        <f>IF(ISNUMBER(Table2[[#This Row],[Follow_up_Visit]]),"correct","incorrect")</f>
        <v>incorrect</v>
      </c>
      <c r="AC130" t="str">
        <f>LOOKUP(C130,{20,30,40,50,60,70,80,90},{"20-29","30-39","40-49","50-59","60-69","70-79","80-89"})</f>
        <v>80-89</v>
      </c>
    </row>
    <row r="131" spans="1:29" x14ac:dyDescent="0.2">
      <c r="A131" t="s">
        <v>815</v>
      </c>
      <c r="B131" t="s">
        <v>816</v>
      </c>
      <c r="C131">
        <v>66</v>
      </c>
      <c r="D131" t="s">
        <v>146</v>
      </c>
      <c r="E131" t="s">
        <v>817</v>
      </c>
      <c r="F131" t="s">
        <v>810</v>
      </c>
      <c r="G131" t="s">
        <v>818</v>
      </c>
      <c r="H131" t="s">
        <v>701</v>
      </c>
      <c r="I131" t="s">
        <v>819</v>
      </c>
      <c r="J131" t="s">
        <v>514</v>
      </c>
      <c r="M131" t="b">
        <f>COUNTIF(Table2[Patient_ID],Table2[[#This Row],[Patient_ID]])&gt;1</f>
        <v>0</v>
      </c>
      <c r="N131" t="b">
        <f>COUNTIF(Table2[Name],Table2[[#This Row],[Name]])&gt;1</f>
        <v>0</v>
      </c>
      <c r="O131"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31" t="str">
        <f t="shared" ref="P131:P133" si="2">IF(TRIM(O131)="","Unknown",O131)</f>
        <v>Unknown</v>
      </c>
      <c r="Q131" t="b">
        <f>ISNUMBER(Table2[[#This Row],[Age]])</f>
        <v>1</v>
      </c>
      <c r="R131" t="str">
        <f>IF(ISNUMBER(Table2[[#This Row],[Date_of_Admission]]),"correct","incorrect")</f>
        <v>incorrect</v>
      </c>
      <c r="S131" t="str">
        <f>IF(ISNUMBER(Table2[[#This Row],[Date_of_Diagnosis]]),"correct","incorrect")</f>
        <v>incorrect</v>
      </c>
      <c r="T131" t="str">
        <f>IF(ISNUMBER(Table2[[#This Row],[Date_of_Treatment_Start]]),"correct","incorrect")</f>
        <v>incorrect</v>
      </c>
      <c r="U131" t="str">
        <f>IF(ISNUMBER(Table2[[#This Row],[Date_of_Surgery]]),"correct","incorrect")</f>
        <v>incorrect</v>
      </c>
      <c r="V131" t="str">
        <f>IF(ISNUMBER(Table2[[#This Row],[Date_of_Discharge]]),"correct","incorrect")</f>
        <v>incorrect</v>
      </c>
      <c r="W131" t="str">
        <f>IF(ISNUMBER(Table2[[#This Row],[Follow_up_Visit]]),"correct","incorrect")</f>
        <v>incorrect</v>
      </c>
      <c r="AC131" t="str">
        <f>LOOKUP(C131,{20,30,40,50,60,70,80,90},{"20-29","30-39","40-49","50-59","60-69","70-79","80-89"})</f>
        <v>60-69</v>
      </c>
    </row>
    <row r="132" spans="1:29" x14ac:dyDescent="0.2">
      <c r="A132" t="s">
        <v>820</v>
      </c>
      <c r="B132" t="s">
        <v>821</v>
      </c>
      <c r="C132">
        <v>22</v>
      </c>
      <c r="D132" t="s">
        <v>146</v>
      </c>
      <c r="E132" t="s">
        <v>822</v>
      </c>
      <c r="F132" t="s">
        <v>823</v>
      </c>
      <c r="G132" t="s">
        <v>192</v>
      </c>
      <c r="H132" t="s">
        <v>824</v>
      </c>
      <c r="J132">
        <v>46184</v>
      </c>
      <c r="M132" t="b">
        <f>COUNTIF(Table2[Patient_ID],Table2[[#This Row],[Patient_ID]])&gt;1</f>
        <v>0</v>
      </c>
      <c r="N132" t="b">
        <f>COUNTIF(Table2[Name],Table2[[#This Row],[Name]])&gt;1</f>
        <v>0</v>
      </c>
      <c r="O132"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32" t="str">
        <f t="shared" si="2"/>
        <v>Unknown</v>
      </c>
      <c r="Q132" t="b">
        <f>ISNUMBER(Table2[[#This Row],[Age]])</f>
        <v>1</v>
      </c>
      <c r="R132" t="str">
        <f>IF(ISNUMBER(Table2[[#This Row],[Date_of_Admission]]),"correct","incorrect")</f>
        <v>incorrect</v>
      </c>
      <c r="S132" t="str">
        <f>IF(ISNUMBER(Table2[[#This Row],[Date_of_Diagnosis]]),"correct","incorrect")</f>
        <v>incorrect</v>
      </c>
      <c r="T132" t="str">
        <f>IF(ISNUMBER(Table2[[#This Row],[Date_of_Treatment_Start]]),"correct","incorrect")</f>
        <v>incorrect</v>
      </c>
      <c r="U132" t="str">
        <f>IF(ISNUMBER(Table2[[#This Row],[Date_of_Surgery]]),"correct","incorrect")</f>
        <v>incorrect</v>
      </c>
      <c r="V132" t="str">
        <f>IF(ISNUMBER(Table2[[#This Row],[Date_of_Discharge]]),"correct","incorrect")</f>
        <v>incorrect</v>
      </c>
      <c r="W132" t="str">
        <f>IF(ISNUMBER(Table2[[#This Row],[Follow_up_Visit]]),"correct","incorrect")</f>
        <v>correct</v>
      </c>
      <c r="AC132" t="str">
        <f>LOOKUP(C132,{20,30,40,50,60,70,80,90},{"20-29","30-39","40-49","50-59","60-69","70-79","80-89"})</f>
        <v>20-29</v>
      </c>
    </row>
    <row r="133" spans="1:29" x14ac:dyDescent="0.2">
      <c r="A133" t="s">
        <v>825</v>
      </c>
      <c r="B133" t="s">
        <v>826</v>
      </c>
      <c r="C133">
        <v>20</v>
      </c>
      <c r="D133" t="s">
        <v>160</v>
      </c>
      <c r="E133" t="s">
        <v>827</v>
      </c>
      <c r="F133" t="s">
        <v>828</v>
      </c>
      <c r="G133" t="s">
        <v>192</v>
      </c>
      <c r="H133" t="s">
        <v>165</v>
      </c>
      <c r="J133">
        <v>45472</v>
      </c>
      <c r="M133" t="b">
        <f>COUNTIF(Table2[Patient_ID],Table2[[#This Row],[Patient_ID]])&gt;1</f>
        <v>0</v>
      </c>
      <c r="N133" t="b">
        <f>COUNTIF(Table2[Name],Table2[[#This Row],[Name]])&gt;1</f>
        <v>0</v>
      </c>
      <c r="O133" t="str">
        <f>IF(ISNUMBER(FIND("^",Table2[[#This Row],[Name]])),"^","")&amp;IF(ISNUMBER(FIND("@",Table2[[#This Row],[Name]])),"@"," ")&amp;IF(ISNUMBER(FIND("?",Table2[[#This Row],[Name]])),"?"," ")&amp;IF(ISNUMBER(FIND("+",Table2[[#This Row],[Name]])),"+"," ")&amp;IF(ISNUMBER(FIND("/",Table2[[#This Row],[Name]])),"/"," ")&amp;IF(ISNUMBER(FIND("&amp;",Table2[[#This Row],[Name]])),"&amp;","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")&amp;IF(ISNUMBER(FIND("`",Table2[[#This Row],[Name]])),"`"," ")</f>
        <v xml:space="preserve">                     </v>
      </c>
      <c r="P133" t="str">
        <f t="shared" si="2"/>
        <v>Unknown</v>
      </c>
      <c r="Q133" t="b">
        <f>ISNUMBER(Table2[[#This Row],[Age]])</f>
        <v>1</v>
      </c>
      <c r="R133" t="str">
        <f>IF(ISNUMBER(Table2[[#This Row],[Date_of_Admission]]),"correct","incorrect")</f>
        <v>incorrect</v>
      </c>
      <c r="S133" t="str">
        <f>IF(ISNUMBER(Table2[[#This Row],[Date_of_Diagnosis]]),"correct","incorrect")</f>
        <v>incorrect</v>
      </c>
      <c r="T133" t="str">
        <f>IF(ISNUMBER(Table2[[#This Row],[Date_of_Treatment_Start]]),"correct","incorrect")</f>
        <v>incorrect</v>
      </c>
      <c r="U133" t="str">
        <f>IF(ISNUMBER(Table2[[#This Row],[Date_of_Surgery]]),"correct","incorrect")</f>
        <v>incorrect</v>
      </c>
      <c r="V133" t="str">
        <f>IF(ISNUMBER(Table2[[#This Row],[Date_of_Discharge]]),"correct","incorrect")</f>
        <v>incorrect</v>
      </c>
      <c r="W133" t="str">
        <f>IF(ISNUMBER(Table2[[#This Row],[Follow_up_Visit]]),"correct","incorrect")</f>
        <v>correct</v>
      </c>
      <c r="AC133" t="str">
        <f>LOOKUP(C133,{20,30,40,50,60,70,80,90},{"20-29","30-39","40-49","50-59","60-69","70-79","80-89"})</f>
        <v>20-29</v>
      </c>
    </row>
  </sheetData>
  <autoFilter ref="O1:O133"/>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3"/>
  <sheetViews>
    <sheetView tabSelected="1" topLeftCell="C1" zoomScale="98" zoomScaleNormal="98" workbookViewId="0">
      <selection activeCell="AV3" sqref="AV3"/>
    </sheetView>
  </sheetViews>
  <sheetFormatPr defaultColWidth="10" defaultRowHeight="14.25" x14ac:dyDescent="0.2"/>
  <cols>
    <col min="1" max="1" width="12" bestFit="1" customWidth="1"/>
    <col min="2" max="2" width="12.25" bestFit="1" customWidth="1"/>
    <col min="3" max="3" width="15.75" style="10" bestFit="1" customWidth="1"/>
    <col min="4" max="4" width="6.25" bestFit="1" customWidth="1"/>
    <col min="5" max="5" width="9.625" bestFit="1" customWidth="1"/>
    <col min="6" max="6" width="20.5" bestFit="1" customWidth="1"/>
    <col min="7" max="9" width="30.125" style="15" bestFit="1" customWidth="1"/>
    <col min="10" max="10" width="30.125" style="10" bestFit="1" customWidth="1"/>
    <col min="11" max="11" width="18.75" style="27" customWidth="1"/>
    <col min="12" max="12" width="18.75" style="27" bestFit="1" customWidth="1"/>
    <col min="13" max="13" width="28" bestFit="1" customWidth="1"/>
    <col min="14" max="14" width="29.375" style="15" bestFit="1" customWidth="1"/>
    <col min="15" max="15" width="29.625" style="15" bestFit="1" customWidth="1"/>
    <col min="16" max="16" width="29.625" style="10" bestFit="1" customWidth="1"/>
    <col min="17" max="18" width="18.125" style="27" bestFit="1" customWidth="1"/>
    <col min="19" max="19" width="25.5" bestFit="1" customWidth="1"/>
    <col min="20" max="20" width="35.25" style="21" bestFit="1" customWidth="1"/>
    <col min="21" max="22" width="35.25" style="21" customWidth="1"/>
    <col min="23" max="23" width="35.25" style="17" customWidth="1"/>
    <col min="24" max="24" width="21.75" style="29" bestFit="1" customWidth="1"/>
    <col min="25" max="25" width="20.125" bestFit="1" customWidth="1"/>
    <col min="26" max="26" width="27.625" style="15" bestFit="1" customWidth="1"/>
    <col min="27" max="30" width="27.625" style="15" customWidth="1"/>
    <col min="31" max="31" width="27.625" style="10" customWidth="1"/>
    <col min="32" max="33" width="16.375" style="27" bestFit="1" customWidth="1"/>
    <col min="34" max="34" width="20" bestFit="1" customWidth="1"/>
    <col min="35" max="37" width="29.625" style="15" bestFit="1" customWidth="1"/>
    <col min="38" max="38" width="29.625" style="10" bestFit="1" customWidth="1"/>
    <col min="39" max="40" width="18.25" style="27" bestFit="1" customWidth="1"/>
    <col min="41" max="41" width="20.125" bestFit="1" customWidth="1"/>
    <col min="42" max="45" width="26.75" bestFit="1" customWidth="1"/>
    <col min="46" max="46" width="26.75" style="10" bestFit="1" customWidth="1"/>
    <col min="47" max="48" width="22.75" style="27" bestFit="1" customWidth="1"/>
  </cols>
  <sheetData>
    <row r="1" spans="1:48" x14ac:dyDescent="0.2">
      <c r="A1" t="s">
        <v>135</v>
      </c>
      <c r="B1" t="s">
        <v>136</v>
      </c>
      <c r="C1" s="10" t="s">
        <v>873</v>
      </c>
      <c r="D1" t="s">
        <v>137</v>
      </c>
      <c r="E1" t="s">
        <v>138</v>
      </c>
      <c r="F1" t="s">
        <v>139</v>
      </c>
      <c r="G1" s="14" t="s">
        <v>874</v>
      </c>
      <c r="H1" s="14" t="s">
        <v>875</v>
      </c>
      <c r="I1" s="14" t="s">
        <v>876</v>
      </c>
      <c r="J1" s="13" t="s">
        <v>877</v>
      </c>
      <c r="K1" s="26" t="s">
        <v>1331</v>
      </c>
      <c r="L1" s="26" t="s">
        <v>1332</v>
      </c>
      <c r="M1" s="6" t="s">
        <v>140</v>
      </c>
      <c r="N1" s="14" t="s">
        <v>878</v>
      </c>
      <c r="O1" s="14" t="s">
        <v>879</v>
      </c>
      <c r="P1" s="13" t="s">
        <v>880</v>
      </c>
      <c r="Q1" s="26" t="s">
        <v>1333</v>
      </c>
      <c r="R1" s="26" t="s">
        <v>1334</v>
      </c>
      <c r="S1" s="6" t="s">
        <v>141</v>
      </c>
      <c r="T1" s="20" t="s">
        <v>881</v>
      </c>
      <c r="U1" s="20" t="s">
        <v>882</v>
      </c>
      <c r="V1" s="20" t="s">
        <v>883</v>
      </c>
      <c r="W1" s="16" t="s">
        <v>884</v>
      </c>
      <c r="X1" s="28" t="s">
        <v>1324</v>
      </c>
      <c r="Y1" s="6" t="s">
        <v>142</v>
      </c>
      <c r="Z1" s="14" t="s">
        <v>885</v>
      </c>
      <c r="AA1" s="14" t="s">
        <v>886</v>
      </c>
      <c r="AB1" s="14" t="s">
        <v>887</v>
      </c>
      <c r="AC1" s="14" t="s">
        <v>888</v>
      </c>
      <c r="AD1" s="14" t="s">
        <v>889</v>
      </c>
      <c r="AE1" s="13" t="s">
        <v>892</v>
      </c>
      <c r="AF1" s="26" t="s">
        <v>1336</v>
      </c>
      <c r="AG1" s="26" t="s">
        <v>1335</v>
      </c>
      <c r="AH1" s="6" t="s">
        <v>143</v>
      </c>
      <c r="AI1" s="14" t="s">
        <v>941</v>
      </c>
      <c r="AJ1" s="14" t="s">
        <v>942</v>
      </c>
      <c r="AK1" s="14" t="s">
        <v>943</v>
      </c>
      <c r="AL1" s="13" t="s">
        <v>944</v>
      </c>
      <c r="AM1" s="26" t="s">
        <v>1337</v>
      </c>
      <c r="AN1" s="26" t="s">
        <v>1338</v>
      </c>
      <c r="AO1" s="6" t="s">
        <v>144</v>
      </c>
      <c r="AP1" s="6" t="s">
        <v>945</v>
      </c>
      <c r="AQ1" s="6" t="s">
        <v>946</v>
      </c>
      <c r="AR1" s="6" t="s">
        <v>947</v>
      </c>
      <c r="AS1" s="6" t="s">
        <v>948</v>
      </c>
      <c r="AT1" s="13" t="s">
        <v>949</v>
      </c>
      <c r="AU1" s="26" t="s">
        <v>1339</v>
      </c>
      <c r="AV1" s="26" t="s">
        <v>1340</v>
      </c>
    </row>
    <row r="2" spans="1:48" ht="14.25" customHeight="1" x14ac:dyDescent="0.2">
      <c r="A2" t="s">
        <v>145</v>
      </c>
      <c r="B2" t="s">
        <v>849</v>
      </c>
      <c r="C2" s="10" t="str">
        <f t="shared" ref="C2:C65" si="0">(SUBSTITUTE(SUBSTITUTE(SUBSTITUTE(SUBSTITUTE(SUBSTITUTE(SUBSTITUTE(SUBSTITUTE(SUBSTITUTE(SUBSTITUTE(SUBSTITUTE(SUBSTITUTE(SUBSTITUTE(SUBSTITUTE(B2,"^",""),"@",""),"?",""),"+",""),"&amp;",""),")",""),"/",""),":",""),"%",""),",",""),"(",""),"$",""),"*",""))</f>
        <v>Patient_0</v>
      </c>
      <c r="D2">
        <v>71</v>
      </c>
      <c r="E2" t="s">
        <v>146</v>
      </c>
      <c r="F2" t="s">
        <v>147</v>
      </c>
      <c r="G2" s="15" t="str">
        <f>SUBSTITUTE(SUBSTITUTE(SUBSTITUTE(SUBSTITUTE(SUBSTITUTE(F2,",","/")," ","/"),"-","/"),".","/"),"N/A","Unknown")</f>
        <v>12/13/2023</v>
      </c>
      <c r="H2" s="15" t="str">
        <f t="shared" ref="H2:H65" si="1">SUBSTITUTE(SUBSTITUTE(SUBSTITUTE(SUBSTITUTE(SUBSTITUTE(SUBSTITUTE(SUBSTITUTE(SUBSTITUTE(SUBSTITUTE(SUBSTITUTE(SUBSTITUTE(SUBSTITUTE(SUBSTITUTE(G2,"//","/"),"Dec","12"),"nov","11"),"oct","10"),"Sep/","09/"),"Aug/","08/"),"jul","07"),"june","06"),"may","05"),"Apr/","04/"),"Mar/","03/"),"feb","02"),"Jan/","01/")</f>
        <v>12/13/2023</v>
      </c>
      <c r="I2" s="15" t="str">
        <f t="shared" ref="I2:I65" si="2">TEXT(H2,"dd/mm/yyyy")</f>
        <v>13/12/2023</v>
      </c>
      <c r="J2" s="10" t="str">
        <f>LEFT(Table22[[#This Row],[Date_of_Admission Cleaned 3]],10)</f>
        <v>13/12/2023</v>
      </c>
      <c r="K2" s="27" t="str">
        <f>RIGHT(Table22[[#This Row],[Date_of_Admission Cleaned 4]],4)</f>
        <v>2023</v>
      </c>
      <c r="L2" s="27" t="str">
        <f t="shared" ref="L2:L65" si="3">SUBSTITUTE(K2,"nown","Unknown")</f>
        <v>2023</v>
      </c>
      <c r="M2" t="s">
        <v>148</v>
      </c>
      <c r="N2" s="15" t="str">
        <f t="shared" ref="N2:N65" si="4">SUBSTITUTE(SUBSTITUTE(SUBSTITUTE(SUBSTITUTE(SUBSTITUTE(M2,",","/")," ","/"),"-","/"),".","/"),"N/A","Unknown")</f>
        <v>Sep/13//2024</v>
      </c>
      <c r="O2" s="15" t="str">
        <f t="shared" ref="O2:O65" si="5">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N2,"//","/"),"Dec/","12/"),"November","11"),"Oct/","10/"),"September/","09/"),"August/","08/"),"July","07"),"Jun/","06/"),"May","05"),"Apr/","04/"),"Mar/","03/"),"feb","02"),"January/","01/"),"Monday/",""),"Tuesday/",""),"Wednesday/",""),"Thursday/",""),"Friday/",""),"Saturday/",""),"Sunday/",""),"Sep/","09/"),"12th","12"),"of/",""),"December","12"),"Jan/","01/"),"/5/","/05/"),"/6/","/06/"),"/9/","/09/"),"/4/","/04/"),"/7/","/07/")</f>
        <v>09/13/2024</v>
      </c>
      <c r="P2" s="10" t="str">
        <f>TEXT(O2,"dd/mm/yyyy")</f>
        <v>13/09/2024</v>
      </c>
      <c r="Q2" s="27" t="str">
        <f>RIGHT(Table22[[#This Row],[Date_of_Diagnosis Cleaned 3]],4)</f>
        <v>2024</v>
      </c>
      <c r="R2" s="27" t="str">
        <f t="shared" ref="R2:R33" si="6">SUBSTITUTE(Q2,"nown","Unknown")</f>
        <v>2024</v>
      </c>
      <c r="S2">
        <v>42535</v>
      </c>
      <c r="T2" s="21" t="str">
        <f t="shared" ref="T2:T65" si="7">SUBSTITUTE(SUBSTITUTE(SUBSTITUTE(SUBSTITUTE(SUBSTITUTE(S2,",","/")," ","/"),"-","/"),".","/"),"N/A","Unknown")</f>
        <v>42535</v>
      </c>
      <c r="U2" s="21" t="str">
        <f>TEXT(T2,"dd/mm/yyyy")</f>
        <v>14/06/2016</v>
      </c>
      <c r="V2" s="21" t="str">
        <f t="shared" ref="V2:V65" si="8">SUBSTITUTE(U2,"//","/")</f>
        <v>14/06/2016</v>
      </c>
      <c r="W2" s="16" t="str">
        <f t="shared" ref="W2:W65" si="9">SUBSTITUTE(SUBSTITUTE(SUBSTITUTE(SUBSTITUTE(SUBSTITUTE(SUBSTITUTE(SUBSTITUTE(SUBSTITUTE(SUBSTITUTE(SUBSTITUTE(SUBSTITUTE(SUBSTITUTE(V2,"Jan","01"),"Feb","02"),"Mar","03"),"Apr","04"),"May","05"),"JUn","06"),"Jul","07"),"Aug","08"),"Sep","09"),"Oct","10"),"Nov","11"),"Dec","12")</f>
        <v>14/06/2016</v>
      </c>
      <c r="X2" s="28" t="str">
        <f>RIGHT(Table22[[#This Row],[Date_of_Treatment_Start Cleaned 4]],4)</f>
        <v>2016</v>
      </c>
      <c r="Y2" s="6" t="s">
        <v>890</v>
      </c>
      <c r="Z2" s="15" t="str">
        <f t="shared" ref="Z2:Z65" si="10">SUBSTITUTE(SUBSTITUTE(SUBSTITUTE(SUBSTITUTE(SUBSTITUTE(SUBSTITUTE(SUBSTITUTE(Y2,",","/")," ","/"),"-","/"),".","/"),"N/A","Unknown"),"?","Unknown"),"//","Unknown")</f>
        <v>13/03/2018</v>
      </c>
      <c r="AA2" s="15" t="str">
        <f t="shared" ref="AA2:AA65" si="11">IF(Z2="","Unknown",Z2)</f>
        <v>13/03/2018</v>
      </c>
      <c r="AB2" s="15" t="str">
        <f t="shared" ref="AB2:AB33" si="12">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Dec/","12/"),"November","11"),"Oct/","10/"),"September/","09/"),"August/","08/"),"July","07"),"Jun/","06/"),"May","05"),"Apr/","04/"),"Mar/","03/"),"feb","02"),"January/","01/"),"Monday/",""),"Tuesday/",""),"Wednesday/",""),"Thursday/",""),"Friday/",""),"Saturday/",""),"Sunday/",""),"Sep/","09/"),"12th","12"),"of/",""),"December","12"),"Jan/","01/"),"/5/","/05/"),"/6/","/06/"),"/9/","/09/"),"/4/","/04/"),"/7/","/07/")</f>
        <v>13/03/2018</v>
      </c>
      <c r="AC2" s="15" t="str">
        <f>LEFT(Table22[[#This Row],[Date_of_Surgery Cleaned 3]],10)</f>
        <v>13/03/2018</v>
      </c>
      <c r="AD2" s="15" t="str">
        <f t="shared" ref="AD2:AD33" si="13">TEXT(AC2,"dd,mm,yyyy")</f>
        <v>13/03/2018</v>
      </c>
      <c r="AE2" s="10" t="str">
        <f t="shared" ref="AE2:AE65" si="14">SUBSTITUTE(AD2,",","/")</f>
        <v>13/03/2018</v>
      </c>
      <c r="AF2" s="27" t="str">
        <f>RIGHT(Table22[[#This Row],[Date_of_Surgery Cleaned 6]],4)</f>
        <v>2018</v>
      </c>
      <c r="AG2" s="27" t="str">
        <f t="shared" ref="AG2:AG33" si="15">SUBSTITUTE(AF2,"nown","Unknown")</f>
        <v>2018</v>
      </c>
      <c r="AH2" t="s">
        <v>149</v>
      </c>
      <c r="AI2" s="15" t="str">
        <f t="shared" ref="AI2:AI65" si="16">IF(AH2="","Unknown",AH2)</f>
        <v>10.11.2023</v>
      </c>
      <c r="AJ2" s="15" t="str">
        <f t="shared" ref="AJ2:AJ65" si="17">IF(AI2="N/A","Unknown",AI2)</f>
        <v>10.11.2023</v>
      </c>
      <c r="AK2" s="15" t="str">
        <f t="shared" ref="AK2:AK33" si="18">TEXT(AJ2,"dd,mm,yyyy")</f>
        <v>10.11.2023</v>
      </c>
      <c r="AL2" s="10" t="str">
        <f t="shared" ref="AL2:AL33" si="19">SUBSTITUTE(SUBSTITUTE(SUBSTITUTE(AK2,",","/"),".","/"),"-","/")</f>
        <v>10/11/2023</v>
      </c>
      <c r="AM2" s="27" t="str">
        <f>RIGHT(Table22[[#This Row],[Date_of_Discharge Cleaned 4]],4)</f>
        <v>2023</v>
      </c>
      <c r="AN2" s="27" t="str">
        <f t="shared" ref="AN2:AN33" si="20">SUBSTITUTE(AM2,"nown","Unknown")</f>
        <v>2023</v>
      </c>
      <c r="AO2" s="12">
        <v>44927</v>
      </c>
      <c r="AP2" s="15">
        <f t="shared" ref="AP2:AP33" si="21">IF(AO2="","Unknown",AO2)</f>
        <v>44927</v>
      </c>
      <c r="AQ2" s="15" t="str">
        <f t="shared" ref="AQ2:AQ65" si="22">SUBSTITUTE(SUBSTITUTE(SUBSTITUTE(SUBSTITUTE(SUBSTITUTE(SUBSTITUTE(SUBSTITUTE(AP2,"N/A","Unknown"),"None","Unknown"),"Feb","02/"),"March","03/"),"April","04/"),"June","06/"),"Aug","08/")</f>
        <v>44927</v>
      </c>
      <c r="AR2" s="15" t="str">
        <f t="shared" ref="AR2:AR33" si="23">TEXT(AQ2,"dd,mm,yyyy")</f>
        <v>01,01,2023</v>
      </c>
      <c r="AS2" s="15" t="str">
        <f t="shared" ref="AS2:AS65" si="24">SUBSTITUTE(SUBSTITUTE(SUBSTITUTE(SUBSTITUTE(SUBSTITUTE(SUBSTITUTE(AR2," ",""),",","/"),".","/"),"-","/"),"Late","30/"),"Early","03/")</f>
        <v>01/01/2023</v>
      </c>
      <c r="AT2" s="10" t="str">
        <f t="shared" ref="AT2:AT65" si="25">SUBSTITUTE(SUBSTITUTE(SUBSTITUTE(AS2,"//","/"),"(estimated)",""),"abc","")</f>
        <v>01/01/2023</v>
      </c>
      <c r="AU2" s="27" t="str">
        <f>RIGHT(Table22[[#This Row],[Follow_up_Visit Cleaned 5]],4)</f>
        <v>2023</v>
      </c>
      <c r="AV2" s="27" t="str">
        <f t="shared" ref="AV2:AV33" si="26">SUBSTITUTE(AU2,"nown","Unknown")</f>
        <v>2023</v>
      </c>
    </row>
    <row r="3" spans="1:48" ht="14.25" customHeight="1" x14ac:dyDescent="0.2">
      <c r="A3" t="s">
        <v>151</v>
      </c>
      <c r="B3" t="s">
        <v>152</v>
      </c>
      <c r="C3" s="10" t="str">
        <f t="shared" si="0"/>
        <v>Patient_1</v>
      </c>
      <c r="D3">
        <v>34</v>
      </c>
      <c r="E3" t="s">
        <v>146</v>
      </c>
      <c r="F3" t="s">
        <v>153</v>
      </c>
      <c r="G3" s="15" t="str">
        <f t="shared" ref="G3:G66" si="27">SUBSTITUTE(SUBSTITUTE(SUBSTITUTE(SUBSTITUTE(SUBSTITUTE(F3,",","/")," ","/"),"-","/"),".","/"),"N/A","Unknown")</f>
        <v>16/10/2024</v>
      </c>
      <c r="H3" s="15" t="str">
        <f t="shared" si="1"/>
        <v>16/10/2024</v>
      </c>
      <c r="I3" s="15" t="str">
        <f t="shared" si="2"/>
        <v>16/10/2024</v>
      </c>
      <c r="J3" s="10" t="str">
        <f>LEFT(Table22[[#This Row],[Date_of_Admission Cleaned 3]],10)</f>
        <v>16/10/2024</v>
      </c>
      <c r="K3" s="27" t="str">
        <f>RIGHT(Table22[[#This Row],[Date_of_Admission Cleaned 4]],4)</f>
        <v>2024</v>
      </c>
      <c r="L3" s="27" t="str">
        <f t="shared" si="3"/>
        <v>2024</v>
      </c>
      <c r="M3" t="s">
        <v>154</v>
      </c>
      <c r="N3" s="15" t="str">
        <f t="shared" si="4"/>
        <v>05/August/2023</v>
      </c>
      <c r="O3" s="15" t="str">
        <f t="shared" si="5"/>
        <v>05/08/2023</v>
      </c>
      <c r="P3" s="10" t="str">
        <f t="shared" ref="P3:P66" si="28">TEXT(O3,"dd/mm/yyyy")</f>
        <v>08/05/2023</v>
      </c>
      <c r="Q3" s="27" t="str">
        <f>RIGHT(Table22[[#This Row],[Date_of_Diagnosis Cleaned 3]],4)</f>
        <v>2023</v>
      </c>
      <c r="R3" s="27" t="str">
        <f t="shared" si="6"/>
        <v>2023</v>
      </c>
      <c r="S3">
        <v>43008</v>
      </c>
      <c r="T3" s="21" t="str">
        <f t="shared" si="7"/>
        <v>43008</v>
      </c>
      <c r="U3" s="21" t="str">
        <f t="shared" ref="U3:U66" si="29">TEXT(T3,"dd/mm/yyyy")</f>
        <v>30/09/2017</v>
      </c>
      <c r="V3" s="21" t="str">
        <f t="shared" si="8"/>
        <v>30/09/2017</v>
      </c>
      <c r="W3" s="16" t="str">
        <f t="shared" si="9"/>
        <v>30/09/2017</v>
      </c>
      <c r="X3" s="28" t="str">
        <f>RIGHT(Table22[[#This Row],[Date_of_Treatment_Start Cleaned 4]],4)</f>
        <v>2017</v>
      </c>
      <c r="Y3" t="s">
        <v>155</v>
      </c>
      <c r="Z3" s="15" t="str">
        <f t="shared" si="10"/>
        <v>25/10/2016</v>
      </c>
      <c r="AA3" s="15" t="str">
        <f t="shared" si="11"/>
        <v>25/10/2016</v>
      </c>
      <c r="AB3" s="15" t="str">
        <f t="shared" si="12"/>
        <v>25/10/2016</v>
      </c>
      <c r="AC3" s="15" t="str">
        <f>LEFT(Table22[[#This Row],[Date_of_Surgery Cleaned 3]],10)</f>
        <v>25/10/2016</v>
      </c>
      <c r="AD3" s="15" t="str">
        <f t="shared" si="13"/>
        <v>25/10/2016</v>
      </c>
      <c r="AE3" s="10" t="str">
        <f t="shared" si="14"/>
        <v>25/10/2016</v>
      </c>
      <c r="AF3" s="27" t="str">
        <f>RIGHT(Table22[[#This Row],[Date_of_Surgery Cleaned 6]],4)</f>
        <v>2016</v>
      </c>
      <c r="AG3" s="27" t="str">
        <f t="shared" si="15"/>
        <v>2016</v>
      </c>
      <c r="AH3" t="s">
        <v>156</v>
      </c>
      <c r="AI3" s="15" t="str">
        <f t="shared" si="16"/>
        <v>29 April 2024</v>
      </c>
      <c r="AJ3" s="15" t="str">
        <f t="shared" si="17"/>
        <v>29 April 2024</v>
      </c>
      <c r="AK3" s="15" t="str">
        <f t="shared" si="18"/>
        <v>29,04,2024</v>
      </c>
      <c r="AL3" s="10" t="str">
        <f t="shared" si="19"/>
        <v>29/04/2024</v>
      </c>
      <c r="AM3" s="27" t="str">
        <f>RIGHT(Table22[[#This Row],[Date_of_Discharge Cleaned 4]],4)</f>
        <v>2024</v>
      </c>
      <c r="AN3" s="27" t="str">
        <f t="shared" si="20"/>
        <v>2024</v>
      </c>
      <c r="AO3" t="s">
        <v>157</v>
      </c>
      <c r="AP3" s="15" t="str">
        <f t="shared" si="21"/>
        <v>01/06/2024</v>
      </c>
      <c r="AQ3" s="15" t="str">
        <f t="shared" si="22"/>
        <v>01/06/2024</v>
      </c>
      <c r="AR3" s="15" t="str">
        <f t="shared" si="23"/>
        <v>06,01,2024</v>
      </c>
      <c r="AS3" s="15" t="str">
        <f t="shared" si="24"/>
        <v>06/01/2024</v>
      </c>
      <c r="AT3" s="10" t="str">
        <f t="shared" si="25"/>
        <v>06/01/2024</v>
      </c>
      <c r="AU3" s="27" t="str">
        <f>RIGHT(Table22[[#This Row],[Follow_up_Visit Cleaned 5]],4)</f>
        <v>2024</v>
      </c>
      <c r="AV3" s="27" t="str">
        <f t="shared" si="26"/>
        <v>2024</v>
      </c>
    </row>
    <row r="4" spans="1:48" ht="14.25" customHeight="1" x14ac:dyDescent="0.2">
      <c r="A4" t="s">
        <v>158</v>
      </c>
      <c r="B4" t="s">
        <v>159</v>
      </c>
      <c r="C4" s="10" t="str">
        <f t="shared" si="0"/>
        <v>Patient_2</v>
      </c>
      <c r="D4">
        <v>57</v>
      </c>
      <c r="E4" t="s">
        <v>160</v>
      </c>
      <c r="F4" s="11">
        <v>44681</v>
      </c>
      <c r="G4" s="15" t="str">
        <f t="shared" si="27"/>
        <v>44681</v>
      </c>
      <c r="H4" s="15" t="str">
        <f t="shared" si="1"/>
        <v>44681</v>
      </c>
      <c r="I4" s="15" t="str">
        <f t="shared" si="2"/>
        <v>30/04/2022</v>
      </c>
      <c r="J4" s="10" t="str">
        <f>LEFT(Table22[[#This Row],[Date_of_Admission Cleaned 3]],10)</f>
        <v>30/04/2022</v>
      </c>
      <c r="K4" s="27" t="str">
        <f>RIGHT(Table22[[#This Row],[Date_of_Admission Cleaned 4]],4)</f>
        <v>2022</v>
      </c>
      <c r="L4" s="27" t="str">
        <f t="shared" si="3"/>
        <v>2022</v>
      </c>
      <c r="M4" t="s">
        <v>162</v>
      </c>
      <c r="N4" s="15" t="str">
        <f t="shared" si="4"/>
        <v>Friday//November/11//2016</v>
      </c>
      <c r="O4" s="15" t="str">
        <f t="shared" si="5"/>
        <v>11/11/2016</v>
      </c>
      <c r="P4" s="10" t="str">
        <f t="shared" si="28"/>
        <v>11/11/2016</v>
      </c>
      <c r="Q4" s="27" t="str">
        <f>RIGHT(Table22[[#This Row],[Date_of_Diagnosis Cleaned 3]],4)</f>
        <v>2016</v>
      </c>
      <c r="R4" s="27" t="str">
        <f t="shared" si="6"/>
        <v>2016</v>
      </c>
      <c r="S4">
        <v>43120</v>
      </c>
      <c r="T4" s="21" t="str">
        <f t="shared" si="7"/>
        <v>43120</v>
      </c>
      <c r="U4" s="21" t="str">
        <f t="shared" si="29"/>
        <v>20/01/2018</v>
      </c>
      <c r="V4" s="21" t="str">
        <f t="shared" si="8"/>
        <v>20/01/2018</v>
      </c>
      <c r="W4" s="16" t="str">
        <f t="shared" si="9"/>
        <v>20/01/2018</v>
      </c>
      <c r="X4" s="28" t="str">
        <f>RIGHT(Table22[[#This Row],[Date_of_Treatment_Start Cleaned 4]],4)</f>
        <v>2018</v>
      </c>
      <c r="Y4" t="s">
        <v>163</v>
      </c>
      <c r="Z4" s="15" t="str">
        <f t="shared" si="10"/>
        <v>25/6/2018</v>
      </c>
      <c r="AA4" s="15" t="str">
        <f t="shared" si="11"/>
        <v>25/6/2018</v>
      </c>
      <c r="AB4" s="15" t="str">
        <f t="shared" si="12"/>
        <v>25/06/2018</v>
      </c>
      <c r="AC4" s="15" t="str">
        <f>LEFT(Table22[[#This Row],[Date_of_Surgery Cleaned 3]],10)</f>
        <v>25/06/2018</v>
      </c>
      <c r="AD4" s="15" t="str">
        <f t="shared" si="13"/>
        <v>25/06/2018</v>
      </c>
      <c r="AE4" s="10" t="str">
        <f t="shared" si="14"/>
        <v>25/06/2018</v>
      </c>
      <c r="AF4" s="27" t="str">
        <f>RIGHT(Table22[[#This Row],[Date_of_Surgery Cleaned 6]],4)</f>
        <v>2018</v>
      </c>
      <c r="AG4" s="27" t="str">
        <f t="shared" si="15"/>
        <v>2018</v>
      </c>
      <c r="AH4" t="s">
        <v>164</v>
      </c>
      <c r="AI4" s="15" t="str">
        <f t="shared" si="16"/>
        <v>04/May/2023</v>
      </c>
      <c r="AJ4" s="15" t="str">
        <f t="shared" si="17"/>
        <v>04/May/2023</v>
      </c>
      <c r="AK4" s="15" t="str">
        <f t="shared" si="18"/>
        <v>04,05,2023</v>
      </c>
      <c r="AL4" s="10" t="str">
        <f t="shared" si="19"/>
        <v>04/05/2023</v>
      </c>
      <c r="AM4" s="27" t="str">
        <f>RIGHT(Table22[[#This Row],[Date_of_Discharge Cleaned 4]],4)</f>
        <v>2023</v>
      </c>
      <c r="AN4" s="27" t="str">
        <f t="shared" si="20"/>
        <v>2023</v>
      </c>
      <c r="AO4" t="s">
        <v>165</v>
      </c>
      <c r="AP4" s="15" t="str">
        <f t="shared" si="21"/>
        <v>01/02/03</v>
      </c>
      <c r="AQ4" s="15" t="str">
        <f t="shared" si="22"/>
        <v>01/02/03</v>
      </c>
      <c r="AR4" s="15" t="str">
        <f t="shared" si="23"/>
        <v>02,01,2003</v>
      </c>
      <c r="AS4" s="15" t="str">
        <f t="shared" si="24"/>
        <v>02/01/2003</v>
      </c>
      <c r="AT4" s="10" t="str">
        <f t="shared" si="25"/>
        <v>02/01/2003</v>
      </c>
      <c r="AU4" s="27" t="str">
        <f>RIGHT(Table22[[#This Row],[Follow_up_Visit Cleaned 5]],4)</f>
        <v>2003</v>
      </c>
      <c r="AV4" s="27" t="str">
        <f t="shared" si="26"/>
        <v>2003</v>
      </c>
    </row>
    <row r="5" spans="1:48" ht="14.25" customHeight="1" x14ac:dyDescent="0.2">
      <c r="A5" t="s">
        <v>166</v>
      </c>
      <c r="B5" t="s">
        <v>167</v>
      </c>
      <c r="C5" s="10" t="str">
        <f t="shared" si="0"/>
        <v>Patient_3</v>
      </c>
      <c r="D5">
        <v>24</v>
      </c>
      <c r="E5" t="s">
        <v>160</v>
      </c>
      <c r="F5" t="s">
        <v>168</v>
      </c>
      <c r="G5" s="15" t="str">
        <f t="shared" si="27"/>
        <v>03/21/2024</v>
      </c>
      <c r="H5" s="15" t="str">
        <f t="shared" si="1"/>
        <v>03/21/2024</v>
      </c>
      <c r="I5" s="15" t="str">
        <f t="shared" si="2"/>
        <v>21/03/2024</v>
      </c>
      <c r="J5" s="10" t="str">
        <f>LEFT(Table22[[#This Row],[Date_of_Admission Cleaned 3]],10)</f>
        <v>21/03/2024</v>
      </c>
      <c r="K5" s="27" t="str">
        <f>RIGHT(Table22[[#This Row],[Date_of_Admission Cleaned 4]],4)</f>
        <v>2024</v>
      </c>
      <c r="L5" s="27" t="str">
        <f t="shared" si="3"/>
        <v>2024</v>
      </c>
      <c r="M5" t="s">
        <v>169</v>
      </c>
      <c r="N5" s="15" t="str">
        <f t="shared" si="4"/>
        <v>13/04/2024</v>
      </c>
      <c r="O5" s="15" t="str">
        <f t="shared" si="5"/>
        <v>13/04/2024</v>
      </c>
      <c r="P5" s="10" t="str">
        <f t="shared" si="28"/>
        <v>13/04/2024</v>
      </c>
      <c r="Q5" s="27" t="str">
        <f>RIGHT(Table22[[#This Row],[Date_of_Diagnosis Cleaned 3]],4)</f>
        <v>2024</v>
      </c>
      <c r="R5" s="27" t="str">
        <f t="shared" si="6"/>
        <v>2024</v>
      </c>
      <c r="S5">
        <v>43120</v>
      </c>
      <c r="T5" s="21" t="str">
        <f t="shared" si="7"/>
        <v>43120</v>
      </c>
      <c r="U5" s="21" t="str">
        <f t="shared" si="29"/>
        <v>20/01/2018</v>
      </c>
      <c r="V5" s="21" t="str">
        <f t="shared" si="8"/>
        <v>20/01/2018</v>
      </c>
      <c r="W5" s="16" t="str">
        <f t="shared" si="9"/>
        <v>20/01/2018</v>
      </c>
      <c r="X5" s="28" t="str">
        <f>RIGHT(Table22[[#This Row],[Date_of_Treatment_Start Cleaned 4]],4)</f>
        <v>2018</v>
      </c>
      <c r="Y5" t="s">
        <v>163</v>
      </c>
      <c r="Z5" s="15" t="str">
        <f t="shared" si="10"/>
        <v>25/6/2018</v>
      </c>
      <c r="AA5" s="15" t="str">
        <f t="shared" si="11"/>
        <v>25/6/2018</v>
      </c>
      <c r="AB5" s="15" t="str">
        <f t="shared" si="12"/>
        <v>25/06/2018</v>
      </c>
      <c r="AC5" s="15" t="str">
        <f>LEFT(Table22[[#This Row],[Date_of_Surgery Cleaned 3]],10)</f>
        <v>25/06/2018</v>
      </c>
      <c r="AD5" s="15" t="str">
        <f t="shared" si="13"/>
        <v>25/06/2018</v>
      </c>
      <c r="AE5" s="10" t="str">
        <f t="shared" si="14"/>
        <v>25/06/2018</v>
      </c>
      <c r="AF5" s="27" t="str">
        <f>RIGHT(Table22[[#This Row],[Date_of_Surgery Cleaned 6]],4)</f>
        <v>2018</v>
      </c>
      <c r="AG5" s="27" t="str">
        <f t="shared" si="15"/>
        <v>2018</v>
      </c>
      <c r="AH5" t="s">
        <v>170</v>
      </c>
      <c r="AI5" s="15" t="str">
        <f t="shared" si="16"/>
        <v>2024/09/10</v>
      </c>
      <c r="AJ5" s="15" t="str">
        <f t="shared" si="17"/>
        <v>2024/09/10</v>
      </c>
      <c r="AK5" s="15" t="str">
        <f t="shared" si="18"/>
        <v>10,09,2024</v>
      </c>
      <c r="AL5" s="10" t="str">
        <f t="shared" si="19"/>
        <v>10/09/2024</v>
      </c>
      <c r="AM5" s="27" t="str">
        <f>RIGHT(Table22[[#This Row],[Date_of_Discharge Cleaned 4]],4)</f>
        <v>2024</v>
      </c>
      <c r="AN5" s="27" t="str">
        <f t="shared" si="20"/>
        <v>2024</v>
      </c>
      <c r="AO5" t="s">
        <v>171</v>
      </c>
      <c r="AP5" s="15" t="str">
        <f t="shared" si="21"/>
        <v>04/12/2023</v>
      </c>
      <c r="AQ5" s="15" t="str">
        <f t="shared" si="22"/>
        <v>04/12/2023</v>
      </c>
      <c r="AR5" s="15" t="str">
        <f t="shared" si="23"/>
        <v>12,04,2023</v>
      </c>
      <c r="AS5" s="15" t="str">
        <f t="shared" si="24"/>
        <v>12/04/2023</v>
      </c>
      <c r="AT5" s="10" t="str">
        <f t="shared" si="25"/>
        <v>12/04/2023</v>
      </c>
      <c r="AU5" s="27" t="str">
        <f>RIGHT(Table22[[#This Row],[Follow_up_Visit Cleaned 5]],4)</f>
        <v>2023</v>
      </c>
      <c r="AV5" s="27" t="str">
        <f t="shared" si="26"/>
        <v>2023</v>
      </c>
    </row>
    <row r="6" spans="1:48" ht="14.25" customHeight="1" x14ac:dyDescent="0.2">
      <c r="A6" t="s">
        <v>172</v>
      </c>
      <c r="B6" t="s">
        <v>173</v>
      </c>
      <c r="C6" s="10" t="str">
        <f t="shared" si="0"/>
        <v>Patient_4</v>
      </c>
      <c r="D6">
        <v>33</v>
      </c>
      <c r="E6" t="s">
        <v>146</v>
      </c>
      <c r="F6" t="s">
        <v>174</v>
      </c>
      <c r="G6" s="15" t="str">
        <f t="shared" si="27"/>
        <v>2024/04/09</v>
      </c>
      <c r="H6" s="15" t="str">
        <f t="shared" si="1"/>
        <v>2024/04/09</v>
      </c>
      <c r="I6" s="15" t="str">
        <f t="shared" si="2"/>
        <v>09/04/2024</v>
      </c>
      <c r="J6" s="10" t="str">
        <f>LEFT(Table22[[#This Row],[Date_of_Admission Cleaned 3]],10)</f>
        <v>09/04/2024</v>
      </c>
      <c r="K6" s="27" t="str">
        <f>RIGHT(Table22[[#This Row],[Date_of_Admission Cleaned 4]],4)</f>
        <v>2024</v>
      </c>
      <c r="L6" s="27" t="str">
        <f t="shared" si="3"/>
        <v>2024</v>
      </c>
      <c r="M6" t="s">
        <v>175</v>
      </c>
      <c r="N6" s="15" t="str">
        <f t="shared" si="4"/>
        <v>2023/03/16</v>
      </c>
      <c r="O6" s="15" t="str">
        <f t="shared" si="5"/>
        <v>2023/03/16</v>
      </c>
      <c r="P6" s="10" t="str">
        <f t="shared" si="28"/>
        <v>16/03/2023</v>
      </c>
      <c r="Q6" s="27" t="str">
        <f>RIGHT(Table22[[#This Row],[Date_of_Diagnosis Cleaned 3]],4)</f>
        <v>2023</v>
      </c>
      <c r="R6" s="27" t="str">
        <f t="shared" si="6"/>
        <v>2023</v>
      </c>
      <c r="S6">
        <v>43120</v>
      </c>
      <c r="T6" s="21" t="str">
        <f t="shared" si="7"/>
        <v>43120</v>
      </c>
      <c r="U6" s="21" t="str">
        <f t="shared" si="29"/>
        <v>20/01/2018</v>
      </c>
      <c r="V6" s="21" t="str">
        <f t="shared" si="8"/>
        <v>20/01/2018</v>
      </c>
      <c r="W6" s="16" t="str">
        <f t="shared" si="9"/>
        <v>20/01/2018</v>
      </c>
      <c r="X6" s="28" t="str">
        <f>RIGHT(Table22[[#This Row],[Date_of_Treatment_Start Cleaned 4]],4)</f>
        <v>2018</v>
      </c>
      <c r="Y6" t="s">
        <v>176</v>
      </c>
      <c r="Z6" s="15" t="str">
        <f t="shared" si="10"/>
        <v>22/4/2017</v>
      </c>
      <c r="AA6" s="15" t="str">
        <f t="shared" si="11"/>
        <v>22/4/2017</v>
      </c>
      <c r="AB6" s="15" t="str">
        <f t="shared" si="12"/>
        <v>22/04/2017</v>
      </c>
      <c r="AC6" s="15" t="str">
        <f>LEFT(Table22[[#This Row],[Date_of_Surgery Cleaned 3]],10)</f>
        <v>22/04/2017</v>
      </c>
      <c r="AD6" s="15" t="str">
        <f t="shared" si="13"/>
        <v>22/04/2017</v>
      </c>
      <c r="AE6" s="10" t="str">
        <f t="shared" si="14"/>
        <v>22/04/2017</v>
      </c>
      <c r="AF6" s="27" t="str">
        <f>RIGHT(Table22[[#This Row],[Date_of_Surgery Cleaned 6]],4)</f>
        <v>2017</v>
      </c>
      <c r="AG6" s="27" t="str">
        <f t="shared" si="15"/>
        <v>2017</v>
      </c>
      <c r="AH6" t="s">
        <v>177</v>
      </c>
      <c r="AI6" s="15" t="str">
        <f t="shared" si="16"/>
        <v>04/Apr/2023</v>
      </c>
      <c r="AJ6" s="15" t="str">
        <f t="shared" si="17"/>
        <v>04/Apr/2023</v>
      </c>
      <c r="AK6" s="15" t="str">
        <f t="shared" si="18"/>
        <v>04,04,2023</v>
      </c>
      <c r="AL6" s="10" t="str">
        <f t="shared" si="19"/>
        <v>04/04/2023</v>
      </c>
      <c r="AM6" s="27" t="str">
        <f>RIGHT(Table22[[#This Row],[Date_of_Discharge Cleaned 4]],4)</f>
        <v>2023</v>
      </c>
      <c r="AN6" s="27" t="str">
        <f t="shared" si="20"/>
        <v>2023</v>
      </c>
      <c r="AO6" t="s">
        <v>171</v>
      </c>
      <c r="AP6" s="15" t="str">
        <f t="shared" si="21"/>
        <v>04/12/2023</v>
      </c>
      <c r="AQ6" s="15" t="str">
        <f t="shared" si="22"/>
        <v>04/12/2023</v>
      </c>
      <c r="AR6" s="15" t="str">
        <f t="shared" si="23"/>
        <v>12,04,2023</v>
      </c>
      <c r="AS6" s="15" t="str">
        <f t="shared" si="24"/>
        <v>12/04/2023</v>
      </c>
      <c r="AT6" s="10" t="str">
        <f t="shared" si="25"/>
        <v>12/04/2023</v>
      </c>
      <c r="AU6" s="27" t="str">
        <f>RIGHT(Table22[[#This Row],[Follow_up_Visit Cleaned 5]],4)</f>
        <v>2023</v>
      </c>
      <c r="AV6" s="27" t="str">
        <f t="shared" si="26"/>
        <v>2023</v>
      </c>
    </row>
    <row r="7" spans="1:48" ht="14.25" customHeight="1" x14ac:dyDescent="0.2">
      <c r="A7" t="s">
        <v>178</v>
      </c>
      <c r="B7" t="s">
        <v>841</v>
      </c>
      <c r="C7" s="10" t="str">
        <f t="shared" si="0"/>
        <v>Patient_5</v>
      </c>
      <c r="D7">
        <v>46</v>
      </c>
      <c r="E7" t="s">
        <v>160</v>
      </c>
      <c r="F7" t="s">
        <v>179</v>
      </c>
      <c r="G7" s="15" t="str">
        <f t="shared" si="27"/>
        <v>27/September/2023</v>
      </c>
      <c r="H7" s="15" t="str">
        <f t="shared" si="1"/>
        <v>27/September/2023</v>
      </c>
      <c r="I7" s="15" t="str">
        <f t="shared" si="2"/>
        <v>27/09/2023</v>
      </c>
      <c r="J7" s="10" t="str">
        <f>LEFT(Table22[[#This Row],[Date_of_Admission Cleaned 3]],10)</f>
        <v>27/09/2023</v>
      </c>
      <c r="K7" s="27" t="str">
        <f>RIGHT(Table22[[#This Row],[Date_of_Admission Cleaned 4]],4)</f>
        <v>2023</v>
      </c>
      <c r="L7" s="27" t="str">
        <f t="shared" si="3"/>
        <v>2023</v>
      </c>
      <c r="M7" t="s">
        <v>180</v>
      </c>
      <c r="N7" s="15" t="str">
        <f t="shared" si="4"/>
        <v>15/5/2016</v>
      </c>
      <c r="O7" s="15" t="str">
        <f t="shared" si="5"/>
        <v>15/05/2016</v>
      </c>
      <c r="P7" s="10" t="str">
        <f t="shared" si="28"/>
        <v>15/05/2016</v>
      </c>
      <c r="Q7" s="27" t="str">
        <f>RIGHT(Table22[[#This Row],[Date_of_Diagnosis Cleaned 3]],4)</f>
        <v>2016</v>
      </c>
      <c r="R7" s="27" t="str">
        <f t="shared" si="6"/>
        <v>2016</v>
      </c>
      <c r="S7">
        <v>45292</v>
      </c>
      <c r="T7" s="21" t="str">
        <f t="shared" si="7"/>
        <v>45292</v>
      </c>
      <c r="U7" s="21" t="str">
        <f t="shared" si="29"/>
        <v>01/01/2024</v>
      </c>
      <c r="V7" s="21" t="str">
        <f t="shared" si="8"/>
        <v>01/01/2024</v>
      </c>
      <c r="W7" s="16" t="str">
        <f t="shared" si="9"/>
        <v>01/01/2024</v>
      </c>
      <c r="X7" s="28" t="str">
        <f>RIGHT(Table22[[#This Row],[Date_of_Treatment_Start Cleaned 4]],4)</f>
        <v>2024</v>
      </c>
      <c r="Y7" t="s">
        <v>176</v>
      </c>
      <c r="Z7" s="15" t="str">
        <f t="shared" si="10"/>
        <v>22/4/2017</v>
      </c>
      <c r="AA7" s="15" t="str">
        <f t="shared" si="11"/>
        <v>22/4/2017</v>
      </c>
      <c r="AB7" s="15" t="str">
        <f t="shared" si="12"/>
        <v>22/04/2017</v>
      </c>
      <c r="AC7" s="15" t="str">
        <f>LEFT(Table22[[#This Row],[Date_of_Surgery Cleaned 3]],10)</f>
        <v>22/04/2017</v>
      </c>
      <c r="AD7" s="15" t="str">
        <f t="shared" si="13"/>
        <v>22/04/2017</v>
      </c>
      <c r="AE7" s="10" t="str">
        <f t="shared" si="14"/>
        <v>22/04/2017</v>
      </c>
      <c r="AF7" s="27" t="str">
        <f>RIGHT(Table22[[#This Row],[Date_of_Surgery Cleaned 6]],4)</f>
        <v>2017</v>
      </c>
      <c r="AG7" s="27" t="str">
        <f t="shared" si="15"/>
        <v>2017</v>
      </c>
      <c r="AH7" t="s">
        <v>181</v>
      </c>
      <c r="AI7" s="15" t="str">
        <f t="shared" si="16"/>
        <v>Jul 05, 2023</v>
      </c>
      <c r="AJ7" s="15" t="str">
        <f t="shared" si="17"/>
        <v>Jul 05, 2023</v>
      </c>
      <c r="AK7" s="15" t="str">
        <f t="shared" si="18"/>
        <v>05,07,2023</v>
      </c>
      <c r="AL7" s="10" t="str">
        <f t="shared" si="19"/>
        <v>05/07/2023</v>
      </c>
      <c r="AM7" s="27" t="str">
        <f>RIGHT(Table22[[#This Row],[Date_of_Discharge Cleaned 4]],4)</f>
        <v>2023</v>
      </c>
      <c r="AN7" s="27" t="str">
        <f t="shared" si="20"/>
        <v>2023</v>
      </c>
      <c r="AO7" s="6" t="s">
        <v>940</v>
      </c>
      <c r="AP7" s="15" t="str">
        <f t="shared" si="21"/>
        <v>01-01-2022 (estimated)</v>
      </c>
      <c r="AQ7" s="15" t="str">
        <f t="shared" si="22"/>
        <v>01-01-2022 (estimated)</v>
      </c>
      <c r="AR7" s="15" t="str">
        <f t="shared" si="23"/>
        <v>01-01-2022 (estimated)</v>
      </c>
      <c r="AS7" s="15" t="str">
        <f t="shared" si="24"/>
        <v>01/01/2022(estimated)</v>
      </c>
      <c r="AT7" s="10" t="str">
        <f t="shared" si="25"/>
        <v>01/01/2022</v>
      </c>
      <c r="AU7" s="27" t="str">
        <f>RIGHT(Table22[[#This Row],[Follow_up_Visit Cleaned 5]],4)</f>
        <v>2022</v>
      </c>
      <c r="AV7" s="27" t="str">
        <f t="shared" si="26"/>
        <v>2022</v>
      </c>
    </row>
    <row r="8" spans="1:48" ht="14.25" customHeight="1" x14ac:dyDescent="0.2">
      <c r="A8" t="s">
        <v>183</v>
      </c>
      <c r="B8" t="s">
        <v>850</v>
      </c>
      <c r="C8" s="10" t="str">
        <f t="shared" si="0"/>
        <v>Patient_6</v>
      </c>
      <c r="D8">
        <v>28</v>
      </c>
      <c r="E8" t="s">
        <v>146</v>
      </c>
      <c r="F8" t="s">
        <v>165</v>
      </c>
      <c r="G8" s="15" t="str">
        <f t="shared" si="27"/>
        <v>01/02/03</v>
      </c>
      <c r="H8" s="15" t="str">
        <f t="shared" si="1"/>
        <v>01/02/03</v>
      </c>
      <c r="I8" s="15" t="str">
        <f t="shared" si="2"/>
        <v>02/01/2003</v>
      </c>
      <c r="J8" s="10" t="str">
        <f>LEFT(Table22[[#This Row],[Date_of_Admission Cleaned 3]],10)</f>
        <v>02/01/2003</v>
      </c>
      <c r="K8" s="27" t="str">
        <f>RIGHT(Table22[[#This Row],[Date_of_Admission Cleaned 4]],4)</f>
        <v>2003</v>
      </c>
      <c r="L8" s="27" t="str">
        <f t="shared" si="3"/>
        <v>2003</v>
      </c>
      <c r="M8" t="s">
        <v>184</v>
      </c>
      <c r="N8" s="15" t="str">
        <f t="shared" si="4"/>
        <v>1/9/2016</v>
      </c>
      <c r="O8" s="15" t="str">
        <f t="shared" si="5"/>
        <v>1/09/2016</v>
      </c>
      <c r="P8" s="10" t="str">
        <f t="shared" si="28"/>
        <v>09/01/2016</v>
      </c>
      <c r="Q8" s="27" t="str">
        <f>RIGHT(Table22[[#This Row],[Date_of_Diagnosis Cleaned 3]],4)</f>
        <v>2016</v>
      </c>
      <c r="R8" s="27" t="str">
        <f t="shared" si="6"/>
        <v>2016</v>
      </c>
      <c r="S8">
        <v>45734</v>
      </c>
      <c r="T8" s="21" t="str">
        <f t="shared" si="7"/>
        <v>45734</v>
      </c>
      <c r="U8" s="21" t="str">
        <f t="shared" si="29"/>
        <v>18/03/2025</v>
      </c>
      <c r="V8" s="21" t="str">
        <f t="shared" si="8"/>
        <v>18/03/2025</v>
      </c>
      <c r="W8" s="16" t="str">
        <f t="shared" si="9"/>
        <v>18/03/2025</v>
      </c>
      <c r="X8" s="28" t="str">
        <f>RIGHT(Table22[[#This Row],[Date_of_Treatment_Start Cleaned 4]],4)</f>
        <v>2025</v>
      </c>
      <c r="Y8" t="s">
        <v>176</v>
      </c>
      <c r="Z8" s="15" t="str">
        <f t="shared" si="10"/>
        <v>22/4/2017</v>
      </c>
      <c r="AA8" s="15" t="str">
        <f t="shared" si="11"/>
        <v>22/4/2017</v>
      </c>
      <c r="AB8" s="15" t="str">
        <f t="shared" si="12"/>
        <v>22/04/2017</v>
      </c>
      <c r="AC8" s="15" t="str">
        <f>LEFT(Table22[[#This Row],[Date_of_Surgery Cleaned 3]],10)</f>
        <v>22/04/2017</v>
      </c>
      <c r="AD8" s="15" t="str">
        <f t="shared" si="13"/>
        <v>22/04/2017</v>
      </c>
      <c r="AE8" s="10" t="str">
        <f t="shared" si="14"/>
        <v>22/04/2017</v>
      </c>
      <c r="AF8" s="27" t="str">
        <f>RIGHT(Table22[[#This Row],[Date_of_Surgery Cleaned 6]],4)</f>
        <v>2017</v>
      </c>
      <c r="AG8" s="27" t="str">
        <f t="shared" si="15"/>
        <v>2017</v>
      </c>
      <c r="AH8" t="s">
        <v>177</v>
      </c>
      <c r="AI8" s="15" t="str">
        <f t="shared" si="16"/>
        <v>04/Apr/2023</v>
      </c>
      <c r="AJ8" s="15" t="str">
        <f t="shared" si="17"/>
        <v>04/Apr/2023</v>
      </c>
      <c r="AK8" s="15" t="str">
        <f t="shared" si="18"/>
        <v>04,04,2023</v>
      </c>
      <c r="AL8" s="10" t="str">
        <f t="shared" si="19"/>
        <v>04/04/2023</v>
      </c>
      <c r="AM8" s="27" t="str">
        <f>RIGHT(Table22[[#This Row],[Date_of_Discharge Cleaned 4]],4)</f>
        <v>2023</v>
      </c>
      <c r="AN8" s="27" t="str">
        <f t="shared" si="20"/>
        <v>2023</v>
      </c>
      <c r="AO8" s="6" t="s">
        <v>940</v>
      </c>
      <c r="AP8" s="15" t="str">
        <f t="shared" si="21"/>
        <v>01-01-2022 (estimated)</v>
      </c>
      <c r="AQ8" s="15" t="str">
        <f t="shared" si="22"/>
        <v>01-01-2022 (estimated)</v>
      </c>
      <c r="AR8" s="15" t="str">
        <f t="shared" si="23"/>
        <v>01-01-2022 (estimated)</v>
      </c>
      <c r="AS8" s="15" t="str">
        <f t="shared" si="24"/>
        <v>01/01/2022(estimated)</v>
      </c>
      <c r="AT8" s="10" t="str">
        <f t="shared" si="25"/>
        <v>01/01/2022</v>
      </c>
      <c r="AU8" s="27" t="str">
        <f>RIGHT(Table22[[#This Row],[Follow_up_Visit Cleaned 5]],4)</f>
        <v>2022</v>
      </c>
      <c r="AV8" s="27" t="str">
        <f t="shared" si="26"/>
        <v>2022</v>
      </c>
    </row>
    <row r="9" spans="1:48" ht="14.25" customHeight="1" x14ac:dyDescent="0.2">
      <c r="A9" t="s">
        <v>185</v>
      </c>
      <c r="B9" t="s">
        <v>186</v>
      </c>
      <c r="C9" s="10" t="str">
        <f t="shared" si="0"/>
        <v>Patient_7</v>
      </c>
      <c r="D9">
        <v>34</v>
      </c>
      <c r="E9" t="s">
        <v>146</v>
      </c>
      <c r="F9" t="s">
        <v>187</v>
      </c>
      <c r="G9" s="15" t="str">
        <f t="shared" si="27"/>
        <v>03/04/2023</v>
      </c>
      <c r="H9" s="15" t="str">
        <f t="shared" si="1"/>
        <v>03/04/2023</v>
      </c>
      <c r="I9" s="15" t="str">
        <f t="shared" si="2"/>
        <v>04/03/2023</v>
      </c>
      <c r="J9" s="10" t="str">
        <f>LEFT(Table22[[#This Row],[Date_of_Admission Cleaned 3]],10)</f>
        <v>04/03/2023</v>
      </c>
      <c r="K9" s="27" t="str">
        <f>RIGHT(Table22[[#This Row],[Date_of_Admission Cleaned 4]],4)</f>
        <v>2023</v>
      </c>
      <c r="L9" s="27" t="str">
        <f t="shared" si="3"/>
        <v>2023</v>
      </c>
      <c r="M9" t="s">
        <v>184</v>
      </c>
      <c r="N9" s="15" t="str">
        <f t="shared" si="4"/>
        <v>1/9/2016</v>
      </c>
      <c r="O9" s="15" t="str">
        <f t="shared" si="5"/>
        <v>1/09/2016</v>
      </c>
      <c r="P9" s="10" t="str">
        <f t="shared" si="28"/>
        <v>09/01/2016</v>
      </c>
      <c r="Q9" s="27" t="str">
        <f>RIGHT(Table22[[#This Row],[Date_of_Diagnosis Cleaned 3]],4)</f>
        <v>2016</v>
      </c>
      <c r="R9" s="27" t="str">
        <f t="shared" si="6"/>
        <v>2016</v>
      </c>
      <c r="S9">
        <v>45756</v>
      </c>
      <c r="T9" s="21" t="str">
        <f t="shared" si="7"/>
        <v>45756</v>
      </c>
      <c r="U9" s="21" t="str">
        <f t="shared" si="29"/>
        <v>09/04/2025</v>
      </c>
      <c r="V9" s="21" t="str">
        <f t="shared" si="8"/>
        <v>09/04/2025</v>
      </c>
      <c r="W9" s="16" t="str">
        <f t="shared" si="9"/>
        <v>09/04/2025</v>
      </c>
      <c r="X9" s="28" t="str">
        <f>RIGHT(Table22[[#This Row],[Date_of_Treatment_Start Cleaned 4]],4)</f>
        <v>2025</v>
      </c>
      <c r="Y9" t="s">
        <v>176</v>
      </c>
      <c r="Z9" s="15" t="str">
        <f t="shared" si="10"/>
        <v>22/4/2017</v>
      </c>
      <c r="AA9" s="15" t="str">
        <f t="shared" si="11"/>
        <v>22/4/2017</v>
      </c>
      <c r="AB9" s="15" t="str">
        <f t="shared" si="12"/>
        <v>22/04/2017</v>
      </c>
      <c r="AC9" s="15" t="str">
        <f>LEFT(Table22[[#This Row],[Date_of_Surgery Cleaned 3]],10)</f>
        <v>22/04/2017</v>
      </c>
      <c r="AD9" s="15" t="str">
        <f t="shared" si="13"/>
        <v>22/04/2017</v>
      </c>
      <c r="AE9" s="10" t="str">
        <f t="shared" si="14"/>
        <v>22/04/2017</v>
      </c>
      <c r="AF9" s="27" t="str">
        <f>RIGHT(Table22[[#This Row],[Date_of_Surgery Cleaned 6]],4)</f>
        <v>2017</v>
      </c>
      <c r="AG9" s="27" t="str">
        <f t="shared" si="15"/>
        <v>2017</v>
      </c>
      <c r="AH9" t="s">
        <v>188</v>
      </c>
      <c r="AI9" s="15" t="str">
        <f t="shared" si="16"/>
        <v>2024-11-21</v>
      </c>
      <c r="AJ9" s="15" t="str">
        <f t="shared" si="17"/>
        <v>2024-11-21</v>
      </c>
      <c r="AK9" s="15" t="str">
        <f t="shared" si="18"/>
        <v>21,11,2024</v>
      </c>
      <c r="AL9" s="10" t="str">
        <f t="shared" si="19"/>
        <v>21/11/2024</v>
      </c>
      <c r="AM9" s="27" t="str">
        <f>RIGHT(Table22[[#This Row],[Date_of_Discharge Cleaned 4]],4)</f>
        <v>2024</v>
      </c>
      <c r="AN9" s="27" t="str">
        <f t="shared" si="20"/>
        <v>2024</v>
      </c>
      <c r="AO9">
        <v>44736</v>
      </c>
      <c r="AP9" s="15">
        <f t="shared" si="21"/>
        <v>44736</v>
      </c>
      <c r="AQ9" s="15" t="str">
        <f t="shared" si="22"/>
        <v>44736</v>
      </c>
      <c r="AR9" s="15" t="str">
        <f t="shared" si="23"/>
        <v>24,06,2022</v>
      </c>
      <c r="AS9" s="15" t="str">
        <f t="shared" si="24"/>
        <v>24/06/2022</v>
      </c>
      <c r="AT9" s="10" t="str">
        <f t="shared" si="25"/>
        <v>24/06/2022</v>
      </c>
      <c r="AU9" s="27" t="str">
        <f>RIGHT(Table22[[#This Row],[Follow_up_Visit Cleaned 5]],4)</f>
        <v>2022</v>
      </c>
      <c r="AV9" s="27" t="str">
        <f t="shared" si="26"/>
        <v>2022</v>
      </c>
    </row>
    <row r="10" spans="1:48" ht="14.25" customHeight="1" x14ac:dyDescent="0.2">
      <c r="A10" t="s">
        <v>189</v>
      </c>
      <c r="B10" t="s">
        <v>851</v>
      </c>
      <c r="C10" s="10" t="str">
        <f t="shared" si="0"/>
        <v>Patient_8</v>
      </c>
      <c r="D10">
        <v>61</v>
      </c>
      <c r="E10" t="s">
        <v>160</v>
      </c>
      <c r="F10" s="18">
        <v>44985</v>
      </c>
      <c r="G10" s="15" t="str">
        <f t="shared" si="27"/>
        <v>44985</v>
      </c>
      <c r="H10" s="15" t="str">
        <f t="shared" si="1"/>
        <v>44985</v>
      </c>
      <c r="I10" s="15" t="str">
        <f t="shared" si="2"/>
        <v>28/02/2023</v>
      </c>
      <c r="J10" s="10" t="str">
        <f>LEFT(Table22[[#This Row],[Date_of_Admission Cleaned 3]],10)</f>
        <v>28/02/2023</v>
      </c>
      <c r="K10" s="27" t="str">
        <f>RIGHT(Table22[[#This Row],[Date_of_Admission Cleaned 4]],4)</f>
        <v>2023</v>
      </c>
      <c r="L10" s="27" t="str">
        <f t="shared" si="3"/>
        <v>2023</v>
      </c>
      <c r="M10" t="s">
        <v>184</v>
      </c>
      <c r="N10" s="15" t="str">
        <f t="shared" si="4"/>
        <v>1/9/2016</v>
      </c>
      <c r="O10" s="15" t="str">
        <f t="shared" si="5"/>
        <v>1/09/2016</v>
      </c>
      <c r="P10" s="10" t="str">
        <f t="shared" si="28"/>
        <v>09/01/2016</v>
      </c>
      <c r="Q10" s="27" t="str">
        <f>RIGHT(Table22[[#This Row],[Date_of_Diagnosis Cleaned 3]],4)</f>
        <v>2016</v>
      </c>
      <c r="R10" s="27" t="str">
        <f t="shared" si="6"/>
        <v>2016</v>
      </c>
      <c r="S10" t="s">
        <v>191</v>
      </c>
      <c r="T10" s="21" t="str">
        <f t="shared" si="7"/>
        <v>01/05/2024</v>
      </c>
      <c r="U10" s="21" t="str">
        <f t="shared" si="29"/>
        <v>05/01/2024</v>
      </c>
      <c r="V10" s="21" t="str">
        <f t="shared" si="8"/>
        <v>05/01/2024</v>
      </c>
      <c r="W10" s="16" t="str">
        <f t="shared" si="9"/>
        <v>05/01/2024</v>
      </c>
      <c r="X10" s="28" t="str">
        <f>RIGHT(Table22[[#This Row],[Date_of_Treatment_Start Cleaned 4]],4)</f>
        <v>2024</v>
      </c>
      <c r="Y10" t="s">
        <v>192</v>
      </c>
      <c r="Z10" s="15" t="str">
        <f t="shared" si="10"/>
        <v>17/12/2018</v>
      </c>
      <c r="AA10" s="15" t="str">
        <f t="shared" si="11"/>
        <v>17/12/2018</v>
      </c>
      <c r="AB10" s="15" t="str">
        <f t="shared" si="12"/>
        <v>17/12/2018</v>
      </c>
      <c r="AC10" s="15" t="str">
        <f>LEFT(Table22[[#This Row],[Date_of_Surgery Cleaned 3]],10)</f>
        <v>17/12/2018</v>
      </c>
      <c r="AD10" s="15" t="str">
        <f t="shared" si="13"/>
        <v>17/12/2018</v>
      </c>
      <c r="AE10" s="10" t="str">
        <f t="shared" si="14"/>
        <v>17/12/2018</v>
      </c>
      <c r="AF10" s="27" t="str">
        <f>RIGHT(Table22[[#This Row],[Date_of_Surgery Cleaned 6]],4)</f>
        <v>2018</v>
      </c>
      <c r="AG10" s="27" t="str">
        <f t="shared" si="15"/>
        <v>2018</v>
      </c>
      <c r="AH10" t="s">
        <v>193</v>
      </c>
      <c r="AI10" s="15" t="str">
        <f t="shared" si="16"/>
        <v>2024/11/19</v>
      </c>
      <c r="AJ10" s="15" t="str">
        <f t="shared" si="17"/>
        <v>2024/11/19</v>
      </c>
      <c r="AK10" s="15" t="str">
        <f t="shared" si="18"/>
        <v>19,11,2024</v>
      </c>
      <c r="AL10" s="10" t="str">
        <f t="shared" si="19"/>
        <v>19/11/2024</v>
      </c>
      <c r="AM10" s="27" t="str">
        <f>RIGHT(Table22[[#This Row],[Date_of_Discharge Cleaned 4]],4)</f>
        <v>2024</v>
      </c>
      <c r="AN10" s="27" t="str">
        <f t="shared" si="20"/>
        <v>2024</v>
      </c>
      <c r="AO10">
        <v>45367</v>
      </c>
      <c r="AP10" s="15">
        <f t="shared" si="21"/>
        <v>45367</v>
      </c>
      <c r="AQ10" s="15" t="str">
        <f t="shared" si="22"/>
        <v>45367</v>
      </c>
      <c r="AR10" s="15" t="str">
        <f t="shared" si="23"/>
        <v>16,03,2024</v>
      </c>
      <c r="AS10" s="15" t="str">
        <f t="shared" si="24"/>
        <v>16/03/2024</v>
      </c>
      <c r="AT10" s="10" t="str">
        <f t="shared" si="25"/>
        <v>16/03/2024</v>
      </c>
      <c r="AU10" s="27" t="str">
        <f>RIGHT(Table22[[#This Row],[Follow_up_Visit Cleaned 5]],4)</f>
        <v>2024</v>
      </c>
      <c r="AV10" s="27" t="str">
        <f t="shared" si="26"/>
        <v>2024</v>
      </c>
    </row>
    <row r="11" spans="1:48" ht="14.25" customHeight="1" x14ac:dyDescent="0.2">
      <c r="A11" t="s">
        <v>194</v>
      </c>
      <c r="B11" t="s">
        <v>195</v>
      </c>
      <c r="C11" s="10" t="str">
        <f t="shared" si="0"/>
        <v>Patient_9</v>
      </c>
      <c r="D11">
        <v>70</v>
      </c>
      <c r="E11" t="s">
        <v>160</v>
      </c>
      <c r="F11" s="12">
        <v>44985</v>
      </c>
      <c r="G11" s="15" t="str">
        <f t="shared" si="27"/>
        <v>44985</v>
      </c>
      <c r="H11" s="15" t="str">
        <f t="shared" si="1"/>
        <v>44985</v>
      </c>
      <c r="I11" s="15" t="str">
        <f t="shared" si="2"/>
        <v>28/02/2023</v>
      </c>
      <c r="J11" s="10" t="str">
        <f>LEFT(Table22[[#This Row],[Date_of_Admission Cleaned 3]],10)</f>
        <v>28/02/2023</v>
      </c>
      <c r="K11" s="27" t="str">
        <f>RIGHT(Table22[[#This Row],[Date_of_Admission Cleaned 4]],4)</f>
        <v>2023</v>
      </c>
      <c r="L11" s="27" t="str">
        <f t="shared" si="3"/>
        <v>2023</v>
      </c>
      <c r="M11" t="s">
        <v>196</v>
      </c>
      <c r="N11" s="15" t="str">
        <f t="shared" si="4"/>
        <v>14/04/2024</v>
      </c>
      <c r="O11" s="15" t="str">
        <f t="shared" si="5"/>
        <v>14/04/2024</v>
      </c>
      <c r="P11" s="10" t="str">
        <f t="shared" si="28"/>
        <v>14/04/2024</v>
      </c>
      <c r="Q11" s="27" t="str">
        <f>RIGHT(Table22[[#This Row],[Date_of_Diagnosis Cleaned 3]],4)</f>
        <v>2024</v>
      </c>
      <c r="R11" s="27" t="str">
        <f t="shared" si="6"/>
        <v>2024</v>
      </c>
      <c r="S11" t="s">
        <v>197</v>
      </c>
      <c r="T11" s="21" t="str">
        <f t="shared" si="7"/>
        <v>01/26/2023</v>
      </c>
      <c r="U11" s="21" t="str">
        <f t="shared" si="29"/>
        <v>26/01/2023</v>
      </c>
      <c r="V11" s="21" t="str">
        <f t="shared" si="8"/>
        <v>26/01/2023</v>
      </c>
      <c r="W11" s="16" t="str">
        <f t="shared" si="9"/>
        <v>26/01/2023</v>
      </c>
      <c r="X11" s="28" t="str">
        <f>RIGHT(Table22[[#This Row],[Date_of_Treatment_Start Cleaned 4]],4)</f>
        <v>2023</v>
      </c>
      <c r="Y11" t="s">
        <v>192</v>
      </c>
      <c r="Z11" s="15" t="str">
        <f t="shared" si="10"/>
        <v>17/12/2018</v>
      </c>
      <c r="AA11" s="15" t="str">
        <f t="shared" si="11"/>
        <v>17/12/2018</v>
      </c>
      <c r="AB11" s="15" t="str">
        <f t="shared" si="12"/>
        <v>17/12/2018</v>
      </c>
      <c r="AC11" s="15" t="str">
        <f>LEFT(Table22[[#This Row],[Date_of_Surgery Cleaned 3]],10)</f>
        <v>17/12/2018</v>
      </c>
      <c r="AD11" s="15" t="str">
        <f t="shared" si="13"/>
        <v>17/12/2018</v>
      </c>
      <c r="AE11" s="10" t="str">
        <f t="shared" si="14"/>
        <v>17/12/2018</v>
      </c>
      <c r="AF11" s="27" t="str">
        <f>RIGHT(Table22[[#This Row],[Date_of_Surgery Cleaned 6]],4)</f>
        <v>2018</v>
      </c>
      <c r="AG11" s="27" t="str">
        <f t="shared" si="15"/>
        <v>2018</v>
      </c>
      <c r="AH11" t="s">
        <v>198</v>
      </c>
      <c r="AI11" s="15" t="str">
        <f t="shared" si="16"/>
        <v>N/A</v>
      </c>
      <c r="AJ11" s="15" t="str">
        <f t="shared" si="17"/>
        <v>Unknown</v>
      </c>
      <c r="AK11" s="15" t="str">
        <f t="shared" si="18"/>
        <v>Unknown</v>
      </c>
      <c r="AL11" s="10" t="str">
        <f t="shared" si="19"/>
        <v>Unknown</v>
      </c>
      <c r="AM11" s="27" t="str">
        <f>RIGHT(Table22[[#This Row],[Date_of_Discharge Cleaned 4]],4)</f>
        <v>nown</v>
      </c>
      <c r="AN11" s="27" t="str">
        <f t="shared" si="20"/>
        <v>Unknown</v>
      </c>
      <c r="AO11" t="s">
        <v>199</v>
      </c>
      <c r="AP11" s="15" t="str">
        <f t="shared" si="21"/>
        <v>22/08/2023</v>
      </c>
      <c r="AQ11" s="15" t="str">
        <f t="shared" si="22"/>
        <v>22/08/2023</v>
      </c>
      <c r="AR11" s="15" t="str">
        <f t="shared" si="23"/>
        <v>22/08/2023</v>
      </c>
      <c r="AS11" s="15" t="str">
        <f t="shared" si="24"/>
        <v>22/08/2023</v>
      </c>
      <c r="AT11" s="10" t="str">
        <f t="shared" si="25"/>
        <v>22/08/2023</v>
      </c>
      <c r="AU11" s="27" t="str">
        <f>RIGHT(Table22[[#This Row],[Follow_up_Visit Cleaned 5]],4)</f>
        <v>2023</v>
      </c>
      <c r="AV11" s="27" t="str">
        <f t="shared" si="26"/>
        <v>2023</v>
      </c>
    </row>
    <row r="12" spans="1:48" ht="14.25" customHeight="1" x14ac:dyDescent="0.2">
      <c r="A12" t="s">
        <v>200</v>
      </c>
      <c r="B12" t="s">
        <v>201</v>
      </c>
      <c r="C12" s="10" t="str">
        <f t="shared" si="0"/>
        <v>Patient_10</v>
      </c>
      <c r="D12">
        <v>82</v>
      </c>
      <c r="E12" t="s">
        <v>146</v>
      </c>
      <c r="F12" t="s">
        <v>198</v>
      </c>
      <c r="G12" s="15" t="str">
        <f t="shared" si="27"/>
        <v>Unknown</v>
      </c>
      <c r="H12" s="15" t="str">
        <f t="shared" si="1"/>
        <v>Unknown</v>
      </c>
      <c r="I12" s="15" t="str">
        <f t="shared" si="2"/>
        <v>Unknown</v>
      </c>
      <c r="J12" s="10" t="str">
        <f>LEFT(Table22[[#This Row],[Date_of_Admission Cleaned 3]],10)</f>
        <v>Unknown</v>
      </c>
      <c r="K12" s="27" t="str">
        <f>RIGHT(Table22[[#This Row],[Date_of_Admission Cleaned 4]],4)</f>
        <v>nown</v>
      </c>
      <c r="L12" s="27" t="str">
        <f t="shared" si="3"/>
        <v>Unknown</v>
      </c>
      <c r="M12" t="s">
        <v>202</v>
      </c>
      <c r="N12" s="15" t="str">
        <f t="shared" si="4"/>
        <v>13/12/2018</v>
      </c>
      <c r="O12" s="15" t="str">
        <f t="shared" si="5"/>
        <v>13/12/2018</v>
      </c>
      <c r="P12" s="10" t="str">
        <f t="shared" si="28"/>
        <v>13/12/2018</v>
      </c>
      <c r="Q12" s="27" t="str">
        <f>RIGHT(Table22[[#This Row],[Date_of_Diagnosis Cleaned 3]],4)</f>
        <v>2018</v>
      </c>
      <c r="R12" s="27" t="str">
        <f t="shared" si="6"/>
        <v>2018</v>
      </c>
      <c r="S12" t="s">
        <v>203</v>
      </c>
      <c r="T12" s="21" t="str">
        <f t="shared" si="7"/>
        <v>02/January/2023</v>
      </c>
      <c r="U12" s="21" t="str">
        <f t="shared" si="29"/>
        <v>02/01/2023</v>
      </c>
      <c r="V12" s="21" t="str">
        <f t="shared" si="8"/>
        <v>02/01/2023</v>
      </c>
      <c r="W12" s="16" t="str">
        <f t="shared" si="9"/>
        <v>02/01/2023</v>
      </c>
      <c r="X12" s="28" t="str">
        <f>RIGHT(Table22[[#This Row],[Date_of_Treatment_Start Cleaned 4]],4)</f>
        <v>2023</v>
      </c>
      <c r="Y12" t="s">
        <v>204</v>
      </c>
      <c r="Z12" s="15" t="str">
        <f t="shared" si="10"/>
        <v>18/6/2018</v>
      </c>
      <c r="AA12" s="15" t="str">
        <f t="shared" si="11"/>
        <v>18/6/2018</v>
      </c>
      <c r="AB12" s="15" t="str">
        <f t="shared" si="12"/>
        <v>18/06/2018</v>
      </c>
      <c r="AC12" s="15" t="str">
        <f>LEFT(Table22[[#This Row],[Date_of_Surgery Cleaned 3]],10)</f>
        <v>18/06/2018</v>
      </c>
      <c r="AD12" s="15" t="str">
        <f t="shared" si="13"/>
        <v>18/06/2018</v>
      </c>
      <c r="AE12" s="10" t="str">
        <f t="shared" si="14"/>
        <v>18/06/2018</v>
      </c>
      <c r="AF12" s="27" t="str">
        <f>RIGHT(Table22[[#This Row],[Date_of_Surgery Cleaned 6]],4)</f>
        <v>2018</v>
      </c>
      <c r="AG12" s="27" t="str">
        <f t="shared" si="15"/>
        <v>2018</v>
      </c>
      <c r="AH12" t="s">
        <v>205</v>
      </c>
      <c r="AI12" s="15" t="str">
        <f t="shared" si="16"/>
        <v>02/11/2023</v>
      </c>
      <c r="AJ12" s="15" t="str">
        <f t="shared" si="17"/>
        <v>02/11/2023</v>
      </c>
      <c r="AK12" s="15" t="str">
        <f t="shared" si="18"/>
        <v>11,02,2023</v>
      </c>
      <c r="AL12" s="10" t="str">
        <f t="shared" si="19"/>
        <v>11/02/2023</v>
      </c>
      <c r="AM12" s="27" t="str">
        <f>RIGHT(Table22[[#This Row],[Date_of_Discharge Cleaned 4]],4)</f>
        <v>2023</v>
      </c>
      <c r="AN12" s="27" t="str">
        <f t="shared" si="20"/>
        <v>2023</v>
      </c>
      <c r="AO12" t="s">
        <v>206</v>
      </c>
      <c r="AP12" s="15" t="str">
        <f t="shared" si="21"/>
        <v>12/14/2023</v>
      </c>
      <c r="AQ12" s="15" t="str">
        <f t="shared" si="22"/>
        <v>12/14/2023</v>
      </c>
      <c r="AR12" s="15" t="str">
        <f t="shared" si="23"/>
        <v>14,12,2023</v>
      </c>
      <c r="AS12" s="15" t="str">
        <f t="shared" si="24"/>
        <v>14/12/2023</v>
      </c>
      <c r="AT12" s="10" t="str">
        <f t="shared" si="25"/>
        <v>14/12/2023</v>
      </c>
      <c r="AU12" s="27" t="str">
        <f>RIGHT(Table22[[#This Row],[Follow_up_Visit Cleaned 5]],4)</f>
        <v>2023</v>
      </c>
      <c r="AV12" s="27" t="str">
        <f t="shared" si="26"/>
        <v>2023</v>
      </c>
    </row>
    <row r="13" spans="1:48" ht="14.25" customHeight="1" x14ac:dyDescent="0.2">
      <c r="A13" t="s">
        <v>207</v>
      </c>
      <c r="B13" t="s">
        <v>852</v>
      </c>
      <c r="C13" s="10" t="str">
        <f t="shared" si="0"/>
        <v>Patient_11</v>
      </c>
      <c r="D13">
        <v>71</v>
      </c>
      <c r="E13" t="s">
        <v>160</v>
      </c>
      <c r="F13" t="s">
        <v>208</v>
      </c>
      <c r="G13" s="15" t="str">
        <f t="shared" si="27"/>
        <v>03/06/2024</v>
      </c>
      <c r="H13" s="15" t="str">
        <f t="shared" si="1"/>
        <v>03/06/2024</v>
      </c>
      <c r="I13" s="15" t="str">
        <f t="shared" si="2"/>
        <v>06/03/2024</v>
      </c>
      <c r="J13" s="10" t="str">
        <f>LEFT(Table22[[#This Row],[Date_of_Admission Cleaned 3]],10)</f>
        <v>06/03/2024</v>
      </c>
      <c r="K13" s="27" t="str">
        <f>RIGHT(Table22[[#This Row],[Date_of_Admission Cleaned 4]],4)</f>
        <v>2024</v>
      </c>
      <c r="L13" s="27" t="str">
        <f t="shared" si="3"/>
        <v>2024</v>
      </c>
      <c r="M13" t="s">
        <v>202</v>
      </c>
      <c r="N13" s="15" t="str">
        <f t="shared" si="4"/>
        <v>13/12/2018</v>
      </c>
      <c r="O13" s="15" t="str">
        <f t="shared" si="5"/>
        <v>13/12/2018</v>
      </c>
      <c r="P13" s="10" t="str">
        <f t="shared" si="28"/>
        <v>13/12/2018</v>
      </c>
      <c r="Q13" s="27" t="str">
        <f>RIGHT(Table22[[#This Row],[Date_of_Diagnosis Cleaned 3]],4)</f>
        <v>2018</v>
      </c>
      <c r="R13" s="27" t="str">
        <f t="shared" si="6"/>
        <v>2018</v>
      </c>
      <c r="S13" t="s">
        <v>209</v>
      </c>
      <c r="T13" s="21" t="str">
        <f t="shared" si="7"/>
        <v>02/21/2024</v>
      </c>
      <c r="U13" s="21" t="str">
        <f t="shared" si="29"/>
        <v>21/02/2024</v>
      </c>
      <c r="V13" s="21" t="str">
        <f t="shared" si="8"/>
        <v>21/02/2024</v>
      </c>
      <c r="W13" s="16" t="str">
        <f t="shared" si="9"/>
        <v>21/02/2024</v>
      </c>
      <c r="X13" s="28" t="str">
        <f>RIGHT(Table22[[#This Row],[Date_of_Treatment_Start Cleaned 4]],4)</f>
        <v>2024</v>
      </c>
      <c r="Y13" t="s">
        <v>204</v>
      </c>
      <c r="Z13" s="15" t="str">
        <f t="shared" si="10"/>
        <v>18/6/2018</v>
      </c>
      <c r="AA13" s="15" t="str">
        <f t="shared" si="11"/>
        <v>18/6/2018</v>
      </c>
      <c r="AB13" s="15" t="str">
        <f t="shared" si="12"/>
        <v>18/06/2018</v>
      </c>
      <c r="AC13" s="15" t="str">
        <f>LEFT(Table22[[#This Row],[Date_of_Surgery Cleaned 3]],10)</f>
        <v>18/06/2018</v>
      </c>
      <c r="AD13" s="15" t="str">
        <f t="shared" si="13"/>
        <v>18/06/2018</v>
      </c>
      <c r="AE13" s="10" t="str">
        <f t="shared" si="14"/>
        <v>18/06/2018</v>
      </c>
      <c r="AF13" s="27" t="str">
        <f>RIGHT(Table22[[#This Row],[Date_of_Surgery Cleaned 6]],4)</f>
        <v>2018</v>
      </c>
      <c r="AG13" s="27" t="str">
        <f t="shared" si="15"/>
        <v>2018</v>
      </c>
      <c r="AH13" t="s">
        <v>210</v>
      </c>
      <c r="AI13" s="15" t="str">
        <f t="shared" si="16"/>
        <v>26 April 2024</v>
      </c>
      <c r="AJ13" s="15" t="str">
        <f t="shared" si="17"/>
        <v>26 April 2024</v>
      </c>
      <c r="AK13" s="15" t="str">
        <f t="shared" si="18"/>
        <v>26,04,2024</v>
      </c>
      <c r="AL13" s="10" t="str">
        <f t="shared" si="19"/>
        <v>26/04/2024</v>
      </c>
      <c r="AM13" s="27" t="str">
        <f>RIGHT(Table22[[#This Row],[Date_of_Discharge Cleaned 4]],4)</f>
        <v>2024</v>
      </c>
      <c r="AN13" s="27" t="str">
        <f t="shared" si="20"/>
        <v>2024</v>
      </c>
      <c r="AO13" t="s">
        <v>211</v>
      </c>
      <c r="AP13" s="15" t="str">
        <f t="shared" si="21"/>
        <v>13/02/2024</v>
      </c>
      <c r="AQ13" s="15" t="str">
        <f t="shared" si="22"/>
        <v>13/02/2024</v>
      </c>
      <c r="AR13" s="15" t="str">
        <f t="shared" si="23"/>
        <v>13/02/2024</v>
      </c>
      <c r="AS13" s="15" t="str">
        <f t="shared" si="24"/>
        <v>13/02/2024</v>
      </c>
      <c r="AT13" s="10" t="str">
        <f t="shared" si="25"/>
        <v>13/02/2024</v>
      </c>
      <c r="AU13" s="27" t="str">
        <f>RIGHT(Table22[[#This Row],[Follow_up_Visit Cleaned 5]],4)</f>
        <v>2024</v>
      </c>
      <c r="AV13" s="27" t="str">
        <f t="shared" si="26"/>
        <v>2024</v>
      </c>
    </row>
    <row r="14" spans="1:48" ht="14.25" customHeight="1" x14ac:dyDescent="0.2">
      <c r="A14" t="s">
        <v>212</v>
      </c>
      <c r="B14" t="s">
        <v>213</v>
      </c>
      <c r="C14" s="10" t="str">
        <f t="shared" si="0"/>
        <v>Patient_12</v>
      </c>
      <c r="D14">
        <v>23</v>
      </c>
      <c r="E14" t="s">
        <v>160</v>
      </c>
      <c r="F14" t="s">
        <v>147</v>
      </c>
      <c r="G14" s="15" t="str">
        <f t="shared" si="27"/>
        <v>12/13/2023</v>
      </c>
      <c r="H14" s="15" t="str">
        <f t="shared" si="1"/>
        <v>12/13/2023</v>
      </c>
      <c r="I14" s="15" t="str">
        <f t="shared" si="2"/>
        <v>13/12/2023</v>
      </c>
      <c r="J14" s="10" t="str">
        <f>LEFT(Table22[[#This Row],[Date_of_Admission Cleaned 3]],10)</f>
        <v>13/12/2023</v>
      </c>
      <c r="K14" s="27" t="str">
        <f>RIGHT(Table22[[#This Row],[Date_of_Admission Cleaned 4]],4)</f>
        <v>2023</v>
      </c>
      <c r="L14" s="27" t="str">
        <f t="shared" si="3"/>
        <v>2023</v>
      </c>
      <c r="M14" t="s">
        <v>214</v>
      </c>
      <c r="N14" s="15" t="str">
        <f t="shared" si="4"/>
        <v>17/March/2023</v>
      </c>
      <c r="O14" s="15" t="str">
        <f t="shared" si="5"/>
        <v>17/March/2023</v>
      </c>
      <c r="P14" s="10" t="str">
        <f t="shared" si="28"/>
        <v>17/03/2023</v>
      </c>
      <c r="Q14" s="27" t="str">
        <f>RIGHT(Table22[[#This Row],[Date_of_Diagnosis Cleaned 3]],4)</f>
        <v>2023</v>
      </c>
      <c r="R14" s="27" t="str">
        <f t="shared" si="6"/>
        <v>2023</v>
      </c>
      <c r="S14" t="s">
        <v>215</v>
      </c>
      <c r="T14" s="21" t="str">
        <f t="shared" si="7"/>
        <v>04/November/2023</v>
      </c>
      <c r="U14" s="21" t="str">
        <f t="shared" si="29"/>
        <v>04/11/2023</v>
      </c>
      <c r="V14" s="21" t="str">
        <f t="shared" si="8"/>
        <v>04/11/2023</v>
      </c>
      <c r="W14" s="16" t="str">
        <f t="shared" si="9"/>
        <v>04/11/2023</v>
      </c>
      <c r="X14" s="28" t="str">
        <f>RIGHT(Table22[[#This Row],[Date_of_Treatment_Start Cleaned 4]],4)</f>
        <v>2023</v>
      </c>
      <c r="Y14" t="s">
        <v>204</v>
      </c>
      <c r="Z14" s="15" t="str">
        <f t="shared" si="10"/>
        <v>18/6/2018</v>
      </c>
      <c r="AA14" s="15" t="str">
        <f t="shared" si="11"/>
        <v>18/6/2018</v>
      </c>
      <c r="AB14" s="15" t="str">
        <f t="shared" si="12"/>
        <v>18/06/2018</v>
      </c>
      <c r="AC14" s="15" t="str">
        <f>LEFT(Table22[[#This Row],[Date_of_Surgery Cleaned 3]],10)</f>
        <v>18/06/2018</v>
      </c>
      <c r="AD14" s="15" t="str">
        <f t="shared" si="13"/>
        <v>18/06/2018</v>
      </c>
      <c r="AE14" s="10" t="str">
        <f t="shared" si="14"/>
        <v>18/06/2018</v>
      </c>
      <c r="AF14" s="27" t="str">
        <f>RIGHT(Table22[[#This Row],[Date_of_Surgery Cleaned 6]],4)</f>
        <v>2018</v>
      </c>
      <c r="AG14" s="27" t="str">
        <f t="shared" si="15"/>
        <v>2018</v>
      </c>
      <c r="AH14" s="12">
        <v>45594</v>
      </c>
      <c r="AI14" s="15">
        <f t="shared" si="16"/>
        <v>45594</v>
      </c>
      <c r="AJ14" s="15">
        <f t="shared" si="17"/>
        <v>45594</v>
      </c>
      <c r="AK14" s="15" t="str">
        <f t="shared" si="18"/>
        <v>29,10,2024</v>
      </c>
      <c r="AL14" s="10" t="str">
        <f t="shared" si="19"/>
        <v>29/10/2024</v>
      </c>
      <c r="AM14" s="27" t="str">
        <f>RIGHT(Table22[[#This Row],[Date_of_Discharge Cleaned 4]],4)</f>
        <v>2024</v>
      </c>
      <c r="AN14" s="27" t="str">
        <f t="shared" si="20"/>
        <v>2024</v>
      </c>
      <c r="AO14" t="s">
        <v>216</v>
      </c>
      <c r="AP14" s="15" t="str">
        <f t="shared" si="21"/>
        <v>04/08/2023</v>
      </c>
      <c r="AQ14" s="15" t="str">
        <f t="shared" si="22"/>
        <v>04/08/2023</v>
      </c>
      <c r="AR14" s="15" t="str">
        <f t="shared" si="23"/>
        <v>08,04,2023</v>
      </c>
      <c r="AS14" s="15" t="str">
        <f t="shared" si="24"/>
        <v>08/04/2023</v>
      </c>
      <c r="AT14" s="10" t="str">
        <f t="shared" si="25"/>
        <v>08/04/2023</v>
      </c>
      <c r="AU14" s="27" t="str">
        <f>RIGHT(Table22[[#This Row],[Follow_up_Visit Cleaned 5]],4)</f>
        <v>2023</v>
      </c>
      <c r="AV14" s="27" t="str">
        <f t="shared" si="26"/>
        <v>2023</v>
      </c>
    </row>
    <row r="15" spans="1:48" ht="14.25" customHeight="1" x14ac:dyDescent="0.2">
      <c r="A15" t="s">
        <v>217</v>
      </c>
      <c r="B15" t="s">
        <v>218</v>
      </c>
      <c r="C15" s="10" t="str">
        <f t="shared" si="0"/>
        <v>Patient_13</v>
      </c>
      <c r="D15">
        <v>21</v>
      </c>
      <c r="E15" t="s">
        <v>146</v>
      </c>
      <c r="F15" t="s">
        <v>219</v>
      </c>
      <c r="G15" s="15" t="str">
        <f t="shared" si="27"/>
        <v>1/11/2022</v>
      </c>
      <c r="H15" s="15" t="str">
        <f t="shared" si="1"/>
        <v>1/11/2022</v>
      </c>
      <c r="I15" s="15" t="str">
        <f t="shared" si="2"/>
        <v>11/01/2022</v>
      </c>
      <c r="J15" s="10" t="str">
        <f>LEFT(Table22[[#This Row],[Date_of_Admission Cleaned 3]],10)</f>
        <v>11/01/2022</v>
      </c>
      <c r="K15" s="27" t="str">
        <f>RIGHT(Table22[[#This Row],[Date_of_Admission Cleaned 4]],4)</f>
        <v>2022</v>
      </c>
      <c r="L15" s="27" t="str">
        <f t="shared" si="3"/>
        <v>2022</v>
      </c>
      <c r="M15" t="s">
        <v>220</v>
      </c>
      <c r="N15" s="15" t="str">
        <f t="shared" si="4"/>
        <v>Friday//May/13//2016</v>
      </c>
      <c r="O15" s="15" t="str">
        <f t="shared" si="5"/>
        <v>05/13/2016</v>
      </c>
      <c r="P15" s="10" t="str">
        <f t="shared" si="28"/>
        <v>13/05/2016</v>
      </c>
      <c r="Q15" s="27" t="str">
        <f>RIGHT(Table22[[#This Row],[Date_of_Diagnosis Cleaned 3]],4)</f>
        <v>2016</v>
      </c>
      <c r="R15" s="27" t="str">
        <f t="shared" si="6"/>
        <v>2016</v>
      </c>
      <c r="S15" t="s">
        <v>221</v>
      </c>
      <c r="T15" s="21" t="str">
        <f t="shared" si="7"/>
        <v>04/01/2023</v>
      </c>
      <c r="U15" s="21" t="str">
        <f t="shared" si="29"/>
        <v>01/04/2023</v>
      </c>
      <c r="V15" s="21" t="str">
        <f t="shared" si="8"/>
        <v>01/04/2023</v>
      </c>
      <c r="W15" s="16" t="str">
        <f t="shared" si="9"/>
        <v>01/04/2023</v>
      </c>
      <c r="X15" s="28" t="str">
        <f>RIGHT(Table22[[#This Row],[Date_of_Treatment_Start Cleaned 4]],4)</f>
        <v>2023</v>
      </c>
      <c r="Y15" t="s">
        <v>204</v>
      </c>
      <c r="Z15" s="15" t="str">
        <f t="shared" si="10"/>
        <v>18/6/2018</v>
      </c>
      <c r="AA15" s="15" t="str">
        <f t="shared" si="11"/>
        <v>18/6/2018</v>
      </c>
      <c r="AB15" s="15" t="str">
        <f t="shared" si="12"/>
        <v>18/06/2018</v>
      </c>
      <c r="AC15" s="15" t="str">
        <f>LEFT(Table22[[#This Row],[Date_of_Surgery Cleaned 3]],10)</f>
        <v>18/06/2018</v>
      </c>
      <c r="AD15" s="15" t="str">
        <f t="shared" si="13"/>
        <v>18/06/2018</v>
      </c>
      <c r="AE15" s="10" t="str">
        <f t="shared" si="14"/>
        <v>18/06/2018</v>
      </c>
      <c r="AF15" s="27" t="str">
        <f>RIGHT(Table22[[#This Row],[Date_of_Surgery Cleaned 6]],4)</f>
        <v>2018</v>
      </c>
      <c r="AG15" s="27" t="str">
        <f t="shared" si="15"/>
        <v>2018</v>
      </c>
      <c r="AH15" t="s">
        <v>222</v>
      </c>
      <c r="AI15" s="15" t="str">
        <f t="shared" si="16"/>
        <v>20-11-2023</v>
      </c>
      <c r="AJ15" s="15" t="str">
        <f t="shared" si="17"/>
        <v>20-11-2023</v>
      </c>
      <c r="AK15" s="15" t="str">
        <f t="shared" si="18"/>
        <v>20-11-2023</v>
      </c>
      <c r="AL15" s="10" t="str">
        <f t="shared" si="19"/>
        <v>20/11/2023</v>
      </c>
      <c r="AM15" s="27" t="str">
        <f>RIGHT(Table22[[#This Row],[Date_of_Discharge Cleaned 4]],4)</f>
        <v>2023</v>
      </c>
      <c r="AN15" s="27" t="str">
        <f t="shared" si="20"/>
        <v>2023</v>
      </c>
      <c r="AO15" s="6" t="s">
        <v>939</v>
      </c>
      <c r="AP15" s="15" t="str">
        <f t="shared" si="21"/>
        <v>13-01-2020</v>
      </c>
      <c r="AQ15" s="15" t="str">
        <f t="shared" si="22"/>
        <v>13-01-2020</v>
      </c>
      <c r="AR15" s="15" t="str">
        <f t="shared" si="23"/>
        <v>13-01-2020</v>
      </c>
      <c r="AS15" s="15" t="str">
        <f t="shared" si="24"/>
        <v>13/01/2020</v>
      </c>
      <c r="AT15" s="10" t="str">
        <f t="shared" si="25"/>
        <v>13/01/2020</v>
      </c>
      <c r="AU15" s="27" t="str">
        <f>RIGHT(Table22[[#This Row],[Follow_up_Visit Cleaned 5]],4)</f>
        <v>2020</v>
      </c>
      <c r="AV15" s="27" t="str">
        <f t="shared" si="26"/>
        <v>2020</v>
      </c>
    </row>
    <row r="16" spans="1:48" ht="14.25" customHeight="1" x14ac:dyDescent="0.2">
      <c r="A16" t="s">
        <v>224</v>
      </c>
      <c r="B16" t="s">
        <v>854</v>
      </c>
      <c r="C16" s="10" t="str">
        <f t="shared" si="0"/>
        <v>Patient_14</v>
      </c>
      <c r="D16">
        <v>42</v>
      </c>
      <c r="E16" t="s">
        <v>146</v>
      </c>
      <c r="F16" t="s">
        <v>225</v>
      </c>
      <c r="G16" s="15" t="str">
        <f t="shared" si="27"/>
        <v>2024/10/02</v>
      </c>
      <c r="H16" s="15" t="str">
        <f t="shared" si="1"/>
        <v>2024/10/02</v>
      </c>
      <c r="I16" s="15" t="str">
        <f t="shared" si="2"/>
        <v>02/10/2024</v>
      </c>
      <c r="J16" s="10" t="str">
        <f>LEFT(Table22[[#This Row],[Date_of_Admission Cleaned 3]],10)</f>
        <v>02/10/2024</v>
      </c>
      <c r="K16" s="27" t="str">
        <f>RIGHT(Table22[[#This Row],[Date_of_Admission Cleaned 4]],4)</f>
        <v>2024</v>
      </c>
      <c r="L16" s="27" t="str">
        <f t="shared" si="3"/>
        <v>2024</v>
      </c>
      <c r="M16" t="s">
        <v>226</v>
      </c>
      <c r="N16" s="15" t="str">
        <f t="shared" si="4"/>
        <v>07/August/2023</v>
      </c>
      <c r="O16" s="15" t="str">
        <f t="shared" si="5"/>
        <v>07/08/2023</v>
      </c>
      <c r="P16" s="10" t="str">
        <f t="shared" si="28"/>
        <v>08/07/2023</v>
      </c>
      <c r="Q16" s="27" t="str">
        <f>RIGHT(Table22[[#This Row],[Date_of_Diagnosis Cleaned 3]],4)</f>
        <v>2023</v>
      </c>
      <c r="R16" s="27" t="str">
        <f t="shared" si="6"/>
        <v>2023</v>
      </c>
      <c r="S16" t="s">
        <v>227</v>
      </c>
      <c r="T16" s="21" t="str">
        <f t="shared" si="7"/>
        <v>04/01/2024</v>
      </c>
      <c r="U16" s="21" t="str">
        <f t="shared" si="29"/>
        <v>01/04/2024</v>
      </c>
      <c r="V16" s="21" t="str">
        <f t="shared" si="8"/>
        <v>01/04/2024</v>
      </c>
      <c r="W16" s="16" t="str">
        <f t="shared" si="9"/>
        <v>01/04/2024</v>
      </c>
      <c r="X16" s="28" t="str">
        <f>RIGHT(Table22[[#This Row],[Date_of_Treatment_Start Cleaned 4]],4)</f>
        <v>2024</v>
      </c>
      <c r="Y16" t="s">
        <v>204</v>
      </c>
      <c r="Z16" s="15" t="str">
        <f t="shared" si="10"/>
        <v>18/6/2018</v>
      </c>
      <c r="AA16" s="15" t="str">
        <f t="shared" si="11"/>
        <v>18/6/2018</v>
      </c>
      <c r="AB16" s="15" t="str">
        <f t="shared" si="12"/>
        <v>18/06/2018</v>
      </c>
      <c r="AC16" s="15" t="str">
        <f>LEFT(Table22[[#This Row],[Date_of_Surgery Cleaned 3]],10)</f>
        <v>18/06/2018</v>
      </c>
      <c r="AD16" s="15" t="str">
        <f t="shared" si="13"/>
        <v>18/06/2018</v>
      </c>
      <c r="AE16" s="10" t="str">
        <f t="shared" si="14"/>
        <v>18/06/2018</v>
      </c>
      <c r="AF16" s="27" t="str">
        <f>RIGHT(Table22[[#This Row],[Date_of_Surgery Cleaned 6]],4)</f>
        <v>2018</v>
      </c>
      <c r="AG16" s="27" t="str">
        <f t="shared" si="15"/>
        <v>2018</v>
      </c>
      <c r="AH16" t="s">
        <v>228</v>
      </c>
      <c r="AI16" s="15" t="str">
        <f t="shared" si="16"/>
        <v>Dec 23, 2023</v>
      </c>
      <c r="AJ16" s="15" t="str">
        <f t="shared" si="17"/>
        <v>Dec 23, 2023</v>
      </c>
      <c r="AK16" s="15" t="str">
        <f t="shared" si="18"/>
        <v>23,12,2023</v>
      </c>
      <c r="AL16" s="10" t="str">
        <f t="shared" si="19"/>
        <v>23/12/2023</v>
      </c>
      <c r="AM16" s="27" t="str">
        <f>RIGHT(Table22[[#This Row],[Date_of_Discharge Cleaned 4]],4)</f>
        <v>2023</v>
      </c>
      <c r="AN16" s="27" t="str">
        <f t="shared" si="20"/>
        <v>2023</v>
      </c>
      <c r="AO16" t="s">
        <v>229</v>
      </c>
      <c r="AP16" s="15" t="str">
        <f t="shared" si="21"/>
        <v>11/17/2023</v>
      </c>
      <c r="AQ16" s="15" t="str">
        <f t="shared" si="22"/>
        <v>11/17/2023</v>
      </c>
      <c r="AR16" s="15" t="str">
        <f t="shared" si="23"/>
        <v>17,11,2023</v>
      </c>
      <c r="AS16" s="15" t="str">
        <f t="shared" si="24"/>
        <v>17/11/2023</v>
      </c>
      <c r="AT16" s="10" t="str">
        <f t="shared" si="25"/>
        <v>17/11/2023</v>
      </c>
      <c r="AU16" s="27" t="str">
        <f>RIGHT(Table22[[#This Row],[Follow_up_Visit Cleaned 5]],4)</f>
        <v>2023</v>
      </c>
      <c r="AV16" s="27" t="str">
        <f t="shared" si="26"/>
        <v>2023</v>
      </c>
    </row>
    <row r="17" spans="1:48" ht="14.25" customHeight="1" x14ac:dyDescent="0.2">
      <c r="A17" t="s">
        <v>230</v>
      </c>
      <c r="B17" t="s">
        <v>231</v>
      </c>
      <c r="C17" s="10" t="str">
        <f t="shared" si="0"/>
        <v>Patient_15</v>
      </c>
      <c r="D17">
        <v>34</v>
      </c>
      <c r="E17" t="s">
        <v>146</v>
      </c>
      <c r="F17" t="s">
        <v>147</v>
      </c>
      <c r="G17" s="15" t="str">
        <f t="shared" si="27"/>
        <v>12/13/2023</v>
      </c>
      <c r="H17" s="15" t="str">
        <f t="shared" si="1"/>
        <v>12/13/2023</v>
      </c>
      <c r="I17" s="15" t="str">
        <f t="shared" si="2"/>
        <v>13/12/2023</v>
      </c>
      <c r="J17" s="10" t="str">
        <f>LEFT(Table22[[#This Row],[Date_of_Admission Cleaned 3]],10)</f>
        <v>13/12/2023</v>
      </c>
      <c r="K17" s="27" t="str">
        <f>RIGHT(Table22[[#This Row],[Date_of_Admission Cleaned 4]],4)</f>
        <v>2023</v>
      </c>
      <c r="L17" s="27" t="str">
        <f t="shared" si="3"/>
        <v>2023</v>
      </c>
      <c r="M17" t="s">
        <v>198</v>
      </c>
      <c r="N17" s="15" t="str">
        <f t="shared" si="4"/>
        <v>Unknown</v>
      </c>
      <c r="O17" s="15" t="str">
        <f t="shared" si="5"/>
        <v>Unknown</v>
      </c>
      <c r="P17" s="10" t="str">
        <f t="shared" si="28"/>
        <v>Unknown</v>
      </c>
      <c r="Q17" s="27" t="str">
        <f>RIGHT(Table22[[#This Row],[Date_of_Diagnosis Cleaned 3]],4)</f>
        <v>nown</v>
      </c>
      <c r="R17" s="27" t="str">
        <f t="shared" si="6"/>
        <v>Unknown</v>
      </c>
      <c r="S17" t="s">
        <v>232</v>
      </c>
      <c r="T17" s="21" t="str">
        <f t="shared" si="7"/>
        <v>04/Aug/2023</v>
      </c>
      <c r="U17" s="21" t="str">
        <f t="shared" si="29"/>
        <v>04/08/2023</v>
      </c>
      <c r="V17" s="21" t="str">
        <f t="shared" si="8"/>
        <v>04/08/2023</v>
      </c>
      <c r="W17" s="16" t="str">
        <f t="shared" si="9"/>
        <v>04/08/2023</v>
      </c>
      <c r="X17" s="28" t="str">
        <f>RIGHT(Table22[[#This Row],[Date_of_Treatment_Start Cleaned 4]],4)</f>
        <v>2023</v>
      </c>
      <c r="Y17" t="s">
        <v>204</v>
      </c>
      <c r="Z17" s="15" t="str">
        <f t="shared" si="10"/>
        <v>18/6/2018</v>
      </c>
      <c r="AA17" s="15" t="str">
        <f t="shared" si="11"/>
        <v>18/6/2018</v>
      </c>
      <c r="AB17" s="15" t="str">
        <f t="shared" si="12"/>
        <v>18/06/2018</v>
      </c>
      <c r="AC17" s="15" t="str">
        <f>LEFT(Table22[[#This Row],[Date_of_Surgery Cleaned 3]],10)</f>
        <v>18/06/2018</v>
      </c>
      <c r="AD17" s="15" t="str">
        <f t="shared" si="13"/>
        <v>18/06/2018</v>
      </c>
      <c r="AE17" s="10" t="str">
        <f t="shared" si="14"/>
        <v>18/06/2018</v>
      </c>
      <c r="AF17" s="27" t="str">
        <f>RIGHT(Table22[[#This Row],[Date_of_Surgery Cleaned 6]],4)</f>
        <v>2018</v>
      </c>
      <c r="AG17" s="27" t="str">
        <f t="shared" si="15"/>
        <v>2018</v>
      </c>
      <c r="AH17" t="s">
        <v>233</v>
      </c>
      <c r="AI17" s="15" t="str">
        <f t="shared" si="16"/>
        <v>08.12.2023</v>
      </c>
      <c r="AJ17" s="15" t="str">
        <f t="shared" si="17"/>
        <v>08.12.2023</v>
      </c>
      <c r="AK17" s="15" t="str">
        <f t="shared" si="18"/>
        <v>08.12.2023</v>
      </c>
      <c r="AL17" s="10" t="str">
        <f t="shared" si="19"/>
        <v>08/12/2023</v>
      </c>
      <c r="AM17" s="27" t="str">
        <f>RIGHT(Table22[[#This Row],[Date_of_Discharge Cleaned 4]],4)</f>
        <v>2023</v>
      </c>
      <c r="AN17" s="27" t="str">
        <f t="shared" si="20"/>
        <v>2023</v>
      </c>
      <c r="AO17" t="s">
        <v>234</v>
      </c>
      <c r="AP17" s="15" t="str">
        <f t="shared" si="21"/>
        <v>Late March 2023</v>
      </c>
      <c r="AQ17" s="15" t="str">
        <f t="shared" si="22"/>
        <v>Late 03/ 2023</v>
      </c>
      <c r="AR17" s="15" t="str">
        <f t="shared" si="23"/>
        <v>Late 03/ 2023</v>
      </c>
      <c r="AS17" s="15" t="str">
        <f t="shared" si="24"/>
        <v>30/03/2023</v>
      </c>
      <c r="AT17" s="10" t="str">
        <f t="shared" si="25"/>
        <v>30/03/2023</v>
      </c>
      <c r="AU17" s="27" t="str">
        <f>RIGHT(Table22[[#This Row],[Follow_up_Visit Cleaned 5]],4)</f>
        <v>2023</v>
      </c>
      <c r="AV17" s="27" t="str">
        <f t="shared" si="26"/>
        <v>2023</v>
      </c>
    </row>
    <row r="18" spans="1:48" ht="14.25" customHeight="1" x14ac:dyDescent="0.2">
      <c r="A18" t="s">
        <v>235</v>
      </c>
      <c r="B18" t="s">
        <v>236</v>
      </c>
      <c r="C18" s="10" t="str">
        <f t="shared" si="0"/>
        <v>Patient_16</v>
      </c>
      <c r="D18">
        <v>62</v>
      </c>
      <c r="E18" t="s">
        <v>160</v>
      </c>
      <c r="F18" t="s">
        <v>237</v>
      </c>
      <c r="G18" s="15" t="str">
        <f t="shared" si="27"/>
        <v>16/October/2024</v>
      </c>
      <c r="H18" s="15" t="str">
        <f t="shared" si="1"/>
        <v>16/October/2024</v>
      </c>
      <c r="I18" s="15" t="str">
        <f t="shared" si="2"/>
        <v>16/10/2024</v>
      </c>
      <c r="J18" s="10" t="str">
        <f>LEFT(Table22[[#This Row],[Date_of_Admission Cleaned 3]],10)</f>
        <v>16/10/2024</v>
      </c>
      <c r="K18" s="27" t="str">
        <f>RIGHT(Table22[[#This Row],[Date_of_Admission Cleaned 4]],4)</f>
        <v>2024</v>
      </c>
      <c r="L18" s="27" t="str">
        <f t="shared" si="3"/>
        <v>2024</v>
      </c>
      <c r="M18" t="s">
        <v>238</v>
      </c>
      <c r="N18" s="15" t="str">
        <f t="shared" si="4"/>
        <v>16/05/2023</v>
      </c>
      <c r="O18" s="15" t="str">
        <f t="shared" si="5"/>
        <v>16/05/2023</v>
      </c>
      <c r="P18" s="10" t="str">
        <f t="shared" si="28"/>
        <v>16/05/2023</v>
      </c>
      <c r="Q18" s="27" t="str">
        <f>RIGHT(Table22[[#This Row],[Date_of_Diagnosis Cleaned 3]],4)</f>
        <v>2023</v>
      </c>
      <c r="R18" s="27" t="str">
        <f t="shared" si="6"/>
        <v>2023</v>
      </c>
      <c r="S18" t="s">
        <v>239</v>
      </c>
      <c r="T18" s="21" t="str">
        <f t="shared" si="7"/>
        <v>04/Dec/2024</v>
      </c>
      <c r="U18" s="21" t="str">
        <f t="shared" si="29"/>
        <v>04/12/2024</v>
      </c>
      <c r="V18" s="21" t="str">
        <f t="shared" si="8"/>
        <v>04/12/2024</v>
      </c>
      <c r="W18" s="16" t="str">
        <f t="shared" si="9"/>
        <v>04/12/2024</v>
      </c>
      <c r="X18" s="28" t="str">
        <f>RIGHT(Table22[[#This Row],[Date_of_Treatment_Start Cleaned 4]],4)</f>
        <v>2024</v>
      </c>
      <c r="Y18" t="s">
        <v>204</v>
      </c>
      <c r="Z18" s="15" t="str">
        <f t="shared" si="10"/>
        <v>18/6/2018</v>
      </c>
      <c r="AA18" s="15" t="str">
        <f t="shared" si="11"/>
        <v>18/6/2018</v>
      </c>
      <c r="AB18" s="15" t="str">
        <f t="shared" si="12"/>
        <v>18/06/2018</v>
      </c>
      <c r="AC18" s="15" t="str">
        <f>LEFT(Table22[[#This Row],[Date_of_Surgery Cleaned 3]],10)</f>
        <v>18/06/2018</v>
      </c>
      <c r="AD18" s="15" t="str">
        <f t="shared" si="13"/>
        <v>18/06/2018</v>
      </c>
      <c r="AE18" s="10" t="str">
        <f t="shared" si="14"/>
        <v>18/06/2018</v>
      </c>
      <c r="AF18" s="27" t="str">
        <f>RIGHT(Table22[[#This Row],[Date_of_Surgery Cleaned 6]],4)</f>
        <v>2018</v>
      </c>
      <c r="AG18" s="27" t="str">
        <f t="shared" si="15"/>
        <v>2018</v>
      </c>
      <c r="AH18" t="s">
        <v>181</v>
      </c>
      <c r="AI18" s="15" t="str">
        <f t="shared" si="16"/>
        <v>Jul 05, 2023</v>
      </c>
      <c r="AJ18" s="15" t="str">
        <f t="shared" si="17"/>
        <v>Jul 05, 2023</v>
      </c>
      <c r="AK18" s="15" t="str">
        <f t="shared" si="18"/>
        <v>05,07,2023</v>
      </c>
      <c r="AL18" s="10" t="str">
        <f t="shared" si="19"/>
        <v>05/07/2023</v>
      </c>
      <c r="AM18" s="27" t="str">
        <f>RIGHT(Table22[[#This Row],[Date_of_Discharge Cleaned 4]],4)</f>
        <v>2023</v>
      </c>
      <c r="AN18" s="27" t="str">
        <f t="shared" si="20"/>
        <v>2023</v>
      </c>
      <c r="AO18" t="s">
        <v>161</v>
      </c>
      <c r="AP18" s="15" t="str">
        <f t="shared" si="21"/>
        <v>April 31, 2022</v>
      </c>
      <c r="AQ18" s="15" t="str">
        <f t="shared" si="22"/>
        <v>04/ 31, 2022</v>
      </c>
      <c r="AR18" s="15" t="str">
        <f t="shared" si="23"/>
        <v>04/ 31, 2022</v>
      </c>
      <c r="AS18" s="15" t="str">
        <f t="shared" si="24"/>
        <v>04/31/2022</v>
      </c>
      <c r="AT18" s="10" t="str">
        <f t="shared" si="25"/>
        <v>04/31/2022</v>
      </c>
      <c r="AU18" s="27" t="str">
        <f>RIGHT(Table22[[#This Row],[Follow_up_Visit Cleaned 5]],4)</f>
        <v>2022</v>
      </c>
      <c r="AV18" s="27" t="str">
        <f t="shared" si="26"/>
        <v>2022</v>
      </c>
    </row>
    <row r="19" spans="1:48" ht="14.25" customHeight="1" x14ac:dyDescent="0.2">
      <c r="A19" t="s">
        <v>240</v>
      </c>
      <c r="B19" t="s">
        <v>241</v>
      </c>
      <c r="C19" s="10" t="str">
        <f t="shared" si="0"/>
        <v>Patient_17</v>
      </c>
      <c r="D19">
        <v>48</v>
      </c>
      <c r="E19" t="s">
        <v>146</v>
      </c>
      <c r="F19" t="s">
        <v>242</v>
      </c>
      <c r="G19" s="15" t="str">
        <f t="shared" si="27"/>
        <v>15/Sep/2024</v>
      </c>
      <c r="H19" s="15" t="str">
        <f t="shared" si="1"/>
        <v>15/09/2024</v>
      </c>
      <c r="I19" s="15" t="str">
        <f t="shared" si="2"/>
        <v>15/09/2024</v>
      </c>
      <c r="J19" s="10" t="str">
        <f>LEFT(Table22[[#This Row],[Date_of_Admission Cleaned 3]],10)</f>
        <v>15/09/2024</v>
      </c>
      <c r="K19" s="27" t="str">
        <f>RIGHT(Table22[[#This Row],[Date_of_Admission Cleaned 4]],4)</f>
        <v>2024</v>
      </c>
      <c r="L19" s="27" t="str">
        <f t="shared" si="3"/>
        <v>2024</v>
      </c>
      <c r="M19" t="s">
        <v>243</v>
      </c>
      <c r="N19" s="15" t="str">
        <f t="shared" si="4"/>
        <v>18/7/2019</v>
      </c>
      <c r="O19" s="15" t="str">
        <f t="shared" si="5"/>
        <v>18/07/2019</v>
      </c>
      <c r="P19" s="10" t="str">
        <f t="shared" si="28"/>
        <v>18/07/2019</v>
      </c>
      <c r="Q19" s="27" t="str">
        <f>RIGHT(Table22[[#This Row],[Date_of_Diagnosis Cleaned 3]],4)</f>
        <v>2019</v>
      </c>
      <c r="R19" s="27" t="str">
        <f t="shared" si="6"/>
        <v>2019</v>
      </c>
      <c r="S19" t="s">
        <v>244</v>
      </c>
      <c r="T19" s="21" t="str">
        <f t="shared" si="7"/>
        <v>06/Apr/2023</v>
      </c>
      <c r="U19" s="21" t="str">
        <f t="shared" si="29"/>
        <v>06/04/2023</v>
      </c>
      <c r="V19" s="21" t="str">
        <f t="shared" si="8"/>
        <v>06/04/2023</v>
      </c>
      <c r="W19" s="16" t="str">
        <f t="shared" si="9"/>
        <v>06/04/2023</v>
      </c>
      <c r="X19" s="28" t="str">
        <f>RIGHT(Table22[[#This Row],[Date_of_Treatment_Start Cleaned 4]],4)</f>
        <v>2023</v>
      </c>
      <c r="Y19" t="s">
        <v>245</v>
      </c>
      <c r="Z19" s="15" t="str">
        <f t="shared" si="10"/>
        <v>30/11/2017</v>
      </c>
      <c r="AA19" s="15" t="str">
        <f t="shared" si="11"/>
        <v>30/11/2017</v>
      </c>
      <c r="AB19" s="15" t="str">
        <f t="shared" si="12"/>
        <v>30/11/2017</v>
      </c>
      <c r="AC19" s="15" t="str">
        <f>LEFT(Table22[[#This Row],[Date_of_Surgery Cleaned 3]],10)</f>
        <v>30/11/2017</v>
      </c>
      <c r="AD19" s="15" t="str">
        <f t="shared" si="13"/>
        <v>30/11/2017</v>
      </c>
      <c r="AE19" s="10" t="str">
        <f t="shared" si="14"/>
        <v>30/11/2017</v>
      </c>
      <c r="AF19" s="27" t="str">
        <f>RIGHT(Table22[[#This Row],[Date_of_Surgery Cleaned 6]],4)</f>
        <v>2017</v>
      </c>
      <c r="AG19" s="27" t="str">
        <f t="shared" si="15"/>
        <v>2017</v>
      </c>
      <c r="AH19" s="12">
        <v>45577</v>
      </c>
      <c r="AI19" s="15">
        <f t="shared" si="16"/>
        <v>45577</v>
      </c>
      <c r="AJ19" s="15">
        <f t="shared" si="17"/>
        <v>45577</v>
      </c>
      <c r="AK19" s="15" t="str">
        <f t="shared" si="18"/>
        <v>12,10,2024</v>
      </c>
      <c r="AL19" s="10" t="str">
        <f t="shared" si="19"/>
        <v>12/10/2024</v>
      </c>
      <c r="AM19" s="27" t="str">
        <f>RIGHT(Table22[[#This Row],[Date_of_Discharge Cleaned 4]],4)</f>
        <v>2024</v>
      </c>
      <c r="AN19" s="27" t="str">
        <f t="shared" si="20"/>
        <v>2024</v>
      </c>
      <c r="AO19" s="6" t="s">
        <v>951</v>
      </c>
      <c r="AP19" s="15" t="str">
        <f t="shared" si="21"/>
        <v>11-01-2022abc</v>
      </c>
      <c r="AQ19" s="15" t="str">
        <f t="shared" si="22"/>
        <v>11-01-2022abc</v>
      </c>
      <c r="AR19" s="15" t="str">
        <f t="shared" si="23"/>
        <v>11-01-2022abc</v>
      </c>
      <c r="AS19" s="15" t="str">
        <f t="shared" si="24"/>
        <v>11/01/2022abc</v>
      </c>
      <c r="AT19" s="10" t="str">
        <f t="shared" si="25"/>
        <v>11/01/2022</v>
      </c>
      <c r="AU19" s="27" t="str">
        <f>RIGHT(Table22[[#This Row],[Follow_up_Visit Cleaned 5]],4)</f>
        <v>2022</v>
      </c>
      <c r="AV19" s="27" t="str">
        <f t="shared" si="26"/>
        <v>2022</v>
      </c>
    </row>
    <row r="20" spans="1:48" ht="14.25" customHeight="1" x14ac:dyDescent="0.2">
      <c r="A20" t="s">
        <v>247</v>
      </c>
      <c r="B20" t="s">
        <v>248</v>
      </c>
      <c r="C20" s="10" t="str">
        <f t="shared" si="0"/>
        <v>Patient_18</v>
      </c>
      <c r="D20">
        <v>55</v>
      </c>
      <c r="E20" t="s">
        <v>146</v>
      </c>
      <c r="F20" t="s">
        <v>249</v>
      </c>
      <c r="G20" s="15" t="str">
        <f t="shared" si="27"/>
        <v>06/06/2023</v>
      </c>
      <c r="H20" s="15" t="str">
        <f t="shared" si="1"/>
        <v>06/06/2023</v>
      </c>
      <c r="I20" s="15" t="str">
        <f t="shared" si="2"/>
        <v>06/06/2023</v>
      </c>
      <c r="J20" s="10" t="str">
        <f>LEFT(Table22[[#This Row],[Date_of_Admission Cleaned 3]],10)</f>
        <v>06/06/2023</v>
      </c>
      <c r="K20" s="27" t="str">
        <f>RIGHT(Table22[[#This Row],[Date_of_Admission Cleaned 4]],4)</f>
        <v>2023</v>
      </c>
      <c r="L20" s="27" t="str">
        <f t="shared" si="3"/>
        <v>2023</v>
      </c>
      <c r="M20" t="s">
        <v>250</v>
      </c>
      <c r="N20" s="15" t="str">
        <f t="shared" si="4"/>
        <v>12/Mar/2023</v>
      </c>
      <c r="O20" s="15" t="str">
        <f t="shared" si="5"/>
        <v>12/03/2023</v>
      </c>
      <c r="P20" s="10" t="str">
        <f t="shared" si="28"/>
        <v>03/12/2023</v>
      </c>
      <c r="Q20" s="27" t="str">
        <f>RIGHT(Table22[[#This Row],[Date_of_Diagnosis Cleaned 3]],4)</f>
        <v>2023</v>
      </c>
      <c r="R20" s="27" t="str">
        <f t="shared" si="6"/>
        <v>2023</v>
      </c>
      <c r="S20" t="s">
        <v>251</v>
      </c>
      <c r="T20" s="21" t="str">
        <f t="shared" si="7"/>
        <v>06/Oct/2024</v>
      </c>
      <c r="U20" s="21" t="str">
        <f t="shared" si="29"/>
        <v>06/10/2024</v>
      </c>
      <c r="V20" s="21" t="str">
        <f t="shared" si="8"/>
        <v>06/10/2024</v>
      </c>
      <c r="W20" s="16" t="str">
        <f t="shared" si="9"/>
        <v>06/10/2024</v>
      </c>
      <c r="X20" s="28" t="str">
        <f>RIGHT(Table22[[#This Row],[Date_of_Treatment_Start Cleaned 4]],4)</f>
        <v>2024</v>
      </c>
      <c r="Y20" t="s">
        <v>245</v>
      </c>
      <c r="Z20" s="15" t="str">
        <f t="shared" si="10"/>
        <v>30/11/2017</v>
      </c>
      <c r="AA20" s="15" t="str">
        <f t="shared" si="11"/>
        <v>30/11/2017</v>
      </c>
      <c r="AB20" s="15" t="str">
        <f t="shared" si="12"/>
        <v>30/11/2017</v>
      </c>
      <c r="AC20" s="15" t="str">
        <f>LEFT(Table22[[#This Row],[Date_of_Surgery Cleaned 3]],10)</f>
        <v>30/11/2017</v>
      </c>
      <c r="AD20" s="15" t="str">
        <f t="shared" si="13"/>
        <v>30/11/2017</v>
      </c>
      <c r="AE20" s="10" t="str">
        <f t="shared" si="14"/>
        <v>30/11/2017</v>
      </c>
      <c r="AF20" s="27" t="str">
        <f>RIGHT(Table22[[#This Row],[Date_of_Surgery Cleaned 6]],4)</f>
        <v>2017</v>
      </c>
      <c r="AG20" s="27" t="str">
        <f t="shared" si="15"/>
        <v>2017</v>
      </c>
      <c r="AH20" s="12">
        <v>45020</v>
      </c>
      <c r="AI20" s="15">
        <f t="shared" si="16"/>
        <v>45020</v>
      </c>
      <c r="AJ20" s="15">
        <f t="shared" si="17"/>
        <v>45020</v>
      </c>
      <c r="AK20" s="15" t="str">
        <f t="shared" si="18"/>
        <v>04,04,2023</v>
      </c>
      <c r="AL20" s="10" t="str">
        <f t="shared" si="19"/>
        <v>04/04/2023</v>
      </c>
      <c r="AM20" s="27" t="str">
        <f>RIGHT(Table22[[#This Row],[Date_of_Discharge Cleaned 4]],4)</f>
        <v>2023</v>
      </c>
      <c r="AN20" s="27" t="str">
        <f t="shared" si="20"/>
        <v>2023</v>
      </c>
      <c r="AO20" s="12">
        <v>44927</v>
      </c>
      <c r="AP20" s="15">
        <f t="shared" si="21"/>
        <v>44927</v>
      </c>
      <c r="AQ20" s="15" t="str">
        <f t="shared" si="22"/>
        <v>44927</v>
      </c>
      <c r="AR20" s="15" t="str">
        <f t="shared" si="23"/>
        <v>01,01,2023</v>
      </c>
      <c r="AS20" s="15" t="str">
        <f t="shared" si="24"/>
        <v>01/01/2023</v>
      </c>
      <c r="AT20" s="10" t="str">
        <f t="shared" si="25"/>
        <v>01/01/2023</v>
      </c>
      <c r="AU20" s="27" t="str">
        <f>RIGHT(Table22[[#This Row],[Follow_up_Visit Cleaned 5]],4)</f>
        <v>2023</v>
      </c>
      <c r="AV20" s="27" t="str">
        <f t="shared" si="26"/>
        <v>2023</v>
      </c>
    </row>
    <row r="21" spans="1:48" ht="14.25" customHeight="1" x14ac:dyDescent="0.2">
      <c r="A21" t="s">
        <v>252</v>
      </c>
      <c r="B21" t="s">
        <v>253</v>
      </c>
      <c r="C21" s="10" t="str">
        <f t="shared" si="0"/>
        <v>Patient_19</v>
      </c>
      <c r="D21">
        <v>32</v>
      </c>
      <c r="E21" t="s">
        <v>160</v>
      </c>
      <c r="F21" t="s">
        <v>147</v>
      </c>
      <c r="G21" s="15" t="str">
        <f t="shared" si="27"/>
        <v>12/13/2023</v>
      </c>
      <c r="H21" s="15" t="str">
        <f t="shared" si="1"/>
        <v>12/13/2023</v>
      </c>
      <c r="I21" s="15" t="str">
        <f t="shared" si="2"/>
        <v>13/12/2023</v>
      </c>
      <c r="J21" s="10" t="str">
        <f>LEFT(Table22[[#This Row],[Date_of_Admission Cleaned 3]],10)</f>
        <v>13/12/2023</v>
      </c>
      <c r="K21" s="27" t="str">
        <f>RIGHT(Table22[[#This Row],[Date_of_Admission Cleaned 4]],4)</f>
        <v>2023</v>
      </c>
      <c r="L21" s="27" t="str">
        <f t="shared" si="3"/>
        <v>2023</v>
      </c>
      <c r="M21" t="s">
        <v>254</v>
      </c>
      <c r="N21" s="15" t="str">
        <f t="shared" si="4"/>
        <v>30/9/2017</v>
      </c>
      <c r="O21" s="15" t="str">
        <f t="shared" si="5"/>
        <v>30/09/2017</v>
      </c>
      <c r="P21" s="10" t="str">
        <f t="shared" si="28"/>
        <v>30/09/2017</v>
      </c>
      <c r="Q21" s="27" t="str">
        <f>RIGHT(Table22[[#This Row],[Date_of_Diagnosis Cleaned 3]],4)</f>
        <v>2017</v>
      </c>
      <c r="R21" s="27" t="str">
        <f t="shared" si="6"/>
        <v>2017</v>
      </c>
      <c r="S21" t="s">
        <v>255</v>
      </c>
      <c r="T21" s="21" t="str">
        <f t="shared" si="7"/>
        <v>07/21/2024</v>
      </c>
      <c r="U21" s="21" t="str">
        <f t="shared" si="29"/>
        <v>21/07/2024</v>
      </c>
      <c r="V21" s="21" t="str">
        <f t="shared" si="8"/>
        <v>21/07/2024</v>
      </c>
      <c r="W21" s="16" t="str">
        <f t="shared" si="9"/>
        <v>21/07/2024</v>
      </c>
      <c r="X21" s="28" t="str">
        <f>RIGHT(Table22[[#This Row],[Date_of_Treatment_Start Cleaned 4]],4)</f>
        <v>2024</v>
      </c>
      <c r="Y21" t="s">
        <v>245</v>
      </c>
      <c r="Z21" s="15" t="str">
        <f t="shared" si="10"/>
        <v>30/11/2017</v>
      </c>
      <c r="AA21" s="15" t="str">
        <f t="shared" si="11"/>
        <v>30/11/2017</v>
      </c>
      <c r="AB21" s="15" t="str">
        <f t="shared" si="12"/>
        <v>30/11/2017</v>
      </c>
      <c r="AC21" s="15" t="str">
        <f>LEFT(Table22[[#This Row],[Date_of_Surgery Cleaned 3]],10)</f>
        <v>30/11/2017</v>
      </c>
      <c r="AD21" s="15" t="str">
        <f t="shared" si="13"/>
        <v>30/11/2017</v>
      </c>
      <c r="AE21" s="10" t="str">
        <f t="shared" si="14"/>
        <v>30/11/2017</v>
      </c>
      <c r="AF21" s="27" t="str">
        <f>RIGHT(Table22[[#This Row],[Date_of_Surgery Cleaned 6]],4)</f>
        <v>2017</v>
      </c>
      <c r="AG21" s="27" t="str">
        <f t="shared" si="15"/>
        <v>2017</v>
      </c>
      <c r="AH21" t="s">
        <v>256</v>
      </c>
      <c r="AI21" s="15" t="str">
        <f t="shared" si="16"/>
        <v>Nov 09, 2024</v>
      </c>
      <c r="AJ21" s="15" t="str">
        <f t="shared" si="17"/>
        <v>Nov 09, 2024</v>
      </c>
      <c r="AK21" s="15" t="str">
        <f t="shared" si="18"/>
        <v>09,11,2024</v>
      </c>
      <c r="AL21" s="10" t="str">
        <f t="shared" si="19"/>
        <v>09/11/2024</v>
      </c>
      <c r="AM21" s="27" t="str">
        <f>RIGHT(Table22[[#This Row],[Date_of_Discharge Cleaned 4]],4)</f>
        <v>2024</v>
      </c>
      <c r="AN21" s="27" t="str">
        <f t="shared" si="20"/>
        <v>2024</v>
      </c>
      <c r="AO21" t="s">
        <v>187</v>
      </c>
      <c r="AP21" s="15" t="str">
        <f t="shared" si="21"/>
        <v>03/04/2023</v>
      </c>
      <c r="AQ21" s="15" t="str">
        <f t="shared" si="22"/>
        <v>03/04/2023</v>
      </c>
      <c r="AR21" s="15" t="str">
        <f t="shared" si="23"/>
        <v>04,03,2023</v>
      </c>
      <c r="AS21" s="15" t="str">
        <f t="shared" si="24"/>
        <v>04/03/2023</v>
      </c>
      <c r="AT21" s="10" t="str">
        <f t="shared" si="25"/>
        <v>04/03/2023</v>
      </c>
      <c r="AU21" s="27" t="str">
        <f>RIGHT(Table22[[#This Row],[Follow_up_Visit Cleaned 5]],4)</f>
        <v>2023</v>
      </c>
      <c r="AV21" s="27" t="str">
        <f t="shared" si="26"/>
        <v>2023</v>
      </c>
    </row>
    <row r="22" spans="1:48" ht="14.25" customHeight="1" x14ac:dyDescent="0.2">
      <c r="A22" t="s">
        <v>257</v>
      </c>
      <c r="B22" t="s">
        <v>853</v>
      </c>
      <c r="C22" s="10" t="str">
        <f t="shared" si="0"/>
        <v>Patient_20</v>
      </c>
      <c r="D22">
        <v>51</v>
      </c>
      <c r="E22" t="s">
        <v>146</v>
      </c>
      <c r="F22" t="s">
        <v>258</v>
      </c>
      <c r="G22" s="15" t="str">
        <f t="shared" si="27"/>
        <v>15/June/2023</v>
      </c>
      <c r="H22" s="15" t="str">
        <f t="shared" si="1"/>
        <v>15/June/2023</v>
      </c>
      <c r="I22" s="15" t="str">
        <f t="shared" si="2"/>
        <v>15/06/2023</v>
      </c>
      <c r="J22" s="10" t="str">
        <f>LEFT(Table22[[#This Row],[Date_of_Admission Cleaned 3]],10)</f>
        <v>15/06/2023</v>
      </c>
      <c r="K22" s="27" t="str">
        <f>RIGHT(Table22[[#This Row],[Date_of_Admission Cleaned 4]],4)</f>
        <v>2023</v>
      </c>
      <c r="L22" s="27" t="str">
        <f t="shared" si="3"/>
        <v>2023</v>
      </c>
      <c r="M22" t="s">
        <v>259</v>
      </c>
      <c r="N22" s="15" t="str">
        <f t="shared" si="4"/>
        <v>2024/01/14</v>
      </c>
      <c r="O22" s="15" t="str">
        <f t="shared" si="5"/>
        <v>2024/01/14</v>
      </c>
      <c r="P22" s="10" t="str">
        <f t="shared" si="28"/>
        <v>14/01/2024</v>
      </c>
      <c r="Q22" s="27" t="str">
        <f>RIGHT(Table22[[#This Row],[Date_of_Diagnosis Cleaned 3]],4)</f>
        <v>2024</v>
      </c>
      <c r="R22" s="27" t="str">
        <f t="shared" si="6"/>
        <v>2024</v>
      </c>
      <c r="S22" t="s">
        <v>260</v>
      </c>
      <c r="T22" s="21" t="str">
        <f t="shared" si="7"/>
        <v>08/31/2023</v>
      </c>
      <c r="U22" s="21" t="str">
        <f t="shared" si="29"/>
        <v>31/08/2023</v>
      </c>
      <c r="V22" s="21" t="str">
        <f t="shared" si="8"/>
        <v>31/08/2023</v>
      </c>
      <c r="W22" s="16" t="str">
        <f t="shared" si="9"/>
        <v>31/08/2023</v>
      </c>
      <c r="X22" s="28" t="str">
        <f>RIGHT(Table22[[#This Row],[Date_of_Treatment_Start Cleaned 4]],4)</f>
        <v>2023</v>
      </c>
      <c r="Y22" t="s">
        <v>245</v>
      </c>
      <c r="Z22" s="15" t="str">
        <f t="shared" si="10"/>
        <v>30/11/2017</v>
      </c>
      <c r="AA22" s="15" t="str">
        <f t="shared" si="11"/>
        <v>30/11/2017</v>
      </c>
      <c r="AB22" s="15" t="str">
        <f t="shared" si="12"/>
        <v>30/11/2017</v>
      </c>
      <c r="AC22" s="15" t="str">
        <f>LEFT(Table22[[#This Row],[Date_of_Surgery Cleaned 3]],10)</f>
        <v>30/11/2017</v>
      </c>
      <c r="AD22" s="15" t="str">
        <f t="shared" si="13"/>
        <v>30/11/2017</v>
      </c>
      <c r="AE22" s="10" t="str">
        <f t="shared" si="14"/>
        <v>30/11/2017</v>
      </c>
      <c r="AF22" s="27" t="str">
        <f>RIGHT(Table22[[#This Row],[Date_of_Surgery Cleaned 6]],4)</f>
        <v>2017</v>
      </c>
      <c r="AG22" s="27" t="str">
        <f t="shared" si="15"/>
        <v>2017</v>
      </c>
      <c r="AH22" t="s">
        <v>228</v>
      </c>
      <c r="AI22" s="15" t="str">
        <f t="shared" si="16"/>
        <v>Dec 23, 2023</v>
      </c>
      <c r="AJ22" s="15" t="str">
        <f t="shared" si="17"/>
        <v>Dec 23, 2023</v>
      </c>
      <c r="AK22" s="15" t="str">
        <f t="shared" si="18"/>
        <v>23,12,2023</v>
      </c>
      <c r="AL22" s="10" t="str">
        <f t="shared" si="19"/>
        <v>23/12/2023</v>
      </c>
      <c r="AM22" s="27" t="str">
        <f>RIGHT(Table22[[#This Row],[Date_of_Discharge Cleaned 4]],4)</f>
        <v>2023</v>
      </c>
      <c r="AN22" s="27" t="str">
        <f t="shared" si="20"/>
        <v>2023</v>
      </c>
      <c r="AO22" t="s">
        <v>187</v>
      </c>
      <c r="AP22" s="15" t="str">
        <f t="shared" si="21"/>
        <v>03/04/2023</v>
      </c>
      <c r="AQ22" s="15" t="str">
        <f t="shared" si="22"/>
        <v>03/04/2023</v>
      </c>
      <c r="AR22" s="15" t="str">
        <f t="shared" si="23"/>
        <v>04,03,2023</v>
      </c>
      <c r="AS22" s="15" t="str">
        <f t="shared" si="24"/>
        <v>04/03/2023</v>
      </c>
      <c r="AT22" s="10" t="str">
        <f t="shared" si="25"/>
        <v>04/03/2023</v>
      </c>
      <c r="AU22" s="27" t="str">
        <f>RIGHT(Table22[[#This Row],[Follow_up_Visit Cleaned 5]],4)</f>
        <v>2023</v>
      </c>
      <c r="AV22" s="27" t="str">
        <f t="shared" si="26"/>
        <v>2023</v>
      </c>
    </row>
    <row r="23" spans="1:48" ht="14.25" customHeight="1" x14ac:dyDescent="0.2">
      <c r="A23" t="s">
        <v>261</v>
      </c>
      <c r="B23" t="s">
        <v>262</v>
      </c>
      <c r="C23" s="10" t="str">
        <f t="shared" si="0"/>
        <v>Patient_21</v>
      </c>
      <c r="D23">
        <v>78</v>
      </c>
      <c r="E23" t="s">
        <v>146</v>
      </c>
      <c r="F23" t="s">
        <v>263</v>
      </c>
      <c r="G23" s="15" t="str">
        <f t="shared" si="27"/>
        <v>2024/06/27</v>
      </c>
      <c r="H23" s="15" t="str">
        <f t="shared" si="1"/>
        <v>2024/06/27</v>
      </c>
      <c r="I23" s="15" t="str">
        <f t="shared" si="2"/>
        <v>27/06/2024</v>
      </c>
      <c r="J23" s="10" t="str">
        <f>LEFT(Table22[[#This Row],[Date_of_Admission Cleaned 3]],10)</f>
        <v>27/06/2024</v>
      </c>
      <c r="K23" s="27" t="str">
        <f>RIGHT(Table22[[#This Row],[Date_of_Admission Cleaned 4]],4)</f>
        <v>2024</v>
      </c>
      <c r="L23" s="27" t="str">
        <f t="shared" si="3"/>
        <v>2024</v>
      </c>
      <c r="M23" s="12">
        <v>45088</v>
      </c>
      <c r="N23" s="15" t="str">
        <f t="shared" si="4"/>
        <v>45088</v>
      </c>
      <c r="O23" s="15" t="str">
        <f t="shared" si="5"/>
        <v>45088</v>
      </c>
      <c r="P23" s="10" t="str">
        <f t="shared" si="28"/>
        <v>11/06/2023</v>
      </c>
      <c r="Q23" s="27" t="str">
        <f>RIGHT(Table22[[#This Row],[Date_of_Diagnosis Cleaned 3]],4)</f>
        <v>2023</v>
      </c>
      <c r="R23" s="27" t="str">
        <f t="shared" si="6"/>
        <v>2023</v>
      </c>
      <c r="S23" t="s">
        <v>264</v>
      </c>
      <c r="T23" s="21" t="str">
        <f t="shared" si="7"/>
        <v>09/02/2023</v>
      </c>
      <c r="U23" s="21" t="str">
        <f t="shared" si="29"/>
        <v>02/09/2023</v>
      </c>
      <c r="V23" s="21" t="str">
        <f t="shared" si="8"/>
        <v>02/09/2023</v>
      </c>
      <c r="W23" s="16" t="str">
        <f t="shared" si="9"/>
        <v>02/09/2023</v>
      </c>
      <c r="X23" s="28" t="str">
        <f>RIGHT(Table22[[#This Row],[Date_of_Treatment_Start Cleaned 4]],4)</f>
        <v>2023</v>
      </c>
      <c r="Y23" s="12">
        <v>42860</v>
      </c>
      <c r="Z23" s="15" t="str">
        <f t="shared" si="10"/>
        <v>42860</v>
      </c>
      <c r="AA23" s="15" t="str">
        <f t="shared" si="11"/>
        <v>42860</v>
      </c>
      <c r="AB23" s="15" t="str">
        <f t="shared" si="12"/>
        <v>42860</v>
      </c>
      <c r="AC23" s="15" t="str">
        <f>LEFT(Table22[[#This Row],[Date_of_Surgery Cleaned 3]],10)</f>
        <v>42860</v>
      </c>
      <c r="AD23" s="15" t="str">
        <f t="shared" si="13"/>
        <v>05,05,2017</v>
      </c>
      <c r="AE23" s="10" t="str">
        <f t="shared" si="14"/>
        <v>05/05/2017</v>
      </c>
      <c r="AF23" s="27" t="str">
        <f>RIGHT(Table22[[#This Row],[Date_of_Surgery Cleaned 6]],4)</f>
        <v>2017</v>
      </c>
      <c r="AG23" s="27" t="str">
        <f t="shared" si="15"/>
        <v>2017</v>
      </c>
      <c r="AH23" t="s">
        <v>233</v>
      </c>
      <c r="AI23" s="15" t="str">
        <f t="shared" si="16"/>
        <v>08.12.2023</v>
      </c>
      <c r="AJ23" s="15" t="str">
        <f t="shared" si="17"/>
        <v>08.12.2023</v>
      </c>
      <c r="AK23" s="15" t="str">
        <f t="shared" si="18"/>
        <v>08.12.2023</v>
      </c>
      <c r="AL23" s="10" t="str">
        <f t="shared" si="19"/>
        <v>08/12/2023</v>
      </c>
      <c r="AM23" s="27" t="str">
        <f>RIGHT(Table22[[#This Row],[Date_of_Discharge Cleaned 4]],4)</f>
        <v>2023</v>
      </c>
      <c r="AN23" s="27" t="str">
        <f t="shared" si="20"/>
        <v>2023</v>
      </c>
      <c r="AO23" t="s">
        <v>265</v>
      </c>
      <c r="AP23" s="15" t="str">
        <f t="shared" si="21"/>
        <v>11/09/2023</v>
      </c>
      <c r="AQ23" s="15" t="str">
        <f t="shared" si="22"/>
        <v>11/09/2023</v>
      </c>
      <c r="AR23" s="15" t="str">
        <f t="shared" si="23"/>
        <v>09,11,2023</v>
      </c>
      <c r="AS23" s="15" t="str">
        <f t="shared" si="24"/>
        <v>09/11/2023</v>
      </c>
      <c r="AT23" s="10" t="str">
        <f t="shared" si="25"/>
        <v>09/11/2023</v>
      </c>
      <c r="AU23" s="27" t="str">
        <f>RIGHT(Table22[[#This Row],[Follow_up_Visit Cleaned 5]],4)</f>
        <v>2023</v>
      </c>
      <c r="AV23" s="27" t="str">
        <f t="shared" si="26"/>
        <v>2023</v>
      </c>
    </row>
    <row r="24" spans="1:48" ht="14.25" customHeight="1" x14ac:dyDescent="0.2">
      <c r="A24" t="s">
        <v>266</v>
      </c>
      <c r="B24" t="s">
        <v>267</v>
      </c>
      <c r="C24" s="10" t="str">
        <f t="shared" si="0"/>
        <v>Patient_22</v>
      </c>
      <c r="D24">
        <v>47</v>
      </c>
      <c r="E24" t="s">
        <v>160</v>
      </c>
      <c r="F24" t="s">
        <v>268</v>
      </c>
      <c r="G24" s="15" t="str">
        <f t="shared" si="27"/>
        <v>05/09/2024</v>
      </c>
      <c r="H24" s="15" t="str">
        <f t="shared" si="1"/>
        <v>05/09/2024</v>
      </c>
      <c r="I24" s="15" t="str">
        <f t="shared" si="2"/>
        <v>09/05/2024</v>
      </c>
      <c r="J24" s="10" t="str">
        <f>LEFT(Table22[[#This Row],[Date_of_Admission Cleaned 3]],10)</f>
        <v>09/05/2024</v>
      </c>
      <c r="K24" s="27" t="str">
        <f>RIGHT(Table22[[#This Row],[Date_of_Admission Cleaned 4]],4)</f>
        <v>2024</v>
      </c>
      <c r="L24" s="27" t="str">
        <f t="shared" si="3"/>
        <v>2024</v>
      </c>
      <c r="M24" t="s">
        <v>269</v>
      </c>
      <c r="N24" s="15" t="str">
        <f t="shared" si="4"/>
        <v>2024/07/10</v>
      </c>
      <c r="O24" s="15" t="str">
        <f t="shared" si="5"/>
        <v>2024/07/10</v>
      </c>
      <c r="P24" s="10" t="str">
        <f t="shared" si="28"/>
        <v>10/07/2024</v>
      </c>
      <c r="Q24" s="27" t="str">
        <f>RIGHT(Table22[[#This Row],[Date_of_Diagnosis Cleaned 3]],4)</f>
        <v>2024</v>
      </c>
      <c r="R24" s="27" t="str">
        <f t="shared" si="6"/>
        <v>2024</v>
      </c>
      <c r="S24" s="12">
        <v>45177</v>
      </c>
      <c r="T24" s="21" t="str">
        <f t="shared" si="7"/>
        <v>45177</v>
      </c>
      <c r="U24" s="21" t="str">
        <f t="shared" si="29"/>
        <v>08/09/2023</v>
      </c>
      <c r="V24" s="21" t="str">
        <f t="shared" si="8"/>
        <v>08/09/2023</v>
      </c>
      <c r="W24" s="16" t="str">
        <f t="shared" si="9"/>
        <v>08/09/2023</v>
      </c>
      <c r="X24" s="28" t="str">
        <f>RIGHT(Table22[[#This Row],[Date_of_Treatment_Start Cleaned 4]],4)</f>
        <v>2023</v>
      </c>
      <c r="Y24" t="s">
        <v>270</v>
      </c>
      <c r="Z24" s="15" t="str">
        <f t="shared" si="10"/>
        <v>10/12/2016</v>
      </c>
      <c r="AA24" s="15" t="str">
        <f t="shared" si="11"/>
        <v>10/12/2016</v>
      </c>
      <c r="AB24" s="15" t="str">
        <f t="shared" si="12"/>
        <v>10/12/2016</v>
      </c>
      <c r="AC24" s="15" t="str">
        <f>LEFT(Table22[[#This Row],[Date_of_Surgery Cleaned 3]],10)</f>
        <v>10/12/2016</v>
      </c>
      <c r="AD24" s="15" t="str">
        <f t="shared" si="13"/>
        <v>12,10,2016</v>
      </c>
      <c r="AE24" s="10" t="str">
        <f t="shared" si="14"/>
        <v>12/10/2016</v>
      </c>
      <c r="AF24" s="27" t="str">
        <f>RIGHT(Table22[[#This Row],[Date_of_Surgery Cleaned 6]],4)</f>
        <v>2016</v>
      </c>
      <c r="AG24" s="27" t="str">
        <f t="shared" si="15"/>
        <v>2016</v>
      </c>
      <c r="AH24" t="s">
        <v>271</v>
      </c>
      <c r="AI24" s="15" t="str">
        <f t="shared" si="16"/>
        <v>17-11-2024</v>
      </c>
      <c r="AJ24" s="15" t="str">
        <f t="shared" si="17"/>
        <v>17-11-2024</v>
      </c>
      <c r="AK24" s="15" t="str">
        <f t="shared" si="18"/>
        <v>17-11-2024</v>
      </c>
      <c r="AL24" s="10" t="str">
        <f t="shared" si="19"/>
        <v>17/11/2024</v>
      </c>
      <c r="AM24" s="27" t="str">
        <f>RIGHT(Table22[[#This Row],[Date_of_Discharge Cleaned 4]],4)</f>
        <v>2024</v>
      </c>
      <c r="AN24" s="27" t="str">
        <f t="shared" si="20"/>
        <v>2024</v>
      </c>
      <c r="AO24" t="s">
        <v>272</v>
      </c>
      <c r="AP24" s="15" t="str">
        <f t="shared" si="21"/>
        <v>Unknown</v>
      </c>
      <c r="AQ24" s="15" t="str">
        <f t="shared" si="22"/>
        <v>Unknown</v>
      </c>
      <c r="AR24" s="15" t="str">
        <f t="shared" si="23"/>
        <v>Unknown</v>
      </c>
      <c r="AS24" s="15" t="str">
        <f t="shared" si="24"/>
        <v>Unknown</v>
      </c>
      <c r="AT24" s="10" t="str">
        <f t="shared" si="25"/>
        <v>Unknown</v>
      </c>
      <c r="AU24" s="27" t="str">
        <f>RIGHT(Table22[[#This Row],[Follow_up_Visit Cleaned 5]],4)</f>
        <v>nown</v>
      </c>
      <c r="AV24" s="27" t="str">
        <f t="shared" si="26"/>
        <v>Unknown</v>
      </c>
    </row>
    <row r="25" spans="1:48" ht="14.25" customHeight="1" x14ac:dyDescent="0.2">
      <c r="A25" t="s">
        <v>273</v>
      </c>
      <c r="B25" t="s">
        <v>274</v>
      </c>
      <c r="C25" s="10" t="str">
        <f t="shared" si="0"/>
        <v>Patient_23</v>
      </c>
      <c r="D25">
        <v>85</v>
      </c>
      <c r="E25" t="s">
        <v>160</v>
      </c>
      <c r="F25" t="s">
        <v>275</v>
      </c>
      <c r="G25" s="15" t="str">
        <f t="shared" si="27"/>
        <v>2024/05/15</v>
      </c>
      <c r="H25" s="15" t="str">
        <f t="shared" si="1"/>
        <v>2024/05/15</v>
      </c>
      <c r="I25" s="15" t="str">
        <f t="shared" si="2"/>
        <v>15/05/2024</v>
      </c>
      <c r="J25" s="10" t="str">
        <f>LEFT(Table22[[#This Row],[Date_of_Admission Cleaned 3]],10)</f>
        <v>15/05/2024</v>
      </c>
      <c r="K25" s="27" t="str">
        <f>RIGHT(Table22[[#This Row],[Date_of_Admission Cleaned 4]],4)</f>
        <v>2024</v>
      </c>
      <c r="L25" s="27" t="str">
        <f t="shared" si="3"/>
        <v>2024</v>
      </c>
      <c r="M25" t="s">
        <v>276</v>
      </c>
      <c r="N25" s="15" t="str">
        <f t="shared" si="4"/>
        <v>18/September/2024</v>
      </c>
      <c r="O25" s="15" t="str">
        <f t="shared" si="5"/>
        <v>18/09/2024</v>
      </c>
      <c r="P25" s="10" t="str">
        <f t="shared" si="28"/>
        <v>18/09/2024</v>
      </c>
      <c r="Q25" s="27" t="str">
        <f>RIGHT(Table22[[#This Row],[Date_of_Diagnosis Cleaned 3]],4)</f>
        <v>2024</v>
      </c>
      <c r="R25" s="27" t="str">
        <f t="shared" si="6"/>
        <v>2024</v>
      </c>
      <c r="S25" t="s">
        <v>277</v>
      </c>
      <c r="T25" s="21" t="str">
        <f t="shared" si="7"/>
        <v>10/11/2024</v>
      </c>
      <c r="U25" s="21" t="str">
        <f t="shared" si="29"/>
        <v>11/10/2024</v>
      </c>
      <c r="V25" s="21" t="str">
        <f t="shared" si="8"/>
        <v>11/10/2024</v>
      </c>
      <c r="W25" s="16" t="str">
        <f t="shared" si="9"/>
        <v>11/10/2024</v>
      </c>
      <c r="X25" s="28" t="str">
        <f>RIGHT(Table22[[#This Row],[Date_of_Treatment_Start Cleaned 4]],4)</f>
        <v>2024</v>
      </c>
      <c r="Y25" t="s">
        <v>270</v>
      </c>
      <c r="Z25" s="15" t="str">
        <f t="shared" si="10"/>
        <v>10/12/2016</v>
      </c>
      <c r="AA25" s="15" t="str">
        <f t="shared" si="11"/>
        <v>10/12/2016</v>
      </c>
      <c r="AB25" s="15" t="str">
        <f t="shared" si="12"/>
        <v>10/12/2016</v>
      </c>
      <c r="AC25" s="15" t="str">
        <f>LEFT(Table22[[#This Row],[Date_of_Surgery Cleaned 3]],10)</f>
        <v>10/12/2016</v>
      </c>
      <c r="AD25" s="15" t="str">
        <f t="shared" si="13"/>
        <v>12,10,2016</v>
      </c>
      <c r="AE25" s="10" t="str">
        <f t="shared" si="14"/>
        <v>12/10/2016</v>
      </c>
      <c r="AF25" s="27" t="str">
        <f>RIGHT(Table22[[#This Row],[Date_of_Surgery Cleaned 6]],4)</f>
        <v>2016</v>
      </c>
      <c r="AG25" s="27" t="str">
        <f t="shared" si="15"/>
        <v>2016</v>
      </c>
      <c r="AH25" t="s">
        <v>278</v>
      </c>
      <c r="AI25" s="15" t="str">
        <f t="shared" si="16"/>
        <v>14.06.2023</v>
      </c>
      <c r="AJ25" s="15" t="str">
        <f t="shared" si="17"/>
        <v>14.06.2023</v>
      </c>
      <c r="AK25" s="15" t="str">
        <f t="shared" si="18"/>
        <v>14.06.2023</v>
      </c>
      <c r="AL25" s="10" t="str">
        <f t="shared" si="19"/>
        <v>14/06/2023</v>
      </c>
      <c r="AM25" s="27" t="str">
        <f>RIGHT(Table22[[#This Row],[Date_of_Discharge Cleaned 4]],4)</f>
        <v>2023</v>
      </c>
      <c r="AN25" s="27" t="str">
        <f t="shared" si="20"/>
        <v>2023</v>
      </c>
      <c r="AO25" t="s">
        <v>272</v>
      </c>
      <c r="AP25" s="15" t="str">
        <f t="shared" si="21"/>
        <v>Unknown</v>
      </c>
      <c r="AQ25" s="15" t="str">
        <f t="shared" si="22"/>
        <v>Unknown</v>
      </c>
      <c r="AR25" s="15" t="str">
        <f t="shared" si="23"/>
        <v>Unknown</v>
      </c>
      <c r="AS25" s="15" t="str">
        <f t="shared" si="24"/>
        <v>Unknown</v>
      </c>
      <c r="AT25" s="10" t="str">
        <f t="shared" si="25"/>
        <v>Unknown</v>
      </c>
      <c r="AU25" s="27" t="str">
        <f>RIGHT(Table22[[#This Row],[Follow_up_Visit Cleaned 5]],4)</f>
        <v>nown</v>
      </c>
      <c r="AV25" s="27" t="str">
        <f t="shared" si="26"/>
        <v>Unknown</v>
      </c>
    </row>
    <row r="26" spans="1:48" x14ac:dyDescent="0.2">
      <c r="A26" t="s">
        <v>279</v>
      </c>
      <c r="B26" t="s">
        <v>280</v>
      </c>
      <c r="C26" s="10" t="str">
        <f t="shared" si="0"/>
        <v>Patient_24</v>
      </c>
      <c r="D26">
        <v>83</v>
      </c>
      <c r="E26" t="s">
        <v>146</v>
      </c>
      <c r="F26" s="19">
        <v>45566</v>
      </c>
      <c r="G26" s="15" t="str">
        <f t="shared" si="27"/>
        <v>45566</v>
      </c>
      <c r="H26" s="15" t="str">
        <f t="shared" si="1"/>
        <v>45566</v>
      </c>
      <c r="I26" s="15" t="str">
        <f t="shared" si="2"/>
        <v>01/10/2024</v>
      </c>
      <c r="J26" s="10" t="str">
        <f>LEFT(Table22[[#This Row],[Date_of_Admission Cleaned 3]],10)</f>
        <v>01/10/2024</v>
      </c>
      <c r="K26" s="27" t="str">
        <f>RIGHT(Table22[[#This Row],[Date_of_Admission Cleaned 4]],4)</f>
        <v>2024</v>
      </c>
      <c r="L26" s="27" t="str">
        <f t="shared" si="3"/>
        <v>2024</v>
      </c>
      <c r="M26" t="s">
        <v>281</v>
      </c>
      <c r="N26" s="15" t="str">
        <f t="shared" si="4"/>
        <v>Thursday//November/8//2018</v>
      </c>
      <c r="O26" s="15" t="str">
        <f t="shared" si="5"/>
        <v>11/8/2018</v>
      </c>
      <c r="P26" s="10" t="str">
        <f t="shared" si="28"/>
        <v>08/11/2018</v>
      </c>
      <c r="Q26" s="27" t="str">
        <f>RIGHT(Table22[[#This Row],[Date_of_Diagnosis Cleaned 3]],4)</f>
        <v>2018</v>
      </c>
      <c r="R26" s="27" t="str">
        <f t="shared" si="6"/>
        <v>2018</v>
      </c>
      <c r="S26" t="s">
        <v>282</v>
      </c>
      <c r="T26" s="21" t="str">
        <f t="shared" si="7"/>
        <v>10/02/2023</v>
      </c>
      <c r="U26" s="21" t="str">
        <f t="shared" si="29"/>
        <v>02/10/2023</v>
      </c>
      <c r="V26" s="21" t="str">
        <f t="shared" si="8"/>
        <v>02/10/2023</v>
      </c>
      <c r="W26" s="16" t="str">
        <f t="shared" si="9"/>
        <v>02/10/2023</v>
      </c>
      <c r="X26" s="28" t="str">
        <f>RIGHT(Table22[[#This Row],[Date_of_Treatment_Start Cleaned 4]],4)</f>
        <v>2023</v>
      </c>
      <c r="Y26" s="12">
        <v>43257</v>
      </c>
      <c r="Z26" s="15" t="str">
        <f t="shared" si="10"/>
        <v>43257</v>
      </c>
      <c r="AA26" s="15" t="str">
        <f t="shared" si="11"/>
        <v>43257</v>
      </c>
      <c r="AB26" s="15" t="str">
        <f t="shared" si="12"/>
        <v>43257</v>
      </c>
      <c r="AC26" s="15" t="str">
        <f>LEFT(Table22[[#This Row],[Date_of_Surgery Cleaned 3]],10)</f>
        <v>43257</v>
      </c>
      <c r="AD26" s="15" t="str">
        <f t="shared" si="13"/>
        <v>06,06,2018</v>
      </c>
      <c r="AE26" s="10" t="str">
        <f t="shared" si="14"/>
        <v>06/06/2018</v>
      </c>
      <c r="AF26" s="27" t="str">
        <f>RIGHT(Table22[[#This Row],[Date_of_Surgery Cleaned 6]],4)</f>
        <v>2018</v>
      </c>
      <c r="AG26" s="27" t="str">
        <f t="shared" si="15"/>
        <v>2018</v>
      </c>
      <c r="AH26" t="s">
        <v>283</v>
      </c>
      <c r="AI26" s="15" t="str">
        <f t="shared" si="16"/>
        <v>07/02/2024</v>
      </c>
      <c r="AJ26" s="15" t="str">
        <f t="shared" si="17"/>
        <v>07/02/2024</v>
      </c>
      <c r="AK26" s="15" t="str">
        <f t="shared" si="18"/>
        <v>02,07,2024</v>
      </c>
      <c r="AL26" s="10" t="str">
        <f t="shared" si="19"/>
        <v>02/07/2024</v>
      </c>
      <c r="AM26" s="27" t="str">
        <f>RIGHT(Table22[[#This Row],[Date_of_Discharge Cleaned 4]],4)</f>
        <v>2024</v>
      </c>
      <c r="AN26" s="27" t="str">
        <f t="shared" si="20"/>
        <v>2024</v>
      </c>
      <c r="AO26" t="s">
        <v>284</v>
      </c>
      <c r="AP26" s="15" t="str">
        <f t="shared" si="21"/>
        <v>04/09/2023</v>
      </c>
      <c r="AQ26" s="15" t="str">
        <f t="shared" si="22"/>
        <v>04/09/2023</v>
      </c>
      <c r="AR26" s="15" t="str">
        <f t="shared" si="23"/>
        <v>09,04,2023</v>
      </c>
      <c r="AS26" s="15" t="str">
        <f t="shared" si="24"/>
        <v>09/04/2023</v>
      </c>
      <c r="AT26" s="10" t="str">
        <f t="shared" si="25"/>
        <v>09/04/2023</v>
      </c>
      <c r="AU26" s="27" t="str">
        <f>RIGHT(Table22[[#This Row],[Follow_up_Visit Cleaned 5]],4)</f>
        <v>2023</v>
      </c>
      <c r="AV26" s="27" t="str">
        <f t="shared" si="26"/>
        <v>2023</v>
      </c>
    </row>
    <row r="27" spans="1:48" ht="14.25" customHeight="1" x14ac:dyDescent="0.2">
      <c r="A27" t="s">
        <v>285</v>
      </c>
      <c r="B27" t="s">
        <v>286</v>
      </c>
      <c r="C27" s="10" t="str">
        <f t="shared" si="0"/>
        <v>Patient_25</v>
      </c>
      <c r="D27">
        <v>61</v>
      </c>
      <c r="E27" t="s">
        <v>146</v>
      </c>
      <c r="F27" t="s">
        <v>287</v>
      </c>
      <c r="G27" s="15" t="str">
        <f t="shared" si="27"/>
        <v>25/04/2023</v>
      </c>
      <c r="H27" s="15" t="str">
        <f t="shared" si="1"/>
        <v>25/04/2023</v>
      </c>
      <c r="I27" s="15" t="str">
        <f t="shared" si="2"/>
        <v>25/04/2023</v>
      </c>
      <c r="J27" s="10" t="str">
        <f>LEFT(Table22[[#This Row],[Date_of_Admission Cleaned 3]],10)</f>
        <v>25/04/2023</v>
      </c>
      <c r="K27" s="27" t="str">
        <f>RIGHT(Table22[[#This Row],[Date_of_Admission Cleaned 4]],4)</f>
        <v>2023</v>
      </c>
      <c r="L27" s="27" t="str">
        <f t="shared" si="3"/>
        <v>2023</v>
      </c>
      <c r="M27" t="s">
        <v>288</v>
      </c>
      <c r="N27" s="15" t="str">
        <f t="shared" si="4"/>
        <v>09/January/2023</v>
      </c>
      <c r="O27" s="15" t="str">
        <f t="shared" si="5"/>
        <v>09/01/2023</v>
      </c>
      <c r="P27" s="10" t="str">
        <f t="shared" si="28"/>
        <v>01/09/2023</v>
      </c>
      <c r="Q27" s="27" t="str">
        <f>RIGHT(Table22[[#This Row],[Date_of_Diagnosis Cleaned 3]],4)</f>
        <v>2023</v>
      </c>
      <c r="R27" s="27" t="str">
        <f t="shared" si="6"/>
        <v>2023</v>
      </c>
      <c r="S27" t="s">
        <v>289</v>
      </c>
      <c r="T27" s="21" t="str">
        <f t="shared" si="7"/>
        <v>10/10/2024</v>
      </c>
      <c r="U27" s="21" t="str">
        <f t="shared" si="29"/>
        <v>10/10/2024</v>
      </c>
      <c r="V27" s="21" t="str">
        <f t="shared" si="8"/>
        <v>10/10/2024</v>
      </c>
      <c r="W27" s="16" t="str">
        <f t="shared" si="9"/>
        <v>10/10/2024</v>
      </c>
      <c r="X27" s="28" t="str">
        <f>RIGHT(Table22[[#This Row],[Date_of_Treatment_Start Cleaned 4]],4)</f>
        <v>2024</v>
      </c>
      <c r="Y27" t="s">
        <v>290</v>
      </c>
      <c r="Z27" s="15" t="str">
        <f t="shared" si="10"/>
        <v>23/9/2018</v>
      </c>
      <c r="AA27" s="15" t="str">
        <f t="shared" si="11"/>
        <v>23/9/2018</v>
      </c>
      <c r="AB27" s="15" t="str">
        <f t="shared" si="12"/>
        <v>23/09/2018</v>
      </c>
      <c r="AC27" s="15" t="str">
        <f>LEFT(Table22[[#This Row],[Date_of_Surgery Cleaned 3]],10)</f>
        <v>23/09/2018</v>
      </c>
      <c r="AD27" s="15" t="str">
        <f t="shared" si="13"/>
        <v>23/09/2018</v>
      </c>
      <c r="AE27" s="10" t="str">
        <f t="shared" si="14"/>
        <v>23/09/2018</v>
      </c>
      <c r="AF27" s="27" t="str">
        <f>RIGHT(Table22[[#This Row],[Date_of_Surgery Cleaned 6]],4)</f>
        <v>2018</v>
      </c>
      <c r="AG27" s="27" t="str">
        <f t="shared" si="15"/>
        <v>2018</v>
      </c>
      <c r="AH27" s="12">
        <v>45348</v>
      </c>
      <c r="AI27" s="15">
        <f t="shared" si="16"/>
        <v>45348</v>
      </c>
      <c r="AJ27" s="15">
        <f t="shared" si="17"/>
        <v>45348</v>
      </c>
      <c r="AK27" s="15" t="str">
        <f t="shared" si="18"/>
        <v>26,02,2024</v>
      </c>
      <c r="AL27" s="10" t="str">
        <f t="shared" si="19"/>
        <v>26/02/2024</v>
      </c>
      <c r="AM27" s="27" t="str">
        <f>RIGHT(Table22[[#This Row],[Date_of_Discharge Cleaned 4]],4)</f>
        <v>2024</v>
      </c>
      <c r="AN27" s="27" t="str">
        <f t="shared" si="20"/>
        <v>2024</v>
      </c>
      <c r="AO27" s="6" t="s">
        <v>951</v>
      </c>
      <c r="AP27" s="15" t="str">
        <f t="shared" si="21"/>
        <v>11-01-2022abc</v>
      </c>
      <c r="AQ27" s="15" t="str">
        <f t="shared" si="22"/>
        <v>11-01-2022abc</v>
      </c>
      <c r="AR27" s="15" t="str">
        <f t="shared" si="23"/>
        <v>11-01-2022abc</v>
      </c>
      <c r="AS27" s="15" t="str">
        <f t="shared" si="24"/>
        <v>11/01/2022abc</v>
      </c>
      <c r="AT27" s="10" t="str">
        <f t="shared" si="25"/>
        <v>11/01/2022</v>
      </c>
      <c r="AU27" s="27" t="str">
        <f>RIGHT(Table22[[#This Row],[Follow_up_Visit Cleaned 5]],4)</f>
        <v>2022</v>
      </c>
      <c r="AV27" s="27" t="str">
        <f t="shared" si="26"/>
        <v>2022</v>
      </c>
    </row>
    <row r="28" spans="1:48" ht="14.25" customHeight="1" x14ac:dyDescent="0.2">
      <c r="A28" t="s">
        <v>291</v>
      </c>
      <c r="B28" t="s">
        <v>292</v>
      </c>
      <c r="C28" s="10" t="str">
        <f t="shared" si="0"/>
        <v>Patient_26</v>
      </c>
      <c r="D28">
        <v>64</v>
      </c>
      <c r="E28" t="s">
        <v>146</v>
      </c>
      <c r="F28" t="s">
        <v>293</v>
      </c>
      <c r="G28" s="15" t="str">
        <f t="shared" si="27"/>
        <v>11/Nov/2023</v>
      </c>
      <c r="H28" s="15" t="str">
        <f t="shared" si="1"/>
        <v>11/Nov/2023</v>
      </c>
      <c r="I28" s="15" t="str">
        <f t="shared" si="2"/>
        <v>11/11/2023</v>
      </c>
      <c r="J28" s="10" t="str">
        <f>LEFT(Table22[[#This Row],[Date_of_Admission Cleaned 3]],10)</f>
        <v>11/11/2023</v>
      </c>
      <c r="K28" s="27" t="str">
        <f>RIGHT(Table22[[#This Row],[Date_of_Admission Cleaned 4]],4)</f>
        <v>2023</v>
      </c>
      <c r="L28" s="27" t="str">
        <f t="shared" si="3"/>
        <v>2023</v>
      </c>
      <c r="M28" t="s">
        <v>198</v>
      </c>
      <c r="N28" s="15" t="str">
        <f t="shared" si="4"/>
        <v>Unknown</v>
      </c>
      <c r="O28" s="15" t="str">
        <f t="shared" si="5"/>
        <v>Unknown</v>
      </c>
      <c r="P28" s="10" t="str">
        <f t="shared" si="28"/>
        <v>Unknown</v>
      </c>
      <c r="Q28" s="27" t="str">
        <f>RIGHT(Table22[[#This Row],[Date_of_Diagnosis Cleaned 3]],4)</f>
        <v>nown</v>
      </c>
      <c r="R28" s="27" t="str">
        <f t="shared" si="6"/>
        <v>Unknown</v>
      </c>
      <c r="S28" t="s">
        <v>294</v>
      </c>
      <c r="T28" s="21" t="str">
        <f t="shared" si="7"/>
        <v>10/01/2023</v>
      </c>
      <c r="U28" s="21" t="str">
        <f t="shared" si="29"/>
        <v>01/10/2023</v>
      </c>
      <c r="V28" s="21" t="str">
        <f t="shared" si="8"/>
        <v>01/10/2023</v>
      </c>
      <c r="W28" s="16" t="str">
        <f t="shared" si="9"/>
        <v>01/10/2023</v>
      </c>
      <c r="X28" s="28" t="str">
        <f>RIGHT(Table22[[#This Row],[Date_of_Treatment_Start Cleaned 4]],4)</f>
        <v>2023</v>
      </c>
      <c r="Y28" t="s">
        <v>295</v>
      </c>
      <c r="Z28" s="15" t="str">
        <f t="shared" si="10"/>
        <v>17/9/2019</v>
      </c>
      <c r="AA28" s="15" t="str">
        <f t="shared" si="11"/>
        <v>17/9/2019</v>
      </c>
      <c r="AB28" s="15" t="str">
        <f t="shared" si="12"/>
        <v>17/09/2019</v>
      </c>
      <c r="AC28" s="15" t="str">
        <f>LEFT(Table22[[#This Row],[Date_of_Surgery Cleaned 3]],10)</f>
        <v>17/09/2019</v>
      </c>
      <c r="AD28" s="15" t="str">
        <f t="shared" si="13"/>
        <v>17/09/2019</v>
      </c>
      <c r="AE28" s="10" t="str">
        <f t="shared" si="14"/>
        <v>17/09/2019</v>
      </c>
      <c r="AF28" s="27" t="str">
        <f>RIGHT(Table22[[#This Row],[Date_of_Surgery Cleaned 6]],4)</f>
        <v>2019</v>
      </c>
      <c r="AG28" s="27" t="str">
        <f t="shared" si="15"/>
        <v>2019</v>
      </c>
      <c r="AH28" t="s">
        <v>198</v>
      </c>
      <c r="AI28" s="15" t="str">
        <f t="shared" si="16"/>
        <v>N/A</v>
      </c>
      <c r="AJ28" s="15" t="str">
        <f t="shared" si="17"/>
        <v>Unknown</v>
      </c>
      <c r="AK28" s="15" t="str">
        <f t="shared" si="18"/>
        <v>Unknown</v>
      </c>
      <c r="AL28" s="10" t="str">
        <f t="shared" si="19"/>
        <v>Unknown</v>
      </c>
      <c r="AM28" s="27" t="str">
        <f>RIGHT(Table22[[#This Row],[Date_of_Discharge Cleaned 4]],4)</f>
        <v>nown</v>
      </c>
      <c r="AN28" s="27" t="str">
        <f t="shared" si="20"/>
        <v>Unknown</v>
      </c>
      <c r="AO28">
        <v>46184</v>
      </c>
      <c r="AP28" s="15">
        <f t="shared" si="21"/>
        <v>46184</v>
      </c>
      <c r="AQ28" s="15" t="str">
        <f t="shared" si="22"/>
        <v>46184</v>
      </c>
      <c r="AR28" s="15" t="str">
        <f t="shared" si="23"/>
        <v>11,06,2026</v>
      </c>
      <c r="AS28" s="15" t="str">
        <f t="shared" si="24"/>
        <v>11/06/2026</v>
      </c>
      <c r="AT28" s="10" t="str">
        <f t="shared" si="25"/>
        <v>11/06/2026</v>
      </c>
      <c r="AU28" s="27" t="str">
        <f>RIGHT(Table22[[#This Row],[Follow_up_Visit Cleaned 5]],4)</f>
        <v>2026</v>
      </c>
      <c r="AV28" s="27" t="str">
        <f t="shared" si="26"/>
        <v>2026</v>
      </c>
    </row>
    <row r="29" spans="1:48" ht="14.25" customHeight="1" x14ac:dyDescent="0.2">
      <c r="A29" t="s">
        <v>296</v>
      </c>
      <c r="B29" t="s">
        <v>297</v>
      </c>
      <c r="C29" s="10" t="str">
        <f t="shared" si="0"/>
        <v>Patient_27</v>
      </c>
      <c r="D29">
        <v>81</v>
      </c>
      <c r="E29" t="s">
        <v>160</v>
      </c>
      <c r="F29" t="s">
        <v>147</v>
      </c>
      <c r="G29" s="15" t="str">
        <f t="shared" si="27"/>
        <v>12/13/2023</v>
      </c>
      <c r="H29" s="15" t="str">
        <f t="shared" si="1"/>
        <v>12/13/2023</v>
      </c>
      <c r="I29" s="15" t="str">
        <f t="shared" si="2"/>
        <v>13/12/2023</v>
      </c>
      <c r="J29" s="10" t="str">
        <f>LEFT(Table22[[#This Row],[Date_of_Admission Cleaned 3]],10)</f>
        <v>13/12/2023</v>
      </c>
      <c r="K29" s="27" t="str">
        <f>RIGHT(Table22[[#This Row],[Date_of_Admission Cleaned 4]],4)</f>
        <v>2023</v>
      </c>
      <c r="L29" s="27" t="str">
        <f t="shared" si="3"/>
        <v>2023</v>
      </c>
      <c r="M29" t="s">
        <v>277</v>
      </c>
      <c r="N29" s="15" t="str">
        <f t="shared" si="4"/>
        <v>10/11/2024</v>
      </c>
      <c r="O29" s="15" t="str">
        <f t="shared" si="5"/>
        <v>10/11/2024</v>
      </c>
      <c r="P29" s="10" t="str">
        <f t="shared" si="28"/>
        <v>11/10/2024</v>
      </c>
      <c r="Q29" s="27" t="str">
        <f>RIGHT(Table22[[#This Row],[Date_of_Diagnosis Cleaned 3]],4)</f>
        <v>2024</v>
      </c>
      <c r="R29" s="27" t="str">
        <f t="shared" si="6"/>
        <v>2024</v>
      </c>
      <c r="S29" t="s">
        <v>298</v>
      </c>
      <c r="T29" s="21" t="str">
        <f t="shared" si="7"/>
        <v>11/24/2024</v>
      </c>
      <c r="U29" s="21" t="str">
        <f t="shared" si="29"/>
        <v>24/11/2024</v>
      </c>
      <c r="V29" s="21" t="str">
        <f t="shared" si="8"/>
        <v>24/11/2024</v>
      </c>
      <c r="W29" s="16" t="str">
        <f t="shared" si="9"/>
        <v>24/11/2024</v>
      </c>
      <c r="X29" s="28" t="str">
        <f>RIGHT(Table22[[#This Row],[Date_of_Treatment_Start Cleaned 4]],4)</f>
        <v>2024</v>
      </c>
      <c r="Y29" s="12">
        <v>42771</v>
      </c>
      <c r="Z29" s="15" t="str">
        <f t="shared" si="10"/>
        <v>42771</v>
      </c>
      <c r="AA29" s="15" t="str">
        <f t="shared" si="11"/>
        <v>42771</v>
      </c>
      <c r="AB29" s="15" t="str">
        <f t="shared" si="12"/>
        <v>42771</v>
      </c>
      <c r="AC29" s="15" t="str">
        <f>LEFT(Table22[[#This Row],[Date_of_Surgery Cleaned 3]],10)</f>
        <v>42771</v>
      </c>
      <c r="AD29" s="15" t="str">
        <f t="shared" si="13"/>
        <v>05,02,2017</v>
      </c>
      <c r="AE29" s="10" t="str">
        <f t="shared" si="14"/>
        <v>05/02/2017</v>
      </c>
      <c r="AF29" s="27" t="str">
        <f>RIGHT(Table22[[#This Row],[Date_of_Surgery Cleaned 6]],4)</f>
        <v>2017</v>
      </c>
      <c r="AG29" s="27" t="str">
        <f t="shared" si="15"/>
        <v>2017</v>
      </c>
      <c r="AH29" t="s">
        <v>299</v>
      </c>
      <c r="AI29" s="15" t="str">
        <f t="shared" si="16"/>
        <v>5-Nov-24</v>
      </c>
      <c r="AJ29" s="15" t="str">
        <f t="shared" si="17"/>
        <v>5-Nov-24</v>
      </c>
      <c r="AK29" s="15" t="str">
        <f t="shared" si="18"/>
        <v>05,11,2024</v>
      </c>
      <c r="AL29" s="10" t="str">
        <f t="shared" si="19"/>
        <v>05/11/2024</v>
      </c>
      <c r="AM29" s="27" t="str">
        <f>RIGHT(Table22[[#This Row],[Date_of_Discharge Cleaned 4]],4)</f>
        <v>2024</v>
      </c>
      <c r="AN29" s="27" t="str">
        <f t="shared" si="20"/>
        <v>2024</v>
      </c>
      <c r="AO29">
        <v>44736</v>
      </c>
      <c r="AP29" s="15">
        <f t="shared" si="21"/>
        <v>44736</v>
      </c>
      <c r="AQ29" s="15" t="str">
        <f t="shared" si="22"/>
        <v>44736</v>
      </c>
      <c r="AR29" s="15" t="str">
        <f t="shared" si="23"/>
        <v>24,06,2022</v>
      </c>
      <c r="AS29" s="15" t="str">
        <f t="shared" si="24"/>
        <v>24/06/2022</v>
      </c>
      <c r="AT29" s="10" t="str">
        <f t="shared" si="25"/>
        <v>24/06/2022</v>
      </c>
      <c r="AU29" s="27" t="str">
        <f>RIGHT(Table22[[#This Row],[Follow_up_Visit Cleaned 5]],4)</f>
        <v>2022</v>
      </c>
      <c r="AV29" s="27" t="str">
        <f t="shared" si="26"/>
        <v>2022</v>
      </c>
    </row>
    <row r="30" spans="1:48" ht="14.25" customHeight="1" x14ac:dyDescent="0.2">
      <c r="A30" t="s">
        <v>300</v>
      </c>
      <c r="B30" t="s">
        <v>301</v>
      </c>
      <c r="C30" s="10" t="str">
        <f t="shared" si="0"/>
        <v>Patient_28</v>
      </c>
      <c r="D30">
        <v>76</v>
      </c>
      <c r="E30" t="s">
        <v>160</v>
      </c>
      <c r="F30" t="s">
        <v>302</v>
      </c>
      <c r="G30" s="15" t="str">
        <f t="shared" si="27"/>
        <v>01/Mar/2023</v>
      </c>
      <c r="H30" s="15" t="str">
        <f t="shared" si="1"/>
        <v>01/03/2023</v>
      </c>
      <c r="I30" s="15" t="str">
        <f t="shared" si="2"/>
        <v>03/01/2023</v>
      </c>
      <c r="J30" s="10" t="str">
        <f>LEFT(Table22[[#This Row],[Date_of_Admission Cleaned 3]],10)</f>
        <v>03/01/2023</v>
      </c>
      <c r="K30" s="27" t="str">
        <f>RIGHT(Table22[[#This Row],[Date_of_Admission Cleaned 4]],4)</f>
        <v>2023</v>
      </c>
      <c r="L30" s="27" t="str">
        <f t="shared" si="3"/>
        <v>2023</v>
      </c>
      <c r="M30" t="s">
        <v>303</v>
      </c>
      <c r="N30" s="15" t="str">
        <f t="shared" si="4"/>
        <v>2023/05/18</v>
      </c>
      <c r="O30" s="15" t="str">
        <f t="shared" si="5"/>
        <v>2023/05/18</v>
      </c>
      <c r="P30" s="10" t="str">
        <f t="shared" si="28"/>
        <v>18/05/2023</v>
      </c>
      <c r="Q30" s="27" t="str">
        <f>RIGHT(Table22[[#This Row],[Date_of_Diagnosis Cleaned 3]],4)</f>
        <v>2023</v>
      </c>
      <c r="R30" s="27" t="str">
        <f t="shared" si="6"/>
        <v>2023</v>
      </c>
      <c r="S30" t="s">
        <v>304</v>
      </c>
      <c r="T30" s="21" t="str">
        <f t="shared" si="7"/>
        <v>11/Mar/2024</v>
      </c>
      <c r="U30" s="21" t="str">
        <f t="shared" si="29"/>
        <v>11/03/2024</v>
      </c>
      <c r="V30" s="21" t="str">
        <f t="shared" si="8"/>
        <v>11/03/2024</v>
      </c>
      <c r="W30" s="16" t="str">
        <f t="shared" si="9"/>
        <v>11/03/2024</v>
      </c>
      <c r="X30" s="28" t="str">
        <f>RIGHT(Table22[[#This Row],[Date_of_Treatment_Start Cleaned 4]],4)</f>
        <v>2024</v>
      </c>
      <c r="Y30" s="12">
        <v>42771</v>
      </c>
      <c r="Z30" s="15" t="str">
        <f t="shared" si="10"/>
        <v>42771</v>
      </c>
      <c r="AA30" s="15" t="str">
        <f t="shared" si="11"/>
        <v>42771</v>
      </c>
      <c r="AB30" s="15" t="str">
        <f t="shared" si="12"/>
        <v>42771</v>
      </c>
      <c r="AC30" s="15" t="str">
        <f>LEFT(Table22[[#This Row],[Date_of_Surgery Cleaned 3]],10)</f>
        <v>42771</v>
      </c>
      <c r="AD30" s="15" t="str">
        <f t="shared" si="13"/>
        <v>05,02,2017</v>
      </c>
      <c r="AE30" s="10" t="str">
        <f t="shared" si="14"/>
        <v>05/02/2017</v>
      </c>
      <c r="AF30" s="27" t="str">
        <f>RIGHT(Table22[[#This Row],[Date_of_Surgery Cleaned 6]],4)</f>
        <v>2017</v>
      </c>
      <c r="AG30" s="27" t="str">
        <f t="shared" si="15"/>
        <v>2017</v>
      </c>
      <c r="AH30" t="s">
        <v>256</v>
      </c>
      <c r="AI30" s="15" t="str">
        <f t="shared" si="16"/>
        <v>Nov 09, 2024</v>
      </c>
      <c r="AJ30" s="15" t="str">
        <f t="shared" si="17"/>
        <v>Nov 09, 2024</v>
      </c>
      <c r="AK30" s="15" t="str">
        <f t="shared" si="18"/>
        <v>09,11,2024</v>
      </c>
      <c r="AL30" s="10" t="str">
        <f t="shared" si="19"/>
        <v>09/11/2024</v>
      </c>
      <c r="AM30" s="27" t="str">
        <f>RIGHT(Table22[[#This Row],[Date_of_Discharge Cleaned 4]],4)</f>
        <v>2024</v>
      </c>
      <c r="AN30" s="27" t="str">
        <f t="shared" si="20"/>
        <v>2024</v>
      </c>
      <c r="AO30" t="s">
        <v>198</v>
      </c>
      <c r="AP30" s="15" t="str">
        <f t="shared" si="21"/>
        <v>N/A</v>
      </c>
      <c r="AQ30" s="15" t="str">
        <f t="shared" si="22"/>
        <v>Unknown</v>
      </c>
      <c r="AR30" s="15" t="str">
        <f t="shared" si="23"/>
        <v>Unknown</v>
      </c>
      <c r="AS30" s="15" t="str">
        <f t="shared" si="24"/>
        <v>Unknown</v>
      </c>
      <c r="AT30" s="10" t="str">
        <f t="shared" si="25"/>
        <v>Unknown</v>
      </c>
      <c r="AU30" s="27" t="str">
        <f>RIGHT(Table22[[#This Row],[Follow_up_Visit Cleaned 5]],4)</f>
        <v>nown</v>
      </c>
      <c r="AV30" s="27" t="str">
        <f t="shared" si="26"/>
        <v>Unknown</v>
      </c>
    </row>
    <row r="31" spans="1:48" ht="14.25" customHeight="1" x14ac:dyDescent="0.2">
      <c r="A31" t="s">
        <v>305</v>
      </c>
      <c r="B31" t="s">
        <v>306</v>
      </c>
      <c r="C31" s="10" t="str">
        <f t="shared" si="0"/>
        <v>Patient_29</v>
      </c>
      <c r="D31">
        <v>25</v>
      </c>
      <c r="E31" t="s">
        <v>160</v>
      </c>
      <c r="F31" t="s">
        <v>307</v>
      </c>
      <c r="G31" s="15" t="str">
        <f t="shared" si="27"/>
        <v>03/08/2024</v>
      </c>
      <c r="H31" s="15" t="str">
        <f t="shared" si="1"/>
        <v>03/08/2024</v>
      </c>
      <c r="I31" s="15" t="str">
        <f t="shared" si="2"/>
        <v>08/03/2024</v>
      </c>
      <c r="J31" s="10" t="str">
        <f>LEFT(Table22[[#This Row],[Date_of_Admission Cleaned 3]],10)</f>
        <v>08/03/2024</v>
      </c>
      <c r="K31" s="27" t="str">
        <f>RIGHT(Table22[[#This Row],[Date_of_Admission Cleaned 4]],4)</f>
        <v>2024</v>
      </c>
      <c r="L31" s="27" t="str">
        <f t="shared" si="3"/>
        <v>2024</v>
      </c>
      <c r="M31" t="s">
        <v>308</v>
      </c>
      <c r="N31" s="15" t="str">
        <f t="shared" si="4"/>
        <v>29/04/2023</v>
      </c>
      <c r="O31" s="15" t="str">
        <f t="shared" si="5"/>
        <v>29/04/2023</v>
      </c>
      <c r="P31" s="10" t="str">
        <f t="shared" si="28"/>
        <v>29/04/2023</v>
      </c>
      <c r="Q31" s="27" t="str">
        <f>RIGHT(Table22[[#This Row],[Date_of_Diagnosis Cleaned 3]],4)</f>
        <v>2023</v>
      </c>
      <c r="R31" s="27" t="str">
        <f t="shared" si="6"/>
        <v>2023</v>
      </c>
      <c r="S31" t="s">
        <v>309</v>
      </c>
      <c r="T31" s="21" t="str">
        <f t="shared" si="7"/>
        <v>12/March/2024</v>
      </c>
      <c r="U31" s="21" t="str">
        <f t="shared" si="29"/>
        <v>12/03/2024</v>
      </c>
      <c r="V31" s="21" t="str">
        <f t="shared" si="8"/>
        <v>12/03/2024</v>
      </c>
      <c r="W31" s="16" t="str">
        <f t="shared" si="9"/>
        <v>12/03/2024</v>
      </c>
      <c r="X31" s="28" t="str">
        <f>RIGHT(Table22[[#This Row],[Date_of_Treatment_Start Cleaned 4]],4)</f>
        <v>2024</v>
      </c>
      <c r="Y31" s="12">
        <v>42771</v>
      </c>
      <c r="Z31" s="15" t="str">
        <f t="shared" si="10"/>
        <v>42771</v>
      </c>
      <c r="AA31" s="15" t="str">
        <f t="shared" si="11"/>
        <v>42771</v>
      </c>
      <c r="AB31" s="15" t="str">
        <f t="shared" si="12"/>
        <v>42771</v>
      </c>
      <c r="AC31" s="15" t="str">
        <f>LEFT(Table22[[#This Row],[Date_of_Surgery Cleaned 3]],10)</f>
        <v>42771</v>
      </c>
      <c r="AD31" s="15" t="str">
        <f t="shared" si="13"/>
        <v>05,02,2017</v>
      </c>
      <c r="AE31" s="10" t="str">
        <f t="shared" si="14"/>
        <v>05/02/2017</v>
      </c>
      <c r="AF31" s="27" t="str">
        <f>RIGHT(Table22[[#This Row],[Date_of_Surgery Cleaned 6]],4)</f>
        <v>2017</v>
      </c>
      <c r="AG31" s="27" t="str">
        <f t="shared" si="15"/>
        <v>2017</v>
      </c>
      <c r="AH31" t="s">
        <v>310</v>
      </c>
      <c r="AI31" s="15" t="str">
        <f t="shared" si="16"/>
        <v>2024-07-17</v>
      </c>
      <c r="AJ31" s="15" t="str">
        <f t="shared" si="17"/>
        <v>2024-07-17</v>
      </c>
      <c r="AK31" s="15" t="str">
        <f t="shared" si="18"/>
        <v>17,07,2024</v>
      </c>
      <c r="AL31" s="10" t="str">
        <f t="shared" si="19"/>
        <v>17/07/2024</v>
      </c>
      <c r="AM31" s="27" t="str">
        <f>RIGHT(Table22[[#This Row],[Date_of_Discharge Cleaned 4]],4)</f>
        <v>2024</v>
      </c>
      <c r="AN31" s="27" t="str">
        <f t="shared" si="20"/>
        <v>2024</v>
      </c>
      <c r="AO31" t="s">
        <v>187</v>
      </c>
      <c r="AP31" s="15" t="str">
        <f t="shared" si="21"/>
        <v>03/04/2023</v>
      </c>
      <c r="AQ31" s="15" t="str">
        <f t="shared" si="22"/>
        <v>03/04/2023</v>
      </c>
      <c r="AR31" s="15" t="str">
        <f t="shared" si="23"/>
        <v>04,03,2023</v>
      </c>
      <c r="AS31" s="15" t="str">
        <f t="shared" si="24"/>
        <v>04/03/2023</v>
      </c>
      <c r="AT31" s="10" t="str">
        <f t="shared" si="25"/>
        <v>04/03/2023</v>
      </c>
      <c r="AU31" s="27" t="str">
        <f>RIGHT(Table22[[#This Row],[Follow_up_Visit Cleaned 5]],4)</f>
        <v>2023</v>
      </c>
      <c r="AV31" s="27" t="str">
        <f t="shared" si="26"/>
        <v>2023</v>
      </c>
    </row>
    <row r="32" spans="1:48" ht="14.25" customHeight="1" x14ac:dyDescent="0.2">
      <c r="A32" t="s">
        <v>311</v>
      </c>
      <c r="B32" t="s">
        <v>312</v>
      </c>
      <c r="C32" s="10" t="str">
        <f t="shared" si="0"/>
        <v>Patient_30</v>
      </c>
      <c r="D32">
        <v>47</v>
      </c>
      <c r="E32" t="s">
        <v>160</v>
      </c>
      <c r="F32" s="12">
        <v>45014</v>
      </c>
      <c r="G32" s="15" t="str">
        <f t="shared" si="27"/>
        <v>45014</v>
      </c>
      <c r="H32" s="15" t="str">
        <f t="shared" si="1"/>
        <v>45014</v>
      </c>
      <c r="I32" s="15" t="str">
        <f t="shared" si="2"/>
        <v>29/03/2023</v>
      </c>
      <c r="J32" s="10" t="str">
        <f>LEFT(Table22[[#This Row],[Date_of_Admission Cleaned 3]],10)</f>
        <v>29/03/2023</v>
      </c>
      <c r="K32" s="27" t="str">
        <f>RIGHT(Table22[[#This Row],[Date_of_Admission Cleaned 4]],4)</f>
        <v>2023</v>
      </c>
      <c r="L32" s="27" t="str">
        <f t="shared" si="3"/>
        <v>2023</v>
      </c>
      <c r="M32" t="s">
        <v>313</v>
      </c>
      <c r="N32" s="15" t="str">
        <f t="shared" si="4"/>
        <v>07/20/2024</v>
      </c>
      <c r="O32" s="15" t="str">
        <f t="shared" si="5"/>
        <v>07/20/2024</v>
      </c>
      <c r="P32" s="10" t="str">
        <f t="shared" si="28"/>
        <v>20/07/2024</v>
      </c>
      <c r="Q32" s="27" t="str">
        <f>RIGHT(Table22[[#This Row],[Date_of_Diagnosis Cleaned 3]],4)</f>
        <v>2024</v>
      </c>
      <c r="R32" s="27" t="str">
        <f t="shared" si="6"/>
        <v>2024</v>
      </c>
      <c r="S32" t="s">
        <v>314</v>
      </c>
      <c r="T32" s="21" t="str">
        <f t="shared" si="7"/>
        <v>12/11/2023</v>
      </c>
      <c r="U32" s="21" t="str">
        <f t="shared" si="29"/>
        <v>11/12/2023</v>
      </c>
      <c r="V32" s="21" t="str">
        <f t="shared" si="8"/>
        <v>11/12/2023</v>
      </c>
      <c r="W32" s="16" t="str">
        <f t="shared" si="9"/>
        <v>11/12/2023</v>
      </c>
      <c r="X32" s="28" t="str">
        <f>RIGHT(Table22[[#This Row],[Date_of_Treatment_Start Cleaned 4]],4)</f>
        <v>2023</v>
      </c>
      <c r="Y32" t="s">
        <v>315</v>
      </c>
      <c r="Z32" s="15" t="str">
        <f t="shared" si="10"/>
        <v>11/12/2019</v>
      </c>
      <c r="AA32" s="15" t="str">
        <f t="shared" si="11"/>
        <v>11/12/2019</v>
      </c>
      <c r="AB32" s="15" t="str">
        <f t="shared" si="12"/>
        <v>11/12/2019</v>
      </c>
      <c r="AC32" s="15" t="str">
        <f>LEFT(Table22[[#This Row],[Date_of_Surgery Cleaned 3]],10)</f>
        <v>11/12/2019</v>
      </c>
      <c r="AD32" s="15" t="str">
        <f t="shared" si="13"/>
        <v>12,11,2019</v>
      </c>
      <c r="AE32" s="10" t="str">
        <f t="shared" si="14"/>
        <v>12/11/2019</v>
      </c>
      <c r="AF32" s="27" t="str">
        <f>RIGHT(Table22[[#This Row],[Date_of_Surgery Cleaned 6]],4)</f>
        <v>2019</v>
      </c>
      <c r="AG32" s="27" t="str">
        <f t="shared" si="15"/>
        <v>2019</v>
      </c>
      <c r="AH32" t="s">
        <v>316</v>
      </c>
      <c r="AI32" s="15" t="str">
        <f t="shared" si="16"/>
        <v>10-04-2024</v>
      </c>
      <c r="AJ32" s="15" t="str">
        <f t="shared" si="17"/>
        <v>10-04-2024</v>
      </c>
      <c r="AK32" s="15" t="str">
        <f t="shared" si="18"/>
        <v>04,10,2024</v>
      </c>
      <c r="AL32" s="10" t="str">
        <f t="shared" si="19"/>
        <v>04/10/2024</v>
      </c>
      <c r="AM32" s="27" t="str">
        <f>RIGHT(Table22[[#This Row],[Date_of_Discharge Cleaned 4]],4)</f>
        <v>2024</v>
      </c>
      <c r="AN32" s="27" t="str">
        <f t="shared" si="20"/>
        <v>2024</v>
      </c>
      <c r="AO32">
        <v>44736</v>
      </c>
      <c r="AP32" s="15">
        <f t="shared" si="21"/>
        <v>44736</v>
      </c>
      <c r="AQ32" s="15" t="str">
        <f t="shared" si="22"/>
        <v>44736</v>
      </c>
      <c r="AR32" s="15" t="str">
        <f t="shared" si="23"/>
        <v>24,06,2022</v>
      </c>
      <c r="AS32" s="15" t="str">
        <f t="shared" si="24"/>
        <v>24/06/2022</v>
      </c>
      <c r="AT32" s="10" t="str">
        <f t="shared" si="25"/>
        <v>24/06/2022</v>
      </c>
      <c r="AU32" s="27" t="str">
        <f>RIGHT(Table22[[#This Row],[Follow_up_Visit Cleaned 5]],4)</f>
        <v>2022</v>
      </c>
      <c r="AV32" s="27" t="str">
        <f t="shared" si="26"/>
        <v>2022</v>
      </c>
    </row>
    <row r="33" spans="1:48" ht="14.25" customHeight="1" x14ac:dyDescent="0.2">
      <c r="A33" t="s">
        <v>317</v>
      </c>
      <c r="B33" t="s">
        <v>318</v>
      </c>
      <c r="C33" s="10" t="str">
        <f t="shared" si="0"/>
        <v>Patient_31</v>
      </c>
      <c r="D33">
        <v>47</v>
      </c>
      <c r="E33" t="s">
        <v>146</v>
      </c>
      <c r="F33" t="s">
        <v>147</v>
      </c>
      <c r="G33" s="15" t="str">
        <f t="shared" si="27"/>
        <v>12/13/2023</v>
      </c>
      <c r="H33" s="15" t="str">
        <f t="shared" si="1"/>
        <v>12/13/2023</v>
      </c>
      <c r="I33" s="15" t="str">
        <f t="shared" si="2"/>
        <v>13/12/2023</v>
      </c>
      <c r="J33" s="10" t="str">
        <f>LEFT(Table22[[#This Row],[Date_of_Admission Cleaned 3]],10)</f>
        <v>13/12/2023</v>
      </c>
      <c r="K33" s="27" t="str">
        <f>RIGHT(Table22[[#This Row],[Date_of_Admission Cleaned 4]],4)</f>
        <v>2023</v>
      </c>
      <c r="L33" s="27" t="str">
        <f t="shared" si="3"/>
        <v>2023</v>
      </c>
      <c r="M33" t="s">
        <v>319</v>
      </c>
      <c r="N33" s="15" t="str">
        <f t="shared" si="4"/>
        <v>2023/10/06</v>
      </c>
      <c r="O33" s="15" t="str">
        <f t="shared" si="5"/>
        <v>2023/10/06</v>
      </c>
      <c r="P33" s="10" t="str">
        <f t="shared" si="28"/>
        <v>06/10/2023</v>
      </c>
      <c r="Q33" s="27" t="str">
        <f>RIGHT(Table22[[#This Row],[Date_of_Diagnosis Cleaned 3]],4)</f>
        <v>2023</v>
      </c>
      <c r="R33" s="27" t="str">
        <f t="shared" si="6"/>
        <v>2023</v>
      </c>
      <c r="S33" t="s">
        <v>320</v>
      </c>
      <c r="T33" s="21" t="str">
        <f t="shared" si="7"/>
        <v>13/10/2023</v>
      </c>
      <c r="U33" s="21" t="str">
        <f t="shared" si="29"/>
        <v>13/10/2023</v>
      </c>
      <c r="V33" s="21" t="str">
        <f t="shared" si="8"/>
        <v>13/10/2023</v>
      </c>
      <c r="W33" s="16" t="str">
        <f t="shared" si="9"/>
        <v>13/10/2023</v>
      </c>
      <c r="X33" s="28" t="str">
        <f>RIGHT(Table22[[#This Row],[Date_of_Treatment_Start Cleaned 4]],4)</f>
        <v>2023</v>
      </c>
      <c r="Y33" t="s">
        <v>315</v>
      </c>
      <c r="Z33" s="15" t="str">
        <f t="shared" si="10"/>
        <v>11/12/2019</v>
      </c>
      <c r="AA33" s="15" t="str">
        <f t="shared" si="11"/>
        <v>11/12/2019</v>
      </c>
      <c r="AB33" s="15" t="str">
        <f t="shared" si="12"/>
        <v>11/12/2019</v>
      </c>
      <c r="AC33" s="15" t="str">
        <f>LEFT(Table22[[#This Row],[Date_of_Surgery Cleaned 3]],10)</f>
        <v>11/12/2019</v>
      </c>
      <c r="AD33" s="15" t="str">
        <f t="shared" si="13"/>
        <v>12,11,2019</v>
      </c>
      <c r="AE33" s="10" t="str">
        <f t="shared" si="14"/>
        <v>12/11/2019</v>
      </c>
      <c r="AF33" s="27" t="str">
        <f>RIGHT(Table22[[#This Row],[Date_of_Surgery Cleaned 6]],4)</f>
        <v>2019</v>
      </c>
      <c r="AG33" s="27" t="str">
        <f t="shared" si="15"/>
        <v>2019</v>
      </c>
      <c r="AH33" t="s">
        <v>321</v>
      </c>
      <c r="AI33" s="15" t="str">
        <f t="shared" si="16"/>
        <v>2023/11/19</v>
      </c>
      <c r="AJ33" s="15" t="str">
        <f t="shared" si="17"/>
        <v>2023/11/19</v>
      </c>
      <c r="AK33" s="15" t="str">
        <f t="shared" si="18"/>
        <v>19,11,2023</v>
      </c>
      <c r="AL33" s="10" t="str">
        <f t="shared" si="19"/>
        <v>19/11/2023</v>
      </c>
      <c r="AM33" s="27" t="str">
        <f>RIGHT(Table22[[#This Row],[Date_of_Discharge Cleaned 4]],4)</f>
        <v>2023</v>
      </c>
      <c r="AN33" s="27" t="str">
        <f t="shared" si="20"/>
        <v>2023</v>
      </c>
      <c r="AO33">
        <v>44736</v>
      </c>
      <c r="AP33" s="15">
        <f t="shared" si="21"/>
        <v>44736</v>
      </c>
      <c r="AQ33" s="15" t="str">
        <f t="shared" si="22"/>
        <v>44736</v>
      </c>
      <c r="AR33" s="15" t="str">
        <f t="shared" si="23"/>
        <v>24,06,2022</v>
      </c>
      <c r="AS33" s="15" t="str">
        <f t="shared" si="24"/>
        <v>24/06/2022</v>
      </c>
      <c r="AT33" s="10" t="str">
        <f t="shared" si="25"/>
        <v>24/06/2022</v>
      </c>
      <c r="AU33" s="27" t="str">
        <f>RIGHT(Table22[[#This Row],[Follow_up_Visit Cleaned 5]],4)</f>
        <v>2022</v>
      </c>
      <c r="AV33" s="27" t="str">
        <f t="shared" si="26"/>
        <v>2022</v>
      </c>
    </row>
    <row r="34" spans="1:48" ht="14.25" customHeight="1" x14ac:dyDescent="0.2">
      <c r="A34" t="s">
        <v>322</v>
      </c>
      <c r="B34" t="s">
        <v>323</v>
      </c>
      <c r="C34" s="10" t="str">
        <f t="shared" si="0"/>
        <v>Patient_32</v>
      </c>
      <c r="D34">
        <v>63</v>
      </c>
      <c r="E34" t="s">
        <v>160</v>
      </c>
      <c r="F34" t="s">
        <v>198</v>
      </c>
      <c r="G34" s="15" t="str">
        <f t="shared" si="27"/>
        <v>Unknown</v>
      </c>
      <c r="H34" s="15" t="str">
        <f t="shared" si="1"/>
        <v>Unknown</v>
      </c>
      <c r="I34" s="15" t="str">
        <f t="shared" si="2"/>
        <v>Unknown</v>
      </c>
      <c r="J34" s="10" t="str">
        <f>LEFT(Table22[[#This Row],[Date_of_Admission Cleaned 3]],10)</f>
        <v>Unknown</v>
      </c>
      <c r="K34" s="27" t="str">
        <f>RIGHT(Table22[[#This Row],[Date_of_Admission Cleaned 4]],4)</f>
        <v>nown</v>
      </c>
      <c r="L34" s="27" t="str">
        <f t="shared" si="3"/>
        <v>Unknown</v>
      </c>
      <c r="M34" t="s">
        <v>198</v>
      </c>
      <c r="N34" s="15" t="str">
        <f t="shared" si="4"/>
        <v>Unknown</v>
      </c>
      <c r="O34" s="15" t="str">
        <f t="shared" si="5"/>
        <v>Unknown</v>
      </c>
      <c r="P34" s="10" t="str">
        <f t="shared" si="28"/>
        <v>Unknown</v>
      </c>
      <c r="Q34" s="27" t="str">
        <f>RIGHT(Table22[[#This Row],[Date_of_Diagnosis Cleaned 3]],4)</f>
        <v>nown</v>
      </c>
      <c r="R34" s="27" t="str">
        <f t="shared" ref="R34:R65" si="30">SUBSTITUTE(Q34,"nown","Unknown")</f>
        <v>Unknown</v>
      </c>
      <c r="S34" t="s">
        <v>324</v>
      </c>
      <c r="T34" s="21" t="str">
        <f t="shared" si="7"/>
        <v>13/11/2024</v>
      </c>
      <c r="U34" s="21" t="str">
        <f t="shared" si="29"/>
        <v>13/11/2024</v>
      </c>
      <c r="V34" s="21" t="str">
        <f t="shared" si="8"/>
        <v>13/11/2024</v>
      </c>
      <c r="W34" s="16" t="str">
        <f t="shared" si="9"/>
        <v>13/11/2024</v>
      </c>
      <c r="X34" s="28" t="str">
        <f>RIGHT(Table22[[#This Row],[Date_of_Treatment_Start Cleaned 4]],4)</f>
        <v>2024</v>
      </c>
      <c r="Y34" t="s">
        <v>315</v>
      </c>
      <c r="Z34" s="15" t="str">
        <f t="shared" si="10"/>
        <v>11/12/2019</v>
      </c>
      <c r="AA34" s="15" t="str">
        <f t="shared" si="11"/>
        <v>11/12/2019</v>
      </c>
      <c r="AB34" s="15" t="str">
        <f t="shared" ref="AB34:AB65" si="31">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34,"//","/"),"Dec/","12/"),"November","11"),"Oct/","10/"),"September/","09/"),"August/","08/"),"July","07"),"Jun/","06/"),"May","05"),"Apr/","04/"),"Mar/","03/"),"feb","02"),"January/","01/"),"Monday/",""),"Tuesday/",""),"Wednesday/",""),"Thursday/",""),"Friday/",""),"Saturday/",""),"Sunday/",""),"Sep/","09/"),"12th","12"),"of/",""),"December","12"),"Jan/","01/"),"/5/","/05/"),"/6/","/06/"),"/9/","/09/"),"/4/","/04/"),"/7/","/07/")</f>
        <v>11/12/2019</v>
      </c>
      <c r="AC34" s="15" t="str">
        <f>LEFT(Table22[[#This Row],[Date_of_Surgery Cleaned 3]],10)</f>
        <v>11/12/2019</v>
      </c>
      <c r="AD34" s="15" t="str">
        <f t="shared" ref="AD34:AD65" si="32">TEXT(AC34,"dd,mm,yyyy")</f>
        <v>12,11,2019</v>
      </c>
      <c r="AE34" s="10" t="str">
        <f t="shared" si="14"/>
        <v>12/11/2019</v>
      </c>
      <c r="AF34" s="27" t="str">
        <f>RIGHT(Table22[[#This Row],[Date_of_Surgery Cleaned 6]],4)</f>
        <v>2019</v>
      </c>
      <c r="AG34" s="27" t="str">
        <f t="shared" ref="AG34:AG65" si="33">SUBSTITUTE(AF34,"nown","Unknown")</f>
        <v>2019</v>
      </c>
      <c r="AH34" t="s">
        <v>198</v>
      </c>
      <c r="AI34" s="15" t="str">
        <f t="shared" si="16"/>
        <v>N/A</v>
      </c>
      <c r="AJ34" s="15" t="str">
        <f t="shared" si="17"/>
        <v>Unknown</v>
      </c>
      <c r="AK34" s="15" t="str">
        <f t="shared" ref="AK34:AK65" si="34">TEXT(AJ34,"dd,mm,yyyy")</f>
        <v>Unknown</v>
      </c>
      <c r="AL34" s="10" t="str">
        <f t="shared" ref="AL34:AL65" si="35">SUBSTITUTE(SUBSTITUTE(SUBSTITUTE(AK34,",","/"),".","/"),"-","/")</f>
        <v>Unknown</v>
      </c>
      <c r="AM34" s="27" t="str">
        <f>RIGHT(Table22[[#This Row],[Date_of_Discharge Cleaned 4]],4)</f>
        <v>nown</v>
      </c>
      <c r="AN34" s="27" t="str">
        <f t="shared" ref="AN34:AN65" si="36">SUBSTITUTE(AM34,"nown","Unknown")</f>
        <v>Unknown</v>
      </c>
      <c r="AO34" s="6" t="s">
        <v>939</v>
      </c>
      <c r="AP34" s="15" t="str">
        <f t="shared" ref="AP34:AP65" si="37">IF(AO34="","Unknown",AO34)</f>
        <v>13-01-2020</v>
      </c>
      <c r="AQ34" s="15" t="str">
        <f t="shared" si="22"/>
        <v>13-01-2020</v>
      </c>
      <c r="AR34" s="15" t="str">
        <f t="shared" ref="AR34:AR65" si="38">TEXT(AQ34,"dd,mm,yyyy")</f>
        <v>13-01-2020</v>
      </c>
      <c r="AS34" s="15" t="str">
        <f t="shared" si="24"/>
        <v>13/01/2020</v>
      </c>
      <c r="AT34" s="10" t="str">
        <f t="shared" si="25"/>
        <v>13/01/2020</v>
      </c>
      <c r="AU34" s="27" t="str">
        <f>RIGHT(Table22[[#This Row],[Follow_up_Visit Cleaned 5]],4)</f>
        <v>2020</v>
      </c>
      <c r="AV34" s="27" t="str">
        <f t="shared" ref="AV34:AV65" si="39">SUBSTITUTE(AU34,"nown","Unknown")</f>
        <v>2020</v>
      </c>
    </row>
    <row r="35" spans="1:48" ht="14.25" customHeight="1" x14ac:dyDescent="0.2">
      <c r="A35" t="s">
        <v>325</v>
      </c>
      <c r="B35" t="s">
        <v>326</v>
      </c>
      <c r="C35" s="10" t="str">
        <f t="shared" si="0"/>
        <v>Patient_33</v>
      </c>
      <c r="D35">
        <v>49</v>
      </c>
      <c r="E35" t="s">
        <v>160</v>
      </c>
      <c r="F35" t="s">
        <v>327</v>
      </c>
      <c r="G35" s="15" t="str">
        <f t="shared" si="27"/>
        <v>06/29/2024</v>
      </c>
      <c r="H35" s="15" t="str">
        <f t="shared" si="1"/>
        <v>06/29/2024</v>
      </c>
      <c r="I35" s="15" t="str">
        <f t="shared" si="2"/>
        <v>29/06/2024</v>
      </c>
      <c r="J35" s="10" t="str">
        <f>LEFT(Table22[[#This Row],[Date_of_Admission Cleaned 3]],10)</f>
        <v>29/06/2024</v>
      </c>
      <c r="K35" s="27" t="str">
        <f>RIGHT(Table22[[#This Row],[Date_of_Admission Cleaned 4]],4)</f>
        <v>2024</v>
      </c>
      <c r="L35" s="27" t="str">
        <f t="shared" si="3"/>
        <v>2024</v>
      </c>
      <c r="M35" t="s">
        <v>328</v>
      </c>
      <c r="N35" s="15" t="str">
        <f t="shared" si="4"/>
        <v>04/08/2023</v>
      </c>
      <c r="O35" s="15" t="str">
        <f t="shared" si="5"/>
        <v>04/08/2023</v>
      </c>
      <c r="P35" s="10" t="str">
        <f t="shared" si="28"/>
        <v>08/04/2023</v>
      </c>
      <c r="Q35" s="27" t="str">
        <f>RIGHT(Table22[[#This Row],[Date_of_Diagnosis Cleaned 3]],4)</f>
        <v>2023</v>
      </c>
      <c r="R35" s="27" t="str">
        <f t="shared" si="30"/>
        <v>2023</v>
      </c>
      <c r="S35" t="s">
        <v>329</v>
      </c>
      <c r="T35" s="21" t="str">
        <f t="shared" si="7"/>
        <v>13/02/2024</v>
      </c>
      <c r="U35" s="21" t="str">
        <f t="shared" si="29"/>
        <v>13/02/2024</v>
      </c>
      <c r="V35" s="21" t="str">
        <f t="shared" si="8"/>
        <v>13/02/2024</v>
      </c>
      <c r="W35" s="16" t="str">
        <f t="shared" si="9"/>
        <v>13/02/2024</v>
      </c>
      <c r="X35" s="28" t="str">
        <f>RIGHT(Table22[[#This Row],[Date_of_Treatment_Start Cleaned 4]],4)</f>
        <v>2024</v>
      </c>
      <c r="Y35" s="12">
        <v>42381</v>
      </c>
      <c r="Z35" s="15" t="str">
        <f t="shared" si="10"/>
        <v>42381</v>
      </c>
      <c r="AA35" s="15" t="str">
        <f t="shared" si="11"/>
        <v>42381</v>
      </c>
      <c r="AB35" s="15" t="str">
        <f t="shared" si="31"/>
        <v>42381</v>
      </c>
      <c r="AC35" s="15" t="str">
        <f>LEFT(Table22[[#This Row],[Date_of_Surgery Cleaned 3]],10)</f>
        <v>42381</v>
      </c>
      <c r="AD35" s="15" t="str">
        <f t="shared" si="32"/>
        <v>12,01,2016</v>
      </c>
      <c r="AE35" s="10" t="str">
        <f t="shared" si="14"/>
        <v>12/01/2016</v>
      </c>
      <c r="AF35" s="27" t="str">
        <f>RIGHT(Table22[[#This Row],[Date_of_Surgery Cleaned 6]],4)</f>
        <v>2016</v>
      </c>
      <c r="AG35" s="27" t="str">
        <f t="shared" si="33"/>
        <v>2016</v>
      </c>
      <c r="AH35" t="s">
        <v>330</v>
      </c>
      <c r="AI35" s="15" t="str">
        <f t="shared" si="16"/>
        <v>Apr 29, 2023</v>
      </c>
      <c r="AJ35" s="15" t="str">
        <f t="shared" si="17"/>
        <v>Apr 29, 2023</v>
      </c>
      <c r="AK35" s="15" t="str">
        <f t="shared" si="34"/>
        <v>29,04,2023</v>
      </c>
      <c r="AL35" s="10" t="str">
        <f t="shared" si="35"/>
        <v>29/04/2023</v>
      </c>
      <c r="AM35" s="27" t="str">
        <f>RIGHT(Table22[[#This Row],[Date_of_Discharge Cleaned 4]],4)</f>
        <v>2023</v>
      </c>
      <c r="AN35" s="27" t="str">
        <f t="shared" si="36"/>
        <v>2023</v>
      </c>
      <c r="AO35" t="s">
        <v>234</v>
      </c>
      <c r="AP35" s="15" t="str">
        <f t="shared" si="37"/>
        <v>Late March 2023</v>
      </c>
      <c r="AQ35" s="15" t="str">
        <f t="shared" si="22"/>
        <v>Late 03/ 2023</v>
      </c>
      <c r="AR35" s="15" t="str">
        <f t="shared" si="38"/>
        <v>Late 03/ 2023</v>
      </c>
      <c r="AS35" s="15" t="str">
        <f t="shared" si="24"/>
        <v>30/03/2023</v>
      </c>
      <c r="AT35" s="10" t="str">
        <f t="shared" si="25"/>
        <v>30/03/2023</v>
      </c>
      <c r="AU35" s="27" t="str">
        <f>RIGHT(Table22[[#This Row],[Follow_up_Visit Cleaned 5]],4)</f>
        <v>2023</v>
      </c>
      <c r="AV35" s="27" t="str">
        <f t="shared" si="39"/>
        <v>2023</v>
      </c>
    </row>
    <row r="36" spans="1:48" ht="14.25" customHeight="1" x14ac:dyDescent="0.2">
      <c r="A36" t="s">
        <v>331</v>
      </c>
      <c r="B36" t="s">
        <v>332</v>
      </c>
      <c r="C36" s="10" t="str">
        <f t="shared" si="0"/>
        <v>Patient_34</v>
      </c>
      <c r="D36">
        <v>81</v>
      </c>
      <c r="E36" t="s">
        <v>146</v>
      </c>
      <c r="F36" s="12">
        <v>45058</v>
      </c>
      <c r="G36" s="15" t="str">
        <f t="shared" si="27"/>
        <v>45058</v>
      </c>
      <c r="H36" s="15" t="str">
        <f t="shared" si="1"/>
        <v>45058</v>
      </c>
      <c r="I36" s="15" t="str">
        <f t="shared" si="2"/>
        <v>12/05/2023</v>
      </c>
      <c r="J36" s="10" t="str">
        <f>LEFT(Table22[[#This Row],[Date_of_Admission Cleaned 3]],10)</f>
        <v>12/05/2023</v>
      </c>
      <c r="K36" s="27" t="str">
        <f>RIGHT(Table22[[#This Row],[Date_of_Admission Cleaned 4]],4)</f>
        <v>2023</v>
      </c>
      <c r="L36" s="27" t="str">
        <f t="shared" si="3"/>
        <v>2023</v>
      </c>
      <c r="M36" t="s">
        <v>333</v>
      </c>
      <c r="N36" s="15" t="str">
        <f t="shared" si="4"/>
        <v>2023/07/28</v>
      </c>
      <c r="O36" s="15" t="str">
        <f t="shared" si="5"/>
        <v>2023/07/28</v>
      </c>
      <c r="P36" s="10" t="str">
        <f t="shared" si="28"/>
        <v>28/07/2023</v>
      </c>
      <c r="Q36" s="27" t="str">
        <f>RIGHT(Table22[[#This Row],[Date_of_Diagnosis Cleaned 3]],4)</f>
        <v>2023</v>
      </c>
      <c r="R36" s="27" t="str">
        <f t="shared" si="30"/>
        <v>2023</v>
      </c>
      <c r="S36" t="s">
        <v>334</v>
      </c>
      <c r="T36" s="21" t="str">
        <f t="shared" si="7"/>
        <v>13/03/2023</v>
      </c>
      <c r="U36" s="21" t="str">
        <f t="shared" si="29"/>
        <v>13/03/2023</v>
      </c>
      <c r="V36" s="21" t="str">
        <f t="shared" si="8"/>
        <v>13/03/2023</v>
      </c>
      <c r="W36" s="16" t="str">
        <f t="shared" si="9"/>
        <v>13/03/2023</v>
      </c>
      <c r="X36" s="28" t="str">
        <f>RIGHT(Table22[[#This Row],[Date_of_Treatment_Start Cleaned 4]],4)</f>
        <v>2023</v>
      </c>
      <c r="Y36" t="s">
        <v>335</v>
      </c>
      <c r="Z36" s="15" t="str">
        <f t="shared" si="10"/>
        <v>15/6/2018</v>
      </c>
      <c r="AA36" s="15" t="str">
        <f t="shared" si="11"/>
        <v>15/6/2018</v>
      </c>
      <c r="AB36" s="15" t="str">
        <f t="shared" si="31"/>
        <v>15/06/2018</v>
      </c>
      <c r="AC36" s="15" t="str">
        <f>LEFT(Table22[[#This Row],[Date_of_Surgery Cleaned 3]],10)</f>
        <v>15/06/2018</v>
      </c>
      <c r="AD36" s="15" t="str">
        <f t="shared" si="32"/>
        <v>15/06/2018</v>
      </c>
      <c r="AE36" s="10" t="str">
        <f t="shared" si="14"/>
        <v>15/06/2018</v>
      </c>
      <c r="AF36" s="27" t="str">
        <f>RIGHT(Table22[[#This Row],[Date_of_Surgery Cleaned 6]],4)</f>
        <v>2018</v>
      </c>
      <c r="AG36" s="27" t="str">
        <f t="shared" si="33"/>
        <v>2018</v>
      </c>
      <c r="AH36" t="s">
        <v>336</v>
      </c>
      <c r="AI36" s="15" t="str">
        <f t="shared" si="16"/>
        <v>2024-06-10</v>
      </c>
      <c r="AJ36" s="15" t="str">
        <f t="shared" si="17"/>
        <v>2024-06-10</v>
      </c>
      <c r="AK36" s="15" t="str">
        <f t="shared" si="34"/>
        <v>10,06,2024</v>
      </c>
      <c r="AL36" s="10" t="str">
        <f t="shared" si="35"/>
        <v>10/06/2024</v>
      </c>
      <c r="AM36" s="27" t="str">
        <f>RIGHT(Table22[[#This Row],[Date_of_Discharge Cleaned 4]],4)</f>
        <v>2024</v>
      </c>
      <c r="AN36" s="27" t="str">
        <f t="shared" si="36"/>
        <v>2024</v>
      </c>
      <c r="AO36" t="s">
        <v>337</v>
      </c>
      <c r="AP36" s="15" t="str">
        <f t="shared" si="37"/>
        <v>Early Feb. 2022</v>
      </c>
      <c r="AQ36" s="15" t="str">
        <f t="shared" si="22"/>
        <v>Early 02/. 2022</v>
      </c>
      <c r="AR36" s="15" t="str">
        <f t="shared" si="38"/>
        <v>Early 02/. 2022</v>
      </c>
      <c r="AS36" s="15" t="str">
        <f t="shared" si="24"/>
        <v>03/02//2022</v>
      </c>
      <c r="AT36" s="10" t="str">
        <f t="shared" si="25"/>
        <v>03/02/2022</v>
      </c>
      <c r="AU36" s="27" t="str">
        <f>RIGHT(Table22[[#This Row],[Follow_up_Visit Cleaned 5]],4)</f>
        <v>2022</v>
      </c>
      <c r="AV36" s="27" t="str">
        <f t="shared" si="39"/>
        <v>2022</v>
      </c>
    </row>
    <row r="37" spans="1:48" ht="14.25" customHeight="1" x14ac:dyDescent="0.2">
      <c r="A37" t="s">
        <v>338</v>
      </c>
      <c r="B37" t="s">
        <v>339</v>
      </c>
      <c r="C37" s="10" t="str">
        <f t="shared" si="0"/>
        <v>Patient_35</v>
      </c>
      <c r="D37">
        <v>79</v>
      </c>
      <c r="E37" t="s">
        <v>160</v>
      </c>
      <c r="F37" t="s">
        <v>340</v>
      </c>
      <c r="G37" s="15" t="str">
        <f t="shared" si="27"/>
        <v>31/01/2023</v>
      </c>
      <c r="H37" s="15" t="str">
        <f t="shared" si="1"/>
        <v>31/01/2023</v>
      </c>
      <c r="I37" s="15" t="str">
        <f t="shared" si="2"/>
        <v>31/01/2023</v>
      </c>
      <c r="J37" s="10" t="str">
        <f>LEFT(Table22[[#This Row],[Date_of_Admission Cleaned 3]],10)</f>
        <v>31/01/2023</v>
      </c>
      <c r="K37" s="27" t="str">
        <f>RIGHT(Table22[[#This Row],[Date_of_Admission Cleaned 4]],4)</f>
        <v>2023</v>
      </c>
      <c r="L37" s="27" t="str">
        <f t="shared" si="3"/>
        <v>2023</v>
      </c>
      <c r="M37" t="s">
        <v>341</v>
      </c>
      <c r="N37" s="15" t="str">
        <f t="shared" si="4"/>
        <v>Saturday//August/27//2016</v>
      </c>
      <c r="O37" s="15" t="str">
        <f t="shared" si="5"/>
        <v>08/27/2016</v>
      </c>
      <c r="P37" s="10" t="str">
        <f t="shared" si="28"/>
        <v>27/08/2016</v>
      </c>
      <c r="Q37" s="27" t="str">
        <f>RIGHT(Table22[[#This Row],[Date_of_Diagnosis Cleaned 3]],4)</f>
        <v>2016</v>
      </c>
      <c r="R37" s="27" t="str">
        <f t="shared" si="30"/>
        <v>2016</v>
      </c>
      <c r="S37" t="s">
        <v>342</v>
      </c>
      <c r="T37" s="21" t="str">
        <f t="shared" si="7"/>
        <v>13/10/2023</v>
      </c>
      <c r="U37" s="21" t="str">
        <f t="shared" si="29"/>
        <v>13/10/2023</v>
      </c>
      <c r="V37" s="21" t="str">
        <f t="shared" si="8"/>
        <v>13/10/2023</v>
      </c>
      <c r="W37" s="16" t="str">
        <f t="shared" si="9"/>
        <v>13/10/2023</v>
      </c>
      <c r="X37" s="28" t="str">
        <f>RIGHT(Table22[[#This Row],[Date_of_Treatment_Start Cleaned 4]],4)</f>
        <v>2023</v>
      </c>
      <c r="Y37" t="s">
        <v>335</v>
      </c>
      <c r="Z37" s="15" t="str">
        <f t="shared" si="10"/>
        <v>15/6/2018</v>
      </c>
      <c r="AA37" s="15" t="str">
        <f t="shared" si="11"/>
        <v>15/6/2018</v>
      </c>
      <c r="AB37" s="15" t="str">
        <f t="shared" si="31"/>
        <v>15/06/2018</v>
      </c>
      <c r="AC37" s="15" t="str">
        <f>LEFT(Table22[[#This Row],[Date_of_Surgery Cleaned 3]],10)</f>
        <v>15/06/2018</v>
      </c>
      <c r="AD37" s="15" t="str">
        <f t="shared" si="32"/>
        <v>15/06/2018</v>
      </c>
      <c r="AE37" s="10" t="str">
        <f t="shared" si="14"/>
        <v>15/06/2018</v>
      </c>
      <c r="AF37" s="27" t="str">
        <f>RIGHT(Table22[[#This Row],[Date_of_Surgery Cleaned 6]],4)</f>
        <v>2018</v>
      </c>
      <c r="AG37" s="27" t="str">
        <f t="shared" si="33"/>
        <v>2018</v>
      </c>
      <c r="AH37" t="s">
        <v>343</v>
      </c>
      <c r="AI37" s="15" t="str">
        <f t="shared" si="16"/>
        <v>16/Jul/2023</v>
      </c>
      <c r="AJ37" s="15" t="str">
        <f t="shared" si="17"/>
        <v>16/Jul/2023</v>
      </c>
      <c r="AK37" s="15" t="str">
        <f t="shared" si="34"/>
        <v>16,07,2023</v>
      </c>
      <c r="AL37" s="10" t="str">
        <f t="shared" si="35"/>
        <v>16/07/2023</v>
      </c>
      <c r="AM37" s="27" t="str">
        <f>RIGHT(Table22[[#This Row],[Date_of_Discharge Cleaned 4]],4)</f>
        <v>2023</v>
      </c>
      <c r="AN37" s="27" t="str">
        <f t="shared" si="36"/>
        <v>2023</v>
      </c>
      <c r="AO37" t="s">
        <v>344</v>
      </c>
      <c r="AP37" s="15" t="str">
        <f t="shared" si="37"/>
        <v>12/29/2023</v>
      </c>
      <c r="AQ37" s="15" t="str">
        <f t="shared" si="22"/>
        <v>12/29/2023</v>
      </c>
      <c r="AR37" s="15" t="str">
        <f t="shared" si="38"/>
        <v>29,12,2023</v>
      </c>
      <c r="AS37" s="15" t="str">
        <f t="shared" si="24"/>
        <v>29/12/2023</v>
      </c>
      <c r="AT37" s="10" t="str">
        <f t="shared" si="25"/>
        <v>29/12/2023</v>
      </c>
      <c r="AU37" s="27" t="str">
        <f>RIGHT(Table22[[#This Row],[Follow_up_Visit Cleaned 5]],4)</f>
        <v>2023</v>
      </c>
      <c r="AV37" s="27" t="str">
        <f t="shared" si="39"/>
        <v>2023</v>
      </c>
    </row>
    <row r="38" spans="1:48" ht="14.25" customHeight="1" x14ac:dyDescent="0.2">
      <c r="A38" t="s">
        <v>345</v>
      </c>
      <c r="B38" t="s">
        <v>346</v>
      </c>
      <c r="C38" s="10" t="str">
        <f t="shared" si="0"/>
        <v>Patient_36</v>
      </c>
      <c r="D38">
        <v>81</v>
      </c>
      <c r="E38" t="s">
        <v>160</v>
      </c>
      <c r="F38" t="s">
        <v>347</v>
      </c>
      <c r="G38" s="15" t="str">
        <f t="shared" si="27"/>
        <v>07/16/2024</v>
      </c>
      <c r="H38" s="15" t="str">
        <f t="shared" si="1"/>
        <v>07/16/2024</v>
      </c>
      <c r="I38" s="15" t="str">
        <f t="shared" si="2"/>
        <v>16/07/2024</v>
      </c>
      <c r="J38" s="10" t="str">
        <f>LEFT(Table22[[#This Row],[Date_of_Admission Cleaned 3]],10)</f>
        <v>16/07/2024</v>
      </c>
      <c r="K38" s="27" t="str">
        <f>RIGHT(Table22[[#This Row],[Date_of_Admission Cleaned 4]],4)</f>
        <v>2024</v>
      </c>
      <c r="L38" s="27" t="str">
        <f t="shared" si="3"/>
        <v>2024</v>
      </c>
      <c r="M38" s="12">
        <v>45444</v>
      </c>
      <c r="N38" s="15" t="str">
        <f t="shared" si="4"/>
        <v>45444</v>
      </c>
      <c r="O38" s="15" t="str">
        <f t="shared" si="5"/>
        <v>45444</v>
      </c>
      <c r="P38" s="10" t="str">
        <f t="shared" si="28"/>
        <v>01/06/2024</v>
      </c>
      <c r="Q38" s="27" t="str">
        <f>RIGHT(Table22[[#This Row],[Date_of_Diagnosis Cleaned 3]],4)</f>
        <v>2024</v>
      </c>
      <c r="R38" s="27" t="str">
        <f t="shared" si="30"/>
        <v>2024</v>
      </c>
      <c r="S38" t="s">
        <v>348</v>
      </c>
      <c r="T38" s="21" t="str">
        <f t="shared" si="7"/>
        <v>13/Aug/2024</v>
      </c>
      <c r="U38" s="21" t="str">
        <f t="shared" si="29"/>
        <v>13/08/2024</v>
      </c>
      <c r="V38" s="21" t="str">
        <f t="shared" si="8"/>
        <v>13/08/2024</v>
      </c>
      <c r="W38" s="16" t="str">
        <f t="shared" si="9"/>
        <v>13/08/2024</v>
      </c>
      <c r="X38" s="28" t="str">
        <f>RIGHT(Table22[[#This Row],[Date_of_Treatment_Start Cleaned 4]],4)</f>
        <v>2024</v>
      </c>
      <c r="Y38" t="s">
        <v>349</v>
      </c>
      <c r="Z38" s="15" t="str">
        <f t="shared" si="10"/>
        <v>16/10/2016</v>
      </c>
      <c r="AA38" s="15" t="str">
        <f t="shared" si="11"/>
        <v>16/10/2016</v>
      </c>
      <c r="AB38" s="15" t="str">
        <f t="shared" si="31"/>
        <v>16/10/2016</v>
      </c>
      <c r="AC38" s="15" t="str">
        <f>LEFT(Table22[[#This Row],[Date_of_Surgery Cleaned 3]],10)</f>
        <v>16/10/2016</v>
      </c>
      <c r="AD38" s="15" t="str">
        <f t="shared" si="32"/>
        <v>16/10/2016</v>
      </c>
      <c r="AE38" s="10" t="str">
        <f t="shared" si="14"/>
        <v>16/10/2016</v>
      </c>
      <c r="AF38" s="27" t="str">
        <f>RIGHT(Table22[[#This Row],[Date_of_Surgery Cleaned 6]],4)</f>
        <v>2016</v>
      </c>
      <c r="AG38" s="27" t="str">
        <f t="shared" si="33"/>
        <v>2016</v>
      </c>
      <c r="AH38" t="s">
        <v>350</v>
      </c>
      <c r="AI38" s="15" t="str">
        <f t="shared" si="16"/>
        <v>04 November 2024</v>
      </c>
      <c r="AJ38" s="15" t="str">
        <f t="shared" si="17"/>
        <v>04 November 2024</v>
      </c>
      <c r="AK38" s="15" t="str">
        <f t="shared" si="34"/>
        <v>04,11,2024</v>
      </c>
      <c r="AL38" s="10" t="str">
        <f t="shared" si="35"/>
        <v>04/11/2024</v>
      </c>
      <c r="AM38" s="27" t="str">
        <f>RIGHT(Table22[[#This Row],[Date_of_Discharge Cleaned 4]],4)</f>
        <v>2024</v>
      </c>
      <c r="AN38" s="27" t="str">
        <f t="shared" si="36"/>
        <v>2024</v>
      </c>
      <c r="AO38" t="s">
        <v>234</v>
      </c>
      <c r="AP38" s="15" t="str">
        <f t="shared" si="37"/>
        <v>Late March 2023</v>
      </c>
      <c r="AQ38" s="15" t="str">
        <f t="shared" si="22"/>
        <v>Late 03/ 2023</v>
      </c>
      <c r="AR38" s="15" t="str">
        <f t="shared" si="38"/>
        <v>Late 03/ 2023</v>
      </c>
      <c r="AS38" s="15" t="str">
        <f t="shared" si="24"/>
        <v>30/03/2023</v>
      </c>
      <c r="AT38" s="10" t="str">
        <f t="shared" si="25"/>
        <v>30/03/2023</v>
      </c>
      <c r="AU38" s="27" t="str">
        <f>RIGHT(Table22[[#This Row],[Follow_up_Visit Cleaned 5]],4)</f>
        <v>2023</v>
      </c>
      <c r="AV38" s="27" t="str">
        <f t="shared" si="39"/>
        <v>2023</v>
      </c>
    </row>
    <row r="39" spans="1:48" ht="14.25" customHeight="1" x14ac:dyDescent="0.2">
      <c r="A39" t="s">
        <v>351</v>
      </c>
      <c r="B39" t="s">
        <v>352</v>
      </c>
      <c r="C39" s="10" t="str">
        <f t="shared" si="0"/>
        <v>Patient_37</v>
      </c>
      <c r="D39">
        <v>20</v>
      </c>
      <c r="E39" t="s">
        <v>146</v>
      </c>
      <c r="F39" t="s">
        <v>353</v>
      </c>
      <c r="G39" s="15" t="str">
        <f t="shared" si="27"/>
        <v>29/September/2023</v>
      </c>
      <c r="H39" s="15" t="str">
        <f t="shared" si="1"/>
        <v>29/September/2023</v>
      </c>
      <c r="I39" s="15" t="str">
        <f t="shared" si="2"/>
        <v>29/09/2023</v>
      </c>
      <c r="J39" s="10" t="str">
        <f>LEFT(Table22[[#This Row],[Date_of_Admission Cleaned 3]],10)</f>
        <v>29/09/2023</v>
      </c>
      <c r="K39" s="27" t="str">
        <f>RIGHT(Table22[[#This Row],[Date_of_Admission Cleaned 4]],4)</f>
        <v>2023</v>
      </c>
      <c r="L39" s="27" t="str">
        <f t="shared" si="3"/>
        <v>2023</v>
      </c>
      <c r="M39" t="s">
        <v>354</v>
      </c>
      <c r="N39" s="15" t="str">
        <f t="shared" si="4"/>
        <v>2023/09/15</v>
      </c>
      <c r="O39" s="15" t="str">
        <f t="shared" si="5"/>
        <v>2023/09/15</v>
      </c>
      <c r="P39" s="10" t="str">
        <f t="shared" si="28"/>
        <v>15/09/2023</v>
      </c>
      <c r="Q39" s="27" t="str">
        <f>RIGHT(Table22[[#This Row],[Date_of_Diagnosis Cleaned 3]],4)</f>
        <v>2023</v>
      </c>
      <c r="R39" s="27" t="str">
        <f t="shared" si="30"/>
        <v>2023</v>
      </c>
      <c r="S39" t="s">
        <v>355</v>
      </c>
      <c r="T39" s="21" t="str">
        <f t="shared" si="7"/>
        <v>14/February/2024</v>
      </c>
      <c r="U39" s="21" t="str">
        <f t="shared" si="29"/>
        <v>14/02/2024</v>
      </c>
      <c r="V39" s="21" t="str">
        <f t="shared" si="8"/>
        <v>14/02/2024</v>
      </c>
      <c r="W39" s="16" t="str">
        <f t="shared" si="9"/>
        <v>14/02/2024</v>
      </c>
      <c r="X39" s="28" t="str">
        <f>RIGHT(Table22[[#This Row],[Date_of_Treatment_Start Cleaned 4]],4)</f>
        <v>2024</v>
      </c>
      <c r="Y39" t="s">
        <v>349</v>
      </c>
      <c r="Z39" s="15" t="str">
        <f t="shared" si="10"/>
        <v>16/10/2016</v>
      </c>
      <c r="AA39" s="15" t="str">
        <f t="shared" si="11"/>
        <v>16/10/2016</v>
      </c>
      <c r="AB39" s="15" t="str">
        <f t="shared" si="31"/>
        <v>16/10/2016</v>
      </c>
      <c r="AC39" s="15" t="str">
        <f>LEFT(Table22[[#This Row],[Date_of_Surgery Cleaned 3]],10)</f>
        <v>16/10/2016</v>
      </c>
      <c r="AD39" s="15" t="str">
        <f t="shared" si="32"/>
        <v>16/10/2016</v>
      </c>
      <c r="AE39" s="10" t="str">
        <f t="shared" si="14"/>
        <v>16/10/2016</v>
      </c>
      <c r="AF39" s="27" t="str">
        <f>RIGHT(Table22[[#This Row],[Date_of_Surgery Cleaned 6]],4)</f>
        <v>2016</v>
      </c>
      <c r="AG39" s="27" t="str">
        <f t="shared" si="33"/>
        <v>2016</v>
      </c>
      <c r="AH39" t="s">
        <v>356</v>
      </c>
      <c r="AI39" s="15" t="str">
        <f t="shared" si="16"/>
        <v>Apr 18, 2024</v>
      </c>
      <c r="AJ39" s="15" t="str">
        <f t="shared" si="17"/>
        <v>Apr 18, 2024</v>
      </c>
      <c r="AK39" s="15" t="str">
        <f t="shared" si="34"/>
        <v>18,04,2024</v>
      </c>
      <c r="AL39" s="10" t="str">
        <f t="shared" si="35"/>
        <v>18/04/2024</v>
      </c>
      <c r="AM39" s="27" t="str">
        <f>RIGHT(Table22[[#This Row],[Date_of_Discharge Cleaned 4]],4)</f>
        <v>2024</v>
      </c>
      <c r="AN39" s="27" t="str">
        <f t="shared" si="36"/>
        <v>2024</v>
      </c>
      <c r="AO39" t="s">
        <v>357</v>
      </c>
      <c r="AP39" s="15" t="str">
        <f t="shared" si="37"/>
        <v>02/22/2023</v>
      </c>
      <c r="AQ39" s="15" t="str">
        <f t="shared" si="22"/>
        <v>02/22/2023</v>
      </c>
      <c r="AR39" s="15" t="str">
        <f t="shared" si="38"/>
        <v>22,02,2023</v>
      </c>
      <c r="AS39" s="15" t="str">
        <f t="shared" si="24"/>
        <v>22/02/2023</v>
      </c>
      <c r="AT39" s="10" t="str">
        <f t="shared" si="25"/>
        <v>22/02/2023</v>
      </c>
      <c r="AU39" s="27" t="str">
        <f>RIGHT(Table22[[#This Row],[Follow_up_Visit Cleaned 5]],4)</f>
        <v>2023</v>
      </c>
      <c r="AV39" s="27" t="str">
        <f t="shared" si="39"/>
        <v>2023</v>
      </c>
    </row>
    <row r="40" spans="1:48" ht="14.25" customHeight="1" x14ac:dyDescent="0.2">
      <c r="A40" t="s">
        <v>358</v>
      </c>
      <c r="B40" t="s">
        <v>359</v>
      </c>
      <c r="C40" s="10" t="str">
        <f t="shared" si="0"/>
        <v>Patient_38</v>
      </c>
      <c r="D40">
        <v>40</v>
      </c>
      <c r="E40" t="s">
        <v>146</v>
      </c>
      <c r="F40" t="s">
        <v>360</v>
      </c>
      <c r="G40" s="15" t="str">
        <f t="shared" si="27"/>
        <v>12/Aug/2023</v>
      </c>
      <c r="H40" s="15" t="str">
        <f t="shared" si="1"/>
        <v>12/08/2023</v>
      </c>
      <c r="I40" s="15" t="str">
        <f t="shared" si="2"/>
        <v>08/12/2023</v>
      </c>
      <c r="J40" s="10" t="str">
        <f>LEFT(Table22[[#This Row],[Date_of_Admission Cleaned 3]],10)</f>
        <v>08/12/2023</v>
      </c>
      <c r="K40" s="27" t="str">
        <f>RIGHT(Table22[[#This Row],[Date_of_Admission Cleaned 4]],4)</f>
        <v>2023</v>
      </c>
      <c r="L40" s="27" t="str">
        <f t="shared" si="3"/>
        <v>2023</v>
      </c>
      <c r="M40" t="s">
        <v>361</v>
      </c>
      <c r="N40" s="15" t="str">
        <f t="shared" si="4"/>
        <v>12th/of/Dec//2019</v>
      </c>
      <c r="O40" s="15" t="str">
        <f t="shared" si="5"/>
        <v>12/12/2019</v>
      </c>
      <c r="P40" s="10" t="str">
        <f t="shared" si="28"/>
        <v>12/12/2019</v>
      </c>
      <c r="Q40" s="27" t="str">
        <f>RIGHT(Table22[[#This Row],[Date_of_Diagnosis Cleaned 3]],4)</f>
        <v>2019</v>
      </c>
      <c r="R40" s="27" t="str">
        <f t="shared" si="30"/>
        <v>2019</v>
      </c>
      <c r="S40" t="s">
        <v>362</v>
      </c>
      <c r="T40" s="21" t="str">
        <f t="shared" si="7"/>
        <v>14/November/2024</v>
      </c>
      <c r="U40" s="21" t="str">
        <f t="shared" si="29"/>
        <v>14/11/2024</v>
      </c>
      <c r="V40" s="21" t="str">
        <f t="shared" si="8"/>
        <v>14/11/2024</v>
      </c>
      <c r="W40" s="16" t="str">
        <f t="shared" si="9"/>
        <v>14/11/2024</v>
      </c>
      <c r="X40" s="28" t="str">
        <f>RIGHT(Table22[[#This Row],[Date_of_Treatment_Start Cleaned 4]],4)</f>
        <v>2024</v>
      </c>
      <c r="Y40" s="12">
        <v>42956</v>
      </c>
      <c r="Z40" s="15" t="str">
        <f t="shared" si="10"/>
        <v>42956</v>
      </c>
      <c r="AA40" s="15" t="str">
        <f t="shared" si="11"/>
        <v>42956</v>
      </c>
      <c r="AB40" s="15" t="str">
        <f t="shared" si="31"/>
        <v>42956</v>
      </c>
      <c r="AC40" s="15" t="str">
        <f>LEFT(Table22[[#This Row],[Date_of_Surgery Cleaned 3]],10)</f>
        <v>42956</v>
      </c>
      <c r="AD40" s="15" t="str">
        <f t="shared" si="32"/>
        <v>09,08,2017</v>
      </c>
      <c r="AE40" s="10" t="str">
        <f t="shared" si="14"/>
        <v>09/08/2017</v>
      </c>
      <c r="AF40" s="27" t="str">
        <f>RIGHT(Table22[[#This Row],[Date_of_Surgery Cleaned 6]],4)</f>
        <v>2017</v>
      </c>
      <c r="AG40" s="27" t="str">
        <f t="shared" si="33"/>
        <v>2017</v>
      </c>
      <c r="AH40" t="s">
        <v>364</v>
      </c>
      <c r="AI40" s="15" t="str">
        <f t="shared" si="16"/>
        <v>2024/05/10</v>
      </c>
      <c r="AJ40" s="15" t="str">
        <f t="shared" si="17"/>
        <v>2024/05/10</v>
      </c>
      <c r="AK40" s="15" t="str">
        <f t="shared" si="34"/>
        <v>10,05,2024</v>
      </c>
      <c r="AL40" s="10" t="str">
        <f t="shared" si="35"/>
        <v>10/05/2024</v>
      </c>
      <c r="AM40" s="27" t="str">
        <f>RIGHT(Table22[[#This Row],[Date_of_Discharge Cleaned 4]],4)</f>
        <v>2024</v>
      </c>
      <c r="AN40" s="27" t="str">
        <f t="shared" si="36"/>
        <v>2024</v>
      </c>
      <c r="AO40" s="12">
        <v>44927</v>
      </c>
      <c r="AP40" s="15">
        <f t="shared" si="37"/>
        <v>44927</v>
      </c>
      <c r="AQ40" s="15" t="str">
        <f t="shared" si="22"/>
        <v>44927</v>
      </c>
      <c r="AR40" s="15" t="str">
        <f t="shared" si="38"/>
        <v>01,01,2023</v>
      </c>
      <c r="AS40" s="15" t="str">
        <f t="shared" si="24"/>
        <v>01/01/2023</v>
      </c>
      <c r="AT40" s="10" t="str">
        <f t="shared" si="25"/>
        <v>01/01/2023</v>
      </c>
      <c r="AU40" s="27" t="str">
        <f>RIGHT(Table22[[#This Row],[Follow_up_Visit Cleaned 5]],4)</f>
        <v>2023</v>
      </c>
      <c r="AV40" s="27" t="str">
        <f t="shared" si="39"/>
        <v>2023</v>
      </c>
    </row>
    <row r="41" spans="1:48" x14ac:dyDescent="0.2">
      <c r="A41" t="s">
        <v>365</v>
      </c>
      <c r="B41" t="s">
        <v>366</v>
      </c>
      <c r="C41" s="10" t="str">
        <f t="shared" si="0"/>
        <v>Patient_39</v>
      </c>
      <c r="D41">
        <v>52</v>
      </c>
      <c r="E41" t="s">
        <v>146</v>
      </c>
      <c r="F41" t="s">
        <v>367</v>
      </c>
      <c r="G41" s="15" t="str">
        <f t="shared" si="27"/>
        <v>2024/06/01</v>
      </c>
      <c r="H41" s="15" t="str">
        <f t="shared" si="1"/>
        <v>2024/06/01</v>
      </c>
      <c r="I41" s="15" t="str">
        <f t="shared" si="2"/>
        <v>01/06/2024</v>
      </c>
      <c r="J41" s="10" t="str">
        <f>LEFT(Table22[[#This Row],[Date_of_Admission Cleaned 3]],10)</f>
        <v>01/06/2024</v>
      </c>
      <c r="K41" s="27" t="str">
        <f>RIGHT(Table22[[#This Row],[Date_of_Admission Cleaned 4]],4)</f>
        <v>2024</v>
      </c>
      <c r="L41" s="27" t="str">
        <f t="shared" si="3"/>
        <v>2024</v>
      </c>
      <c r="M41" t="s">
        <v>368</v>
      </c>
      <c r="N41" s="15" t="str">
        <f t="shared" si="4"/>
        <v>18/Aug/21</v>
      </c>
      <c r="O41" s="15" t="str">
        <f t="shared" si="5"/>
        <v>18/Aug/21</v>
      </c>
      <c r="P41" s="10" t="str">
        <f t="shared" si="28"/>
        <v>18/08/2021</v>
      </c>
      <c r="Q41" s="27" t="str">
        <f>RIGHT(Table22[[#This Row],[Date_of_Diagnosis Cleaned 3]],4)</f>
        <v>2021</v>
      </c>
      <c r="R41" s="27" t="str">
        <f t="shared" si="30"/>
        <v>2021</v>
      </c>
      <c r="S41" t="s">
        <v>369</v>
      </c>
      <c r="T41" s="21" t="str">
        <f t="shared" si="7"/>
        <v>16/03/2024</v>
      </c>
      <c r="U41" s="21" t="str">
        <f t="shared" si="29"/>
        <v>16/03/2024</v>
      </c>
      <c r="V41" s="21" t="str">
        <f t="shared" si="8"/>
        <v>16/03/2024</v>
      </c>
      <c r="W41" s="16" t="str">
        <f t="shared" si="9"/>
        <v>16/03/2024</v>
      </c>
      <c r="X41" s="28" t="str">
        <f>RIGHT(Table22[[#This Row],[Date_of_Treatment_Start Cleaned 4]],4)</f>
        <v>2024</v>
      </c>
      <c r="Y41" t="s">
        <v>370</v>
      </c>
      <c r="Z41" s="15" t="str">
        <f t="shared" si="10"/>
        <v>16/11/2019</v>
      </c>
      <c r="AA41" s="15" t="str">
        <f t="shared" si="11"/>
        <v>16/11/2019</v>
      </c>
      <c r="AB41" s="15" t="str">
        <f t="shared" si="31"/>
        <v>16/11/2019</v>
      </c>
      <c r="AC41" s="15" t="str">
        <f>LEFT(Table22[[#This Row],[Date_of_Surgery Cleaned 3]],10)</f>
        <v>16/11/2019</v>
      </c>
      <c r="AD41" s="15" t="str">
        <f t="shared" si="32"/>
        <v>16/11/2019</v>
      </c>
      <c r="AE41" s="10" t="str">
        <f t="shared" si="14"/>
        <v>16/11/2019</v>
      </c>
      <c r="AF41" s="27" t="str">
        <f>RIGHT(Table22[[#This Row],[Date_of_Surgery Cleaned 6]],4)</f>
        <v>2019</v>
      </c>
      <c r="AG41" s="27" t="str">
        <f t="shared" si="33"/>
        <v>2019</v>
      </c>
      <c r="AH41" t="s">
        <v>371</v>
      </c>
      <c r="AI41" s="15" t="str">
        <f t="shared" si="16"/>
        <v>26 August 2024</v>
      </c>
      <c r="AJ41" s="15" t="str">
        <f t="shared" si="17"/>
        <v>26 August 2024</v>
      </c>
      <c r="AK41" s="15" t="str">
        <f t="shared" si="34"/>
        <v>26,08,2024</v>
      </c>
      <c r="AL41" s="10" t="str">
        <f t="shared" si="35"/>
        <v>26/08/2024</v>
      </c>
      <c r="AM41" s="27" t="str">
        <f>RIGHT(Table22[[#This Row],[Date_of_Discharge Cleaned 4]],4)</f>
        <v>2024</v>
      </c>
      <c r="AN41" s="27" t="str">
        <f t="shared" si="36"/>
        <v>2024</v>
      </c>
      <c r="AO41" t="s">
        <v>165</v>
      </c>
      <c r="AP41" s="15" t="str">
        <f t="shared" si="37"/>
        <v>01/02/03</v>
      </c>
      <c r="AQ41" s="15" t="str">
        <f t="shared" si="22"/>
        <v>01/02/03</v>
      </c>
      <c r="AR41" s="15" t="str">
        <f t="shared" si="38"/>
        <v>02,01,2003</v>
      </c>
      <c r="AS41" s="15" t="str">
        <f t="shared" si="24"/>
        <v>02/01/2003</v>
      </c>
      <c r="AT41" s="10" t="str">
        <f t="shared" si="25"/>
        <v>02/01/2003</v>
      </c>
      <c r="AU41" s="27" t="str">
        <f>RIGHT(Table22[[#This Row],[Follow_up_Visit Cleaned 5]],4)</f>
        <v>2003</v>
      </c>
      <c r="AV41" s="27" t="str">
        <f t="shared" si="39"/>
        <v>2003</v>
      </c>
    </row>
    <row r="42" spans="1:48" ht="14.25" customHeight="1" x14ac:dyDescent="0.2">
      <c r="A42" t="s">
        <v>372</v>
      </c>
      <c r="B42" t="s">
        <v>373</v>
      </c>
      <c r="C42" s="10" t="str">
        <f t="shared" si="0"/>
        <v>Patient_40</v>
      </c>
      <c r="D42">
        <v>77</v>
      </c>
      <c r="E42" t="s">
        <v>146</v>
      </c>
      <c r="F42" t="s">
        <v>374</v>
      </c>
      <c r="G42" s="15" t="str">
        <f t="shared" si="27"/>
        <v>28/Jul/2024</v>
      </c>
      <c r="H42" s="15" t="str">
        <f t="shared" si="1"/>
        <v>28/Jul/2024</v>
      </c>
      <c r="I42" s="15" t="str">
        <f t="shared" si="2"/>
        <v>28/07/2024</v>
      </c>
      <c r="J42" s="10" t="str">
        <f>LEFT(Table22[[#This Row],[Date_of_Admission Cleaned 3]],10)</f>
        <v>28/07/2024</v>
      </c>
      <c r="K42" s="27" t="str">
        <f>RIGHT(Table22[[#This Row],[Date_of_Admission Cleaned 4]],4)</f>
        <v>2024</v>
      </c>
      <c r="L42" s="27" t="str">
        <f t="shared" si="3"/>
        <v>2024</v>
      </c>
      <c r="M42">
        <v>44700</v>
      </c>
      <c r="N42" s="15" t="str">
        <f t="shared" si="4"/>
        <v>44700</v>
      </c>
      <c r="O42" s="15" t="str">
        <f t="shared" si="5"/>
        <v>44700</v>
      </c>
      <c r="P42" s="10" t="str">
        <f t="shared" si="28"/>
        <v>19/05/2022</v>
      </c>
      <c r="Q42" s="27" t="str">
        <f>RIGHT(Table22[[#This Row],[Date_of_Diagnosis Cleaned 3]],4)</f>
        <v>2022</v>
      </c>
      <c r="R42" s="27" t="str">
        <f t="shared" si="30"/>
        <v>2022</v>
      </c>
      <c r="S42" t="s">
        <v>375</v>
      </c>
      <c r="T42" s="21" t="str">
        <f t="shared" si="7"/>
        <v>16/Nov/2024</v>
      </c>
      <c r="U42" s="21" t="str">
        <f t="shared" si="29"/>
        <v>16/11/2024</v>
      </c>
      <c r="V42" s="21" t="str">
        <f t="shared" si="8"/>
        <v>16/11/2024</v>
      </c>
      <c r="W42" s="16" t="str">
        <f t="shared" si="9"/>
        <v>16/11/2024</v>
      </c>
      <c r="X42" s="28" t="str">
        <f>RIGHT(Table22[[#This Row],[Date_of_Treatment_Start Cleaned 4]],4)</f>
        <v>2024</v>
      </c>
      <c r="Y42" t="s">
        <v>376</v>
      </c>
      <c r="Z42" s="15" t="str">
        <f t="shared" si="10"/>
        <v>30/5/2019</v>
      </c>
      <c r="AA42" s="15" t="str">
        <f t="shared" si="11"/>
        <v>30/5/2019</v>
      </c>
      <c r="AB42" s="15" t="str">
        <f t="shared" si="31"/>
        <v>30/05/2019</v>
      </c>
      <c r="AC42" s="15" t="str">
        <f>LEFT(Table22[[#This Row],[Date_of_Surgery Cleaned 3]],10)</f>
        <v>30/05/2019</v>
      </c>
      <c r="AD42" s="15" t="str">
        <f t="shared" si="32"/>
        <v>30/05/2019</v>
      </c>
      <c r="AE42" s="10" t="str">
        <f t="shared" si="14"/>
        <v>30/05/2019</v>
      </c>
      <c r="AF42" s="27" t="str">
        <f>RIGHT(Table22[[#This Row],[Date_of_Surgery Cleaned 6]],4)</f>
        <v>2019</v>
      </c>
      <c r="AG42" s="27" t="str">
        <f t="shared" si="33"/>
        <v>2019</v>
      </c>
      <c r="AH42" t="s">
        <v>377</v>
      </c>
      <c r="AI42" s="15" t="str">
        <f t="shared" si="16"/>
        <v>2024/09/03</v>
      </c>
      <c r="AJ42" s="15" t="str">
        <f t="shared" si="17"/>
        <v>2024/09/03</v>
      </c>
      <c r="AK42" s="15" t="str">
        <f t="shared" si="34"/>
        <v>03,09,2024</v>
      </c>
      <c r="AL42" s="10" t="str">
        <f t="shared" si="35"/>
        <v>03/09/2024</v>
      </c>
      <c r="AM42" s="27" t="str">
        <f>RIGHT(Table22[[#This Row],[Date_of_Discharge Cleaned 4]],4)</f>
        <v>2024</v>
      </c>
      <c r="AN42" s="27" t="str">
        <f t="shared" si="36"/>
        <v>2024</v>
      </c>
      <c r="AO42" s="12">
        <v>44927</v>
      </c>
      <c r="AP42" s="15">
        <f t="shared" si="37"/>
        <v>44927</v>
      </c>
      <c r="AQ42" s="15" t="str">
        <f t="shared" si="22"/>
        <v>44927</v>
      </c>
      <c r="AR42" s="15" t="str">
        <f t="shared" si="38"/>
        <v>01,01,2023</v>
      </c>
      <c r="AS42" s="15" t="str">
        <f t="shared" si="24"/>
        <v>01/01/2023</v>
      </c>
      <c r="AT42" s="10" t="str">
        <f t="shared" si="25"/>
        <v>01/01/2023</v>
      </c>
      <c r="AU42" s="27" t="str">
        <f>RIGHT(Table22[[#This Row],[Follow_up_Visit Cleaned 5]],4)</f>
        <v>2023</v>
      </c>
      <c r="AV42" s="27" t="str">
        <f t="shared" si="39"/>
        <v>2023</v>
      </c>
    </row>
    <row r="43" spans="1:48" ht="14.25" customHeight="1" x14ac:dyDescent="0.2">
      <c r="A43" t="s">
        <v>378</v>
      </c>
      <c r="B43" t="s">
        <v>379</v>
      </c>
      <c r="C43" s="10" t="str">
        <f t="shared" si="0"/>
        <v>Patient_41</v>
      </c>
      <c r="D43">
        <v>41</v>
      </c>
      <c r="E43" t="s">
        <v>160</v>
      </c>
      <c r="F43" t="s">
        <v>380</v>
      </c>
      <c r="G43" s="15" t="str">
        <f t="shared" si="27"/>
        <v>27/October/2024</v>
      </c>
      <c r="H43" s="15" t="str">
        <f t="shared" si="1"/>
        <v>27/October/2024</v>
      </c>
      <c r="I43" s="15" t="str">
        <f t="shared" si="2"/>
        <v>27/10/2024</v>
      </c>
      <c r="J43" s="10" t="str">
        <f>LEFT(Table22[[#This Row],[Date_of_Admission Cleaned 3]],10)</f>
        <v>27/10/2024</v>
      </c>
      <c r="K43" s="27" t="str">
        <f>RIGHT(Table22[[#This Row],[Date_of_Admission Cleaned 4]],4)</f>
        <v>2024</v>
      </c>
      <c r="L43" s="27" t="str">
        <f t="shared" si="3"/>
        <v>2024</v>
      </c>
      <c r="M43" t="s">
        <v>381</v>
      </c>
      <c r="N43" s="15" t="str">
        <f t="shared" si="4"/>
        <v>Sunday//December/9//2018</v>
      </c>
      <c r="O43" s="15" t="str">
        <f t="shared" si="5"/>
        <v>12/09/2018</v>
      </c>
      <c r="P43" s="10" t="str">
        <f t="shared" si="28"/>
        <v>09/12/2018</v>
      </c>
      <c r="Q43" s="27" t="str">
        <f>RIGHT(Table22[[#This Row],[Date_of_Diagnosis Cleaned 3]],4)</f>
        <v>2018</v>
      </c>
      <c r="R43" s="27" t="str">
        <f t="shared" si="30"/>
        <v>2018</v>
      </c>
      <c r="S43" t="s">
        <v>382</v>
      </c>
      <c r="T43" s="21" t="str">
        <f t="shared" si="7"/>
        <v>17/Feb/2023</v>
      </c>
      <c r="U43" s="21" t="str">
        <f t="shared" si="29"/>
        <v>17/02/2023</v>
      </c>
      <c r="V43" s="21" t="str">
        <f t="shared" si="8"/>
        <v>17/02/2023</v>
      </c>
      <c r="W43" s="16" t="str">
        <f t="shared" si="9"/>
        <v>17/02/2023</v>
      </c>
      <c r="X43" s="28" t="str">
        <f>RIGHT(Table22[[#This Row],[Date_of_Treatment_Start Cleaned 4]],4)</f>
        <v>2023</v>
      </c>
      <c r="Y43" s="12">
        <v>43507</v>
      </c>
      <c r="Z43" s="15" t="str">
        <f t="shared" si="10"/>
        <v>43507</v>
      </c>
      <c r="AA43" s="15" t="str">
        <f t="shared" si="11"/>
        <v>43507</v>
      </c>
      <c r="AB43" s="15" t="str">
        <f t="shared" si="31"/>
        <v>43507</v>
      </c>
      <c r="AC43" s="15" t="str">
        <f>LEFT(Table22[[#This Row],[Date_of_Surgery Cleaned 3]],10)</f>
        <v>43507</v>
      </c>
      <c r="AD43" s="15" t="str">
        <f t="shared" si="32"/>
        <v>11,02,2019</v>
      </c>
      <c r="AE43" s="10" t="str">
        <f t="shared" si="14"/>
        <v>11/02/2019</v>
      </c>
      <c r="AF43" s="27" t="str">
        <f>RIGHT(Table22[[#This Row],[Date_of_Surgery Cleaned 6]],4)</f>
        <v>2019</v>
      </c>
      <c r="AG43" s="27" t="str">
        <f t="shared" si="33"/>
        <v>2019</v>
      </c>
      <c r="AH43" t="s">
        <v>383</v>
      </c>
      <c r="AI43" s="15" t="str">
        <f t="shared" si="16"/>
        <v>13/Apr/2023</v>
      </c>
      <c r="AJ43" s="15" t="str">
        <f t="shared" si="17"/>
        <v>13/Apr/2023</v>
      </c>
      <c r="AK43" s="15" t="str">
        <f t="shared" si="34"/>
        <v>13,04,2023</v>
      </c>
      <c r="AL43" s="10" t="str">
        <f t="shared" si="35"/>
        <v>13/04/2023</v>
      </c>
      <c r="AM43" s="27" t="str">
        <f>RIGHT(Table22[[#This Row],[Date_of_Discharge Cleaned 4]],4)</f>
        <v>2023</v>
      </c>
      <c r="AN43" s="27" t="str">
        <f t="shared" si="36"/>
        <v>2023</v>
      </c>
      <c r="AO43">
        <v>44866</v>
      </c>
      <c r="AP43" s="15">
        <f t="shared" si="37"/>
        <v>44866</v>
      </c>
      <c r="AQ43" s="15" t="str">
        <f t="shared" si="22"/>
        <v>44866</v>
      </c>
      <c r="AR43" s="15" t="str">
        <f t="shared" si="38"/>
        <v>01,11,2022</v>
      </c>
      <c r="AS43" s="15" t="str">
        <f t="shared" si="24"/>
        <v>01/11/2022</v>
      </c>
      <c r="AT43" s="10" t="str">
        <f t="shared" si="25"/>
        <v>01/11/2022</v>
      </c>
      <c r="AU43" s="27" t="str">
        <f>RIGHT(Table22[[#This Row],[Follow_up_Visit Cleaned 5]],4)</f>
        <v>2022</v>
      </c>
      <c r="AV43" s="27" t="str">
        <f t="shared" si="39"/>
        <v>2022</v>
      </c>
    </row>
    <row r="44" spans="1:48" ht="14.25" customHeight="1" x14ac:dyDescent="0.2">
      <c r="A44" t="s">
        <v>384</v>
      </c>
      <c r="B44" t="s">
        <v>385</v>
      </c>
      <c r="C44" s="10" t="str">
        <f t="shared" si="0"/>
        <v>Patient_42</v>
      </c>
      <c r="D44">
        <v>68</v>
      </c>
      <c r="E44" t="s">
        <v>160</v>
      </c>
      <c r="F44" t="s">
        <v>386</v>
      </c>
      <c r="G44" s="15" t="str">
        <f t="shared" si="27"/>
        <v>05/Mar/2024</v>
      </c>
      <c r="H44" s="15" t="str">
        <f t="shared" si="1"/>
        <v>05/03/2024</v>
      </c>
      <c r="I44" s="15" t="str">
        <f t="shared" si="2"/>
        <v>03/05/2024</v>
      </c>
      <c r="J44" s="10" t="str">
        <f>LEFT(Table22[[#This Row],[Date_of_Admission Cleaned 3]],10)</f>
        <v>03/05/2024</v>
      </c>
      <c r="K44" s="27" t="str">
        <f>RIGHT(Table22[[#This Row],[Date_of_Admission Cleaned 4]],4)</f>
        <v>2024</v>
      </c>
      <c r="L44" s="27" t="str">
        <f t="shared" si="3"/>
        <v>2024</v>
      </c>
      <c r="M44" t="s">
        <v>1329</v>
      </c>
      <c r="N44" s="15" t="str">
        <f t="shared" si="4"/>
        <v>14/08/2025</v>
      </c>
      <c r="O44" s="15" t="str">
        <f t="shared" si="5"/>
        <v>14/08/2025</v>
      </c>
      <c r="P44" s="10" t="str">
        <f t="shared" si="28"/>
        <v>14/08/2025</v>
      </c>
      <c r="Q44" s="27" t="str">
        <f>RIGHT(Table22[[#This Row],[Date_of_Diagnosis Cleaned 3]],4)</f>
        <v>2025</v>
      </c>
      <c r="R44" s="27" t="str">
        <f t="shared" si="30"/>
        <v>2025</v>
      </c>
      <c r="S44" t="s">
        <v>387</v>
      </c>
      <c r="T44" s="21" t="str">
        <f t="shared" si="7"/>
        <v>18/October/2023</v>
      </c>
      <c r="U44" s="21" t="str">
        <f t="shared" si="29"/>
        <v>18/10/2023</v>
      </c>
      <c r="V44" s="21" t="str">
        <f t="shared" si="8"/>
        <v>18/10/2023</v>
      </c>
      <c r="W44" s="16" t="str">
        <f t="shared" si="9"/>
        <v>18/10/2023</v>
      </c>
      <c r="X44" s="28" t="str">
        <f>RIGHT(Table22[[#This Row],[Date_of_Treatment_Start Cleaned 4]],4)</f>
        <v>2023</v>
      </c>
      <c r="Y44" s="12">
        <v>43507</v>
      </c>
      <c r="Z44" s="15" t="str">
        <f t="shared" si="10"/>
        <v>43507</v>
      </c>
      <c r="AA44" s="15" t="str">
        <f t="shared" si="11"/>
        <v>43507</v>
      </c>
      <c r="AB44" s="15" t="str">
        <f t="shared" si="31"/>
        <v>43507</v>
      </c>
      <c r="AC44" s="15" t="str">
        <f>LEFT(Table22[[#This Row],[Date_of_Surgery Cleaned 3]],10)</f>
        <v>43507</v>
      </c>
      <c r="AD44" s="15" t="str">
        <f t="shared" si="32"/>
        <v>11,02,2019</v>
      </c>
      <c r="AE44" s="10" t="str">
        <f t="shared" si="14"/>
        <v>11/02/2019</v>
      </c>
      <c r="AF44" s="27" t="str">
        <f>RIGHT(Table22[[#This Row],[Date_of_Surgery Cleaned 6]],4)</f>
        <v>2019</v>
      </c>
      <c r="AG44" s="27" t="str">
        <f t="shared" si="33"/>
        <v>2019</v>
      </c>
      <c r="AI44" s="15" t="str">
        <f t="shared" si="16"/>
        <v>Unknown</v>
      </c>
      <c r="AJ44" s="15" t="str">
        <f t="shared" si="17"/>
        <v>Unknown</v>
      </c>
      <c r="AK44" s="15" t="str">
        <f t="shared" si="34"/>
        <v>Unknown</v>
      </c>
      <c r="AL44" s="10" t="str">
        <f t="shared" si="35"/>
        <v>Unknown</v>
      </c>
      <c r="AM44" s="27" t="str">
        <f>RIGHT(Table22[[#This Row],[Date_of_Discharge Cleaned 4]],4)</f>
        <v>nown</v>
      </c>
      <c r="AN44" s="27" t="str">
        <f t="shared" si="36"/>
        <v>Unknown</v>
      </c>
      <c r="AO44">
        <v>44866</v>
      </c>
      <c r="AP44" s="15">
        <f t="shared" si="37"/>
        <v>44866</v>
      </c>
      <c r="AQ44" s="15" t="str">
        <f t="shared" si="22"/>
        <v>44866</v>
      </c>
      <c r="AR44" s="15" t="str">
        <f t="shared" si="38"/>
        <v>01,11,2022</v>
      </c>
      <c r="AS44" s="15" t="str">
        <f t="shared" si="24"/>
        <v>01/11/2022</v>
      </c>
      <c r="AT44" s="10" t="str">
        <f t="shared" si="25"/>
        <v>01/11/2022</v>
      </c>
      <c r="AU44" s="27" t="str">
        <f>RIGHT(Table22[[#This Row],[Follow_up_Visit Cleaned 5]],4)</f>
        <v>2022</v>
      </c>
      <c r="AV44" s="27" t="str">
        <f t="shared" si="39"/>
        <v>2022</v>
      </c>
    </row>
    <row r="45" spans="1:48" ht="14.25" customHeight="1" x14ac:dyDescent="0.2">
      <c r="A45" t="s">
        <v>388</v>
      </c>
      <c r="B45" t="s">
        <v>389</v>
      </c>
      <c r="C45" s="10" t="str">
        <f t="shared" si="0"/>
        <v>Patient_43</v>
      </c>
      <c r="D45">
        <v>78</v>
      </c>
      <c r="E45" t="s">
        <v>160</v>
      </c>
      <c r="F45" t="s">
        <v>147</v>
      </c>
      <c r="G45" s="15" t="str">
        <f t="shared" si="27"/>
        <v>12/13/2023</v>
      </c>
      <c r="H45" s="15" t="str">
        <f t="shared" si="1"/>
        <v>12/13/2023</v>
      </c>
      <c r="I45" s="15" t="str">
        <f t="shared" si="2"/>
        <v>13/12/2023</v>
      </c>
      <c r="J45" s="10" t="str">
        <f>LEFT(Table22[[#This Row],[Date_of_Admission Cleaned 3]],10)</f>
        <v>13/12/2023</v>
      </c>
      <c r="K45" s="27" t="str">
        <f>RIGHT(Table22[[#This Row],[Date_of_Admission Cleaned 4]],4)</f>
        <v>2023</v>
      </c>
      <c r="L45" s="27" t="str">
        <f t="shared" si="3"/>
        <v>2023</v>
      </c>
      <c r="M45" t="s">
        <v>390</v>
      </c>
      <c r="N45" s="15" t="str">
        <f t="shared" si="4"/>
        <v>2017/11/26</v>
      </c>
      <c r="O45" s="15" t="str">
        <f t="shared" si="5"/>
        <v>2017/11/26</v>
      </c>
      <c r="P45" s="10" t="str">
        <f t="shared" si="28"/>
        <v>26/11/2017</v>
      </c>
      <c r="Q45" s="27" t="str">
        <f>RIGHT(Table22[[#This Row],[Date_of_Diagnosis Cleaned 3]],4)</f>
        <v>2017</v>
      </c>
      <c r="R45" s="27" t="str">
        <f t="shared" si="30"/>
        <v>2017</v>
      </c>
      <c r="S45" t="s">
        <v>391</v>
      </c>
      <c r="T45" s="21" t="str">
        <f t="shared" si="7"/>
        <v>18/October/2024</v>
      </c>
      <c r="U45" s="21" t="str">
        <f t="shared" si="29"/>
        <v>18/10/2024</v>
      </c>
      <c r="V45" s="21" t="str">
        <f t="shared" si="8"/>
        <v>18/10/2024</v>
      </c>
      <c r="W45" s="16" t="str">
        <f t="shared" si="9"/>
        <v>18/10/2024</v>
      </c>
      <c r="X45" s="28" t="str">
        <f>RIGHT(Table22[[#This Row],[Date_of_Treatment_Start Cleaned 4]],4)</f>
        <v>2024</v>
      </c>
      <c r="Y45" t="s">
        <v>392</v>
      </c>
      <c r="Z45" s="15" t="str">
        <f t="shared" si="10"/>
        <v>10/4/2018</v>
      </c>
      <c r="AA45" s="15" t="str">
        <f t="shared" si="11"/>
        <v>10/4/2018</v>
      </c>
      <c r="AB45" s="15" t="str">
        <f t="shared" si="31"/>
        <v>10/04/2018</v>
      </c>
      <c r="AC45" s="15" t="str">
        <f>LEFT(Table22[[#This Row],[Date_of_Surgery Cleaned 3]],10)</f>
        <v>10/04/2018</v>
      </c>
      <c r="AD45" s="15" t="str">
        <f t="shared" si="32"/>
        <v>04,10,2018</v>
      </c>
      <c r="AE45" s="10" t="str">
        <f t="shared" si="14"/>
        <v>04/10/2018</v>
      </c>
      <c r="AF45" s="27" t="str">
        <f>RIGHT(Table22[[#This Row],[Date_of_Surgery Cleaned 6]],4)</f>
        <v>2018</v>
      </c>
      <c r="AG45" s="27" t="str">
        <f t="shared" si="33"/>
        <v>2018</v>
      </c>
      <c r="AH45" t="s">
        <v>393</v>
      </c>
      <c r="AI45" s="15" t="str">
        <f t="shared" si="16"/>
        <v>31/Oct/2023</v>
      </c>
      <c r="AJ45" s="15" t="str">
        <f t="shared" si="17"/>
        <v>31/Oct/2023</v>
      </c>
      <c r="AK45" s="15" t="str">
        <f t="shared" si="34"/>
        <v>31,10,2023</v>
      </c>
      <c r="AL45" s="10" t="str">
        <f t="shared" si="35"/>
        <v>31/10/2023</v>
      </c>
      <c r="AM45" s="27" t="str">
        <f>RIGHT(Table22[[#This Row],[Date_of_Discharge Cleaned 4]],4)</f>
        <v>2023</v>
      </c>
      <c r="AN45" s="27" t="str">
        <f t="shared" si="36"/>
        <v>2023</v>
      </c>
      <c r="AO45" t="s">
        <v>187</v>
      </c>
      <c r="AP45" s="15" t="str">
        <f t="shared" si="37"/>
        <v>03/04/2023</v>
      </c>
      <c r="AQ45" s="15" t="str">
        <f t="shared" si="22"/>
        <v>03/04/2023</v>
      </c>
      <c r="AR45" s="15" t="str">
        <f t="shared" si="38"/>
        <v>04,03,2023</v>
      </c>
      <c r="AS45" s="15" t="str">
        <f t="shared" si="24"/>
        <v>04/03/2023</v>
      </c>
      <c r="AT45" s="10" t="str">
        <f t="shared" si="25"/>
        <v>04/03/2023</v>
      </c>
      <c r="AU45" s="27" t="str">
        <f>RIGHT(Table22[[#This Row],[Follow_up_Visit Cleaned 5]],4)</f>
        <v>2023</v>
      </c>
      <c r="AV45" s="27" t="str">
        <f t="shared" si="39"/>
        <v>2023</v>
      </c>
    </row>
    <row r="46" spans="1:48" ht="14.25" customHeight="1" x14ac:dyDescent="0.2">
      <c r="A46" t="s">
        <v>394</v>
      </c>
      <c r="B46" t="s">
        <v>395</v>
      </c>
      <c r="C46" s="10" t="str">
        <f t="shared" si="0"/>
        <v>Patient_44</v>
      </c>
      <c r="D46">
        <v>80</v>
      </c>
      <c r="E46" t="s">
        <v>160</v>
      </c>
      <c r="F46" t="s">
        <v>396</v>
      </c>
      <c r="G46" s="15" t="str">
        <f t="shared" si="27"/>
        <v>2023/01/26</v>
      </c>
      <c r="H46" s="15" t="str">
        <f t="shared" si="1"/>
        <v>2023/01/26</v>
      </c>
      <c r="I46" s="15" t="str">
        <f t="shared" si="2"/>
        <v>26/01/2023</v>
      </c>
      <c r="J46" s="10" t="str">
        <f>LEFT(Table22[[#This Row],[Date_of_Admission Cleaned 3]],10)</f>
        <v>26/01/2023</v>
      </c>
      <c r="K46" s="27" t="str">
        <f>RIGHT(Table22[[#This Row],[Date_of_Admission Cleaned 4]],4)</f>
        <v>2023</v>
      </c>
      <c r="L46" s="27" t="str">
        <f t="shared" si="3"/>
        <v>2023</v>
      </c>
      <c r="M46" t="s">
        <v>397</v>
      </c>
      <c r="N46" s="15" t="str">
        <f t="shared" si="4"/>
        <v>11/11/2018</v>
      </c>
      <c r="O46" s="15" t="str">
        <f t="shared" si="5"/>
        <v>11/11/2018</v>
      </c>
      <c r="P46" s="10" t="str">
        <f t="shared" si="28"/>
        <v>11/11/2018</v>
      </c>
      <c r="Q46" s="27" t="str">
        <f>RIGHT(Table22[[#This Row],[Date_of_Diagnosis Cleaned 3]],4)</f>
        <v>2018</v>
      </c>
      <c r="R46" s="27" t="str">
        <f t="shared" si="30"/>
        <v>2018</v>
      </c>
      <c r="S46" t="s">
        <v>398</v>
      </c>
      <c r="T46" s="21" t="str">
        <f t="shared" si="7"/>
        <v>19/12/2024</v>
      </c>
      <c r="U46" s="21" t="str">
        <f t="shared" si="29"/>
        <v>19/12/2024</v>
      </c>
      <c r="V46" s="21" t="str">
        <f t="shared" si="8"/>
        <v>19/12/2024</v>
      </c>
      <c r="W46" s="16" t="str">
        <f t="shared" si="9"/>
        <v>19/12/2024</v>
      </c>
      <c r="X46" s="28" t="str">
        <f>RIGHT(Table22[[#This Row],[Date_of_Treatment_Start Cleaned 4]],4)</f>
        <v>2024</v>
      </c>
      <c r="Y46" t="s">
        <v>399</v>
      </c>
      <c r="Z46" s="15" t="str">
        <f t="shared" si="10"/>
        <v>22/9/2018</v>
      </c>
      <c r="AA46" s="15" t="str">
        <f t="shared" si="11"/>
        <v>22/9/2018</v>
      </c>
      <c r="AB46" s="15" t="str">
        <f t="shared" si="31"/>
        <v>22/09/2018</v>
      </c>
      <c r="AC46" s="15" t="str">
        <f>LEFT(Table22[[#This Row],[Date_of_Surgery Cleaned 3]],10)</f>
        <v>22/09/2018</v>
      </c>
      <c r="AD46" s="15" t="str">
        <f t="shared" si="32"/>
        <v>22/09/2018</v>
      </c>
      <c r="AE46" s="10" t="str">
        <f t="shared" si="14"/>
        <v>22/09/2018</v>
      </c>
      <c r="AF46" s="27" t="str">
        <f>RIGHT(Table22[[#This Row],[Date_of_Surgery Cleaned 6]],4)</f>
        <v>2018</v>
      </c>
      <c r="AG46" s="27" t="str">
        <f t="shared" si="33"/>
        <v>2018</v>
      </c>
      <c r="AI46" s="15" t="str">
        <f t="shared" si="16"/>
        <v>Unknown</v>
      </c>
      <c r="AJ46" s="15" t="str">
        <f t="shared" si="17"/>
        <v>Unknown</v>
      </c>
      <c r="AK46" s="15" t="str">
        <f t="shared" si="34"/>
        <v>Unknown</v>
      </c>
      <c r="AL46" s="10" t="str">
        <f t="shared" si="35"/>
        <v>Unknown</v>
      </c>
      <c r="AM46" s="27" t="str">
        <f>RIGHT(Table22[[#This Row],[Date_of_Discharge Cleaned 4]],4)</f>
        <v>nown</v>
      </c>
      <c r="AN46" s="27" t="str">
        <f t="shared" si="36"/>
        <v>Unknown</v>
      </c>
      <c r="AO46" s="12">
        <v>45144</v>
      </c>
      <c r="AP46" s="15">
        <f t="shared" si="37"/>
        <v>45144</v>
      </c>
      <c r="AQ46" s="15" t="str">
        <f t="shared" si="22"/>
        <v>45144</v>
      </c>
      <c r="AR46" s="15" t="str">
        <f t="shared" si="38"/>
        <v>06,08,2023</v>
      </c>
      <c r="AS46" s="15" t="str">
        <f t="shared" si="24"/>
        <v>06/08/2023</v>
      </c>
      <c r="AT46" s="10" t="str">
        <f t="shared" si="25"/>
        <v>06/08/2023</v>
      </c>
      <c r="AU46" s="27" t="str">
        <f>RIGHT(Table22[[#This Row],[Follow_up_Visit Cleaned 5]],4)</f>
        <v>2023</v>
      </c>
      <c r="AV46" s="27" t="str">
        <f t="shared" si="39"/>
        <v>2023</v>
      </c>
    </row>
    <row r="47" spans="1:48" ht="14.25" customHeight="1" x14ac:dyDescent="0.2">
      <c r="A47" t="s">
        <v>400</v>
      </c>
      <c r="B47" t="s">
        <v>401</v>
      </c>
      <c r="C47" s="10" t="str">
        <f t="shared" si="0"/>
        <v>Patient_45</v>
      </c>
      <c r="D47">
        <v>61</v>
      </c>
      <c r="E47" t="s">
        <v>146</v>
      </c>
      <c r="F47" t="s">
        <v>402</v>
      </c>
      <c r="G47" s="15" t="str">
        <f t="shared" si="27"/>
        <v>2024/04/04</v>
      </c>
      <c r="H47" s="15" t="str">
        <f t="shared" si="1"/>
        <v>2024/04/04</v>
      </c>
      <c r="I47" s="15" t="str">
        <f t="shared" si="2"/>
        <v>04/04/2024</v>
      </c>
      <c r="J47" s="10" t="str">
        <f>LEFT(Table22[[#This Row],[Date_of_Admission Cleaned 3]],10)</f>
        <v>04/04/2024</v>
      </c>
      <c r="K47" s="27" t="str">
        <f>RIGHT(Table22[[#This Row],[Date_of_Admission Cleaned 4]],4)</f>
        <v>2024</v>
      </c>
      <c r="L47" s="27" t="str">
        <f t="shared" si="3"/>
        <v>2024</v>
      </c>
      <c r="M47" t="s">
        <v>403</v>
      </c>
      <c r="N47" s="15" t="str">
        <f t="shared" si="4"/>
        <v>Monday//September/25//2017</v>
      </c>
      <c r="O47" s="15" t="str">
        <f t="shared" si="5"/>
        <v>09/25/2017</v>
      </c>
      <c r="P47" s="10" t="str">
        <f t="shared" si="28"/>
        <v>25/09/2017</v>
      </c>
      <c r="Q47" s="27" t="str">
        <f>RIGHT(Table22[[#This Row],[Date_of_Diagnosis Cleaned 3]],4)</f>
        <v>2017</v>
      </c>
      <c r="R47" s="27" t="str">
        <f t="shared" si="30"/>
        <v>2017</v>
      </c>
      <c r="S47" t="s">
        <v>404</v>
      </c>
      <c r="T47" s="21" t="str">
        <f t="shared" si="7"/>
        <v>19/Aug/2023</v>
      </c>
      <c r="U47" s="21" t="str">
        <f t="shared" si="29"/>
        <v>19/08/2023</v>
      </c>
      <c r="V47" s="21" t="str">
        <f t="shared" si="8"/>
        <v>19/08/2023</v>
      </c>
      <c r="W47" s="16" t="str">
        <f t="shared" si="9"/>
        <v>19/08/2023</v>
      </c>
      <c r="X47" s="28" t="str">
        <f>RIGHT(Table22[[#This Row],[Date_of_Treatment_Start Cleaned 4]],4)</f>
        <v>2023</v>
      </c>
      <c r="Y47" t="s">
        <v>399</v>
      </c>
      <c r="Z47" s="15" t="str">
        <f t="shared" si="10"/>
        <v>22/9/2018</v>
      </c>
      <c r="AA47" s="15" t="str">
        <f t="shared" si="11"/>
        <v>22/9/2018</v>
      </c>
      <c r="AB47" s="15" t="str">
        <f t="shared" si="31"/>
        <v>22/09/2018</v>
      </c>
      <c r="AC47" s="15" t="str">
        <f>LEFT(Table22[[#This Row],[Date_of_Surgery Cleaned 3]],10)</f>
        <v>22/09/2018</v>
      </c>
      <c r="AD47" s="15" t="str">
        <f t="shared" si="32"/>
        <v>22/09/2018</v>
      </c>
      <c r="AE47" s="10" t="str">
        <f t="shared" si="14"/>
        <v>22/09/2018</v>
      </c>
      <c r="AF47" s="27" t="str">
        <f>RIGHT(Table22[[#This Row],[Date_of_Surgery Cleaned 6]],4)</f>
        <v>2018</v>
      </c>
      <c r="AG47" s="27" t="str">
        <f t="shared" si="33"/>
        <v>2018</v>
      </c>
      <c r="AI47" s="15" t="str">
        <f t="shared" si="16"/>
        <v>Unknown</v>
      </c>
      <c r="AJ47" s="15" t="str">
        <f t="shared" si="17"/>
        <v>Unknown</v>
      </c>
      <c r="AK47" s="15" t="str">
        <f t="shared" si="34"/>
        <v>Unknown</v>
      </c>
      <c r="AL47" s="10" t="str">
        <f t="shared" si="35"/>
        <v>Unknown</v>
      </c>
      <c r="AM47" s="27" t="str">
        <f>RIGHT(Table22[[#This Row],[Date_of_Discharge Cleaned 4]],4)</f>
        <v>nown</v>
      </c>
      <c r="AN47" s="27" t="str">
        <f t="shared" si="36"/>
        <v>Unknown</v>
      </c>
      <c r="AO47">
        <v>45488</v>
      </c>
      <c r="AP47" s="15">
        <f t="shared" si="37"/>
        <v>45488</v>
      </c>
      <c r="AQ47" s="15" t="str">
        <f t="shared" si="22"/>
        <v>45488</v>
      </c>
      <c r="AR47" s="15" t="str">
        <f t="shared" si="38"/>
        <v>15,07,2024</v>
      </c>
      <c r="AS47" s="15" t="str">
        <f t="shared" si="24"/>
        <v>15/07/2024</v>
      </c>
      <c r="AT47" s="10" t="str">
        <f t="shared" si="25"/>
        <v>15/07/2024</v>
      </c>
      <c r="AU47" s="27" t="str">
        <f>RIGHT(Table22[[#This Row],[Follow_up_Visit Cleaned 5]],4)</f>
        <v>2024</v>
      </c>
      <c r="AV47" s="27" t="str">
        <f t="shared" si="39"/>
        <v>2024</v>
      </c>
    </row>
    <row r="48" spans="1:48" ht="14.25" customHeight="1" x14ac:dyDescent="0.2">
      <c r="A48" t="s">
        <v>405</v>
      </c>
      <c r="B48" t="s">
        <v>406</v>
      </c>
      <c r="C48" s="10" t="str">
        <f t="shared" si="0"/>
        <v>Patient_46</v>
      </c>
      <c r="D48">
        <v>79</v>
      </c>
      <c r="E48" t="s">
        <v>146</v>
      </c>
      <c r="F48" t="s">
        <v>407</v>
      </c>
      <c r="G48" s="15" t="str">
        <f t="shared" si="27"/>
        <v>01/07/2023</v>
      </c>
      <c r="H48" s="15" t="str">
        <f t="shared" si="1"/>
        <v>01/07/2023</v>
      </c>
      <c r="I48" s="15" t="str">
        <f t="shared" si="2"/>
        <v>07/01/2023</v>
      </c>
      <c r="J48" s="10" t="str">
        <f>LEFT(Table22[[#This Row],[Date_of_Admission Cleaned 3]],10)</f>
        <v>07/01/2023</v>
      </c>
      <c r="K48" s="27" t="str">
        <f>RIGHT(Table22[[#This Row],[Date_of_Admission Cleaned 4]],4)</f>
        <v>2023</v>
      </c>
      <c r="L48" s="27" t="str">
        <f t="shared" si="3"/>
        <v>2023</v>
      </c>
      <c r="M48" t="s">
        <v>390</v>
      </c>
      <c r="N48" s="15" t="str">
        <f t="shared" si="4"/>
        <v>2017/11/26</v>
      </c>
      <c r="O48" s="15" t="str">
        <f t="shared" si="5"/>
        <v>2017/11/26</v>
      </c>
      <c r="P48" s="10" t="str">
        <f t="shared" si="28"/>
        <v>26/11/2017</v>
      </c>
      <c r="Q48" s="27" t="str">
        <f>RIGHT(Table22[[#This Row],[Date_of_Diagnosis Cleaned 3]],4)</f>
        <v>2017</v>
      </c>
      <c r="R48" s="27" t="str">
        <f t="shared" si="30"/>
        <v>2017</v>
      </c>
      <c r="S48" t="s">
        <v>408</v>
      </c>
      <c r="T48" s="21" t="str">
        <f t="shared" si="7"/>
        <v>20/February/2024</v>
      </c>
      <c r="U48" s="21" t="str">
        <f t="shared" si="29"/>
        <v>20/02/2024</v>
      </c>
      <c r="V48" s="21" t="str">
        <f t="shared" si="8"/>
        <v>20/02/2024</v>
      </c>
      <c r="W48" s="16" t="str">
        <f t="shared" si="9"/>
        <v>20/02/2024</v>
      </c>
      <c r="X48" s="28" t="str">
        <f>RIGHT(Table22[[#This Row],[Date_of_Treatment_Start Cleaned 4]],4)</f>
        <v>2024</v>
      </c>
      <c r="Y48" t="s">
        <v>399</v>
      </c>
      <c r="Z48" s="15" t="str">
        <f t="shared" si="10"/>
        <v>22/9/2018</v>
      </c>
      <c r="AA48" s="15" t="str">
        <f t="shared" si="11"/>
        <v>22/9/2018</v>
      </c>
      <c r="AB48" s="15" t="str">
        <f t="shared" si="31"/>
        <v>22/09/2018</v>
      </c>
      <c r="AC48" s="15" t="str">
        <f>LEFT(Table22[[#This Row],[Date_of_Surgery Cleaned 3]],10)</f>
        <v>22/09/2018</v>
      </c>
      <c r="AD48" s="15" t="str">
        <f t="shared" si="32"/>
        <v>22/09/2018</v>
      </c>
      <c r="AE48" s="10" t="str">
        <f t="shared" si="14"/>
        <v>22/09/2018</v>
      </c>
      <c r="AF48" s="27" t="str">
        <f>RIGHT(Table22[[#This Row],[Date_of_Surgery Cleaned 6]],4)</f>
        <v>2018</v>
      </c>
      <c r="AG48" s="27" t="str">
        <f t="shared" si="33"/>
        <v>2018</v>
      </c>
      <c r="AH48" t="s">
        <v>409</v>
      </c>
      <c r="AI48" s="15" t="str">
        <f t="shared" si="16"/>
        <v>01/05/2024</v>
      </c>
      <c r="AJ48" s="15" t="str">
        <f t="shared" si="17"/>
        <v>01/05/2024</v>
      </c>
      <c r="AK48" s="15" t="str">
        <f t="shared" si="34"/>
        <v>05,01,2024</v>
      </c>
      <c r="AL48" s="10" t="str">
        <f t="shared" si="35"/>
        <v>05/01/2024</v>
      </c>
      <c r="AM48" s="27" t="str">
        <f>RIGHT(Table22[[#This Row],[Date_of_Discharge Cleaned 4]],4)</f>
        <v>2024</v>
      </c>
      <c r="AN48" s="27" t="str">
        <f t="shared" si="36"/>
        <v>2024</v>
      </c>
      <c r="AO48" t="s">
        <v>234</v>
      </c>
      <c r="AP48" s="15" t="str">
        <f t="shared" si="37"/>
        <v>Late March 2023</v>
      </c>
      <c r="AQ48" s="15" t="str">
        <f t="shared" si="22"/>
        <v>Late 03/ 2023</v>
      </c>
      <c r="AR48" s="15" t="str">
        <f t="shared" si="38"/>
        <v>Late 03/ 2023</v>
      </c>
      <c r="AS48" s="15" t="str">
        <f t="shared" si="24"/>
        <v>30/03/2023</v>
      </c>
      <c r="AT48" s="10" t="str">
        <f t="shared" si="25"/>
        <v>30/03/2023</v>
      </c>
      <c r="AU48" s="27" t="str">
        <f>RIGHT(Table22[[#This Row],[Follow_up_Visit Cleaned 5]],4)</f>
        <v>2023</v>
      </c>
      <c r="AV48" s="27" t="str">
        <f t="shared" si="39"/>
        <v>2023</v>
      </c>
    </row>
    <row r="49" spans="1:48" ht="14.25" customHeight="1" x14ac:dyDescent="0.2">
      <c r="A49" t="s">
        <v>410</v>
      </c>
      <c r="B49" t="s">
        <v>411</v>
      </c>
      <c r="C49" s="10" t="str">
        <f t="shared" si="0"/>
        <v>Patient_47</v>
      </c>
      <c r="D49">
        <v>34</v>
      </c>
      <c r="E49" t="s">
        <v>160</v>
      </c>
      <c r="F49" t="s">
        <v>412</v>
      </c>
      <c r="G49" s="15" t="str">
        <f t="shared" si="27"/>
        <v>Dec/15//2024</v>
      </c>
      <c r="H49" s="15" t="str">
        <f t="shared" si="1"/>
        <v>12/15/2024</v>
      </c>
      <c r="I49" s="15" t="str">
        <f t="shared" si="2"/>
        <v>15/12/2024</v>
      </c>
      <c r="J49" s="10" t="str">
        <f>LEFT(Table22[[#This Row],[Date_of_Admission Cleaned 3]],10)</f>
        <v>15/12/2024</v>
      </c>
      <c r="K49" s="27" t="str">
        <f>RIGHT(Table22[[#This Row],[Date_of_Admission Cleaned 4]],4)</f>
        <v>2024</v>
      </c>
      <c r="L49" s="27" t="str">
        <f t="shared" si="3"/>
        <v>2024</v>
      </c>
      <c r="M49">
        <v>45288</v>
      </c>
      <c r="N49" s="15" t="str">
        <f t="shared" si="4"/>
        <v>45288</v>
      </c>
      <c r="O49" s="15" t="str">
        <f t="shared" si="5"/>
        <v>45288</v>
      </c>
      <c r="P49" s="10" t="str">
        <f t="shared" si="28"/>
        <v>28/12/2023</v>
      </c>
      <c r="Q49" s="27" t="str">
        <f>RIGHT(Table22[[#This Row],[Date_of_Diagnosis Cleaned 3]],4)</f>
        <v>2023</v>
      </c>
      <c r="R49" s="27" t="str">
        <f t="shared" si="30"/>
        <v>2023</v>
      </c>
      <c r="S49" t="s">
        <v>413</v>
      </c>
      <c r="T49" s="21" t="str">
        <f t="shared" si="7"/>
        <v>20/12/2023</v>
      </c>
      <c r="U49" s="21" t="str">
        <f t="shared" si="29"/>
        <v>20/12/2023</v>
      </c>
      <c r="V49" s="21" t="str">
        <f t="shared" si="8"/>
        <v>20/12/2023</v>
      </c>
      <c r="W49" s="16" t="str">
        <f t="shared" si="9"/>
        <v>20/12/2023</v>
      </c>
      <c r="X49" s="28" t="str">
        <f>RIGHT(Table22[[#This Row],[Date_of_Treatment_Start Cleaned 4]],4)</f>
        <v>2023</v>
      </c>
      <c r="Y49" s="12">
        <v>42857</v>
      </c>
      <c r="Z49" s="15" t="str">
        <f t="shared" si="10"/>
        <v>42857</v>
      </c>
      <c r="AA49" s="15" t="str">
        <f t="shared" si="11"/>
        <v>42857</v>
      </c>
      <c r="AB49" s="15" t="str">
        <f t="shared" si="31"/>
        <v>42857</v>
      </c>
      <c r="AC49" s="15" t="str">
        <f>LEFT(Table22[[#This Row],[Date_of_Surgery Cleaned 3]],10)</f>
        <v>42857</v>
      </c>
      <c r="AD49" s="15" t="str">
        <f t="shared" si="32"/>
        <v>02,05,2017</v>
      </c>
      <c r="AE49" s="10" t="str">
        <f t="shared" si="14"/>
        <v>02/05/2017</v>
      </c>
      <c r="AF49" s="27" t="str">
        <f>RIGHT(Table22[[#This Row],[Date_of_Surgery Cleaned 6]],4)</f>
        <v>2017</v>
      </c>
      <c r="AG49" s="27" t="str">
        <f t="shared" si="33"/>
        <v>2017</v>
      </c>
      <c r="AH49" t="s">
        <v>414</v>
      </c>
      <c r="AI49" s="15" t="str">
        <f t="shared" si="16"/>
        <v>2023-11-06</v>
      </c>
      <c r="AJ49" s="15" t="str">
        <f t="shared" si="17"/>
        <v>2023-11-06</v>
      </c>
      <c r="AK49" s="15" t="str">
        <f t="shared" si="34"/>
        <v>06,11,2023</v>
      </c>
      <c r="AL49" s="10" t="str">
        <f t="shared" si="35"/>
        <v>06/11/2023</v>
      </c>
      <c r="AM49" s="27" t="str">
        <f>RIGHT(Table22[[#This Row],[Date_of_Discharge Cleaned 4]],4)</f>
        <v>2023</v>
      </c>
      <c r="AN49" s="27" t="str">
        <f t="shared" si="36"/>
        <v>2023</v>
      </c>
      <c r="AO49" t="s">
        <v>415</v>
      </c>
      <c r="AP49" s="15" t="str">
        <f t="shared" si="37"/>
        <v>18-Aug-2023</v>
      </c>
      <c r="AQ49" s="15" t="str">
        <f t="shared" si="22"/>
        <v>18-08/-2023</v>
      </c>
      <c r="AR49" s="15" t="str">
        <f t="shared" si="38"/>
        <v>18-08/-2023</v>
      </c>
      <c r="AS49" s="15" t="str">
        <f t="shared" si="24"/>
        <v>18/08//2023</v>
      </c>
      <c r="AT49" s="10" t="str">
        <f t="shared" si="25"/>
        <v>18/08/2023</v>
      </c>
      <c r="AU49" s="27" t="str">
        <f>RIGHT(Table22[[#This Row],[Follow_up_Visit Cleaned 5]],4)</f>
        <v>2023</v>
      </c>
      <c r="AV49" s="27" t="str">
        <f t="shared" si="39"/>
        <v>2023</v>
      </c>
    </row>
    <row r="50" spans="1:48" ht="14.25" customHeight="1" x14ac:dyDescent="0.2">
      <c r="A50" t="s">
        <v>416</v>
      </c>
      <c r="B50" t="s">
        <v>417</v>
      </c>
      <c r="C50" s="10" t="str">
        <f t="shared" si="0"/>
        <v>Patient_48</v>
      </c>
      <c r="D50">
        <v>81</v>
      </c>
      <c r="E50" t="s">
        <v>160</v>
      </c>
      <c r="F50" t="s">
        <v>418</v>
      </c>
      <c r="G50" s="15" t="str">
        <f t="shared" si="27"/>
        <v>2023/12/15</v>
      </c>
      <c r="H50" s="15" t="str">
        <f t="shared" si="1"/>
        <v>2023/12/15</v>
      </c>
      <c r="I50" s="15" t="str">
        <f t="shared" si="2"/>
        <v>15/12/2023</v>
      </c>
      <c r="J50" s="10" t="str">
        <f>LEFT(Table22[[#This Row],[Date_of_Admission Cleaned 3]],10)</f>
        <v>15/12/2023</v>
      </c>
      <c r="K50" s="27" t="str">
        <f>RIGHT(Table22[[#This Row],[Date_of_Admission Cleaned 4]],4)</f>
        <v>2023</v>
      </c>
      <c r="L50" s="27" t="str">
        <f t="shared" si="3"/>
        <v>2023</v>
      </c>
      <c r="M50" t="s">
        <v>419</v>
      </c>
      <c r="N50" s="15" t="str">
        <f t="shared" si="4"/>
        <v>2018/12/10</v>
      </c>
      <c r="O50" s="15" t="str">
        <f t="shared" si="5"/>
        <v>2018/12/10</v>
      </c>
      <c r="P50" s="10" t="str">
        <f t="shared" si="28"/>
        <v>10/12/2018</v>
      </c>
      <c r="Q50" s="27" t="str">
        <f>RIGHT(Table22[[#This Row],[Date_of_Diagnosis Cleaned 3]],4)</f>
        <v>2018</v>
      </c>
      <c r="R50" s="27" t="str">
        <f t="shared" si="30"/>
        <v>2018</v>
      </c>
      <c r="S50" t="s">
        <v>420</v>
      </c>
      <c r="T50" s="21" t="str">
        <f t="shared" si="7"/>
        <v>2023/05/11</v>
      </c>
      <c r="U50" s="21" t="str">
        <f t="shared" si="29"/>
        <v>11/05/2023</v>
      </c>
      <c r="V50" s="21" t="str">
        <f t="shared" si="8"/>
        <v>11/05/2023</v>
      </c>
      <c r="W50" s="16" t="str">
        <f t="shared" si="9"/>
        <v>11/05/2023</v>
      </c>
      <c r="X50" s="28" t="str">
        <f>RIGHT(Table22[[#This Row],[Date_of_Treatment_Start Cleaned 4]],4)</f>
        <v>2023</v>
      </c>
      <c r="Y50" s="12">
        <v>42857</v>
      </c>
      <c r="Z50" s="15" t="str">
        <f t="shared" si="10"/>
        <v>42857</v>
      </c>
      <c r="AA50" s="15" t="str">
        <f t="shared" si="11"/>
        <v>42857</v>
      </c>
      <c r="AB50" s="15" t="str">
        <f t="shared" si="31"/>
        <v>42857</v>
      </c>
      <c r="AC50" s="15" t="str">
        <f>LEFT(Table22[[#This Row],[Date_of_Surgery Cleaned 3]],10)</f>
        <v>42857</v>
      </c>
      <c r="AD50" s="15" t="str">
        <f t="shared" si="32"/>
        <v>02,05,2017</v>
      </c>
      <c r="AE50" s="10" t="str">
        <f t="shared" si="14"/>
        <v>02/05/2017</v>
      </c>
      <c r="AF50" s="27" t="str">
        <f>RIGHT(Table22[[#This Row],[Date_of_Surgery Cleaned 6]],4)</f>
        <v>2017</v>
      </c>
      <c r="AG50" s="27" t="str">
        <f t="shared" si="33"/>
        <v>2017</v>
      </c>
      <c r="AI50" s="15" t="str">
        <f t="shared" si="16"/>
        <v>Unknown</v>
      </c>
      <c r="AJ50" s="15" t="str">
        <f t="shared" si="17"/>
        <v>Unknown</v>
      </c>
      <c r="AK50" s="15" t="str">
        <f t="shared" si="34"/>
        <v>Unknown</v>
      </c>
      <c r="AL50" s="10" t="str">
        <f t="shared" si="35"/>
        <v>Unknown</v>
      </c>
      <c r="AM50" s="27" t="str">
        <f>RIGHT(Table22[[#This Row],[Date_of_Discharge Cleaned 4]],4)</f>
        <v>nown</v>
      </c>
      <c r="AN50" s="27" t="str">
        <f t="shared" si="36"/>
        <v>Unknown</v>
      </c>
      <c r="AO50" t="s">
        <v>415</v>
      </c>
      <c r="AP50" s="15" t="str">
        <f t="shared" si="37"/>
        <v>18-Aug-2023</v>
      </c>
      <c r="AQ50" s="15" t="str">
        <f t="shared" si="22"/>
        <v>18-08/-2023</v>
      </c>
      <c r="AR50" s="15" t="str">
        <f t="shared" si="38"/>
        <v>18-08/-2023</v>
      </c>
      <c r="AS50" s="15" t="str">
        <f t="shared" si="24"/>
        <v>18/08//2023</v>
      </c>
      <c r="AT50" s="10" t="str">
        <f t="shared" si="25"/>
        <v>18/08/2023</v>
      </c>
      <c r="AU50" s="27" t="str">
        <f>RIGHT(Table22[[#This Row],[Follow_up_Visit Cleaned 5]],4)</f>
        <v>2023</v>
      </c>
      <c r="AV50" s="27" t="str">
        <f t="shared" si="39"/>
        <v>2023</v>
      </c>
    </row>
    <row r="51" spans="1:48" ht="14.25" customHeight="1" x14ac:dyDescent="0.2">
      <c r="A51" t="s">
        <v>421</v>
      </c>
      <c r="B51" t="s">
        <v>842</v>
      </c>
      <c r="C51" s="10" t="str">
        <f t="shared" si="0"/>
        <v>Patient_49</v>
      </c>
      <c r="D51">
        <v>81</v>
      </c>
      <c r="E51" t="s">
        <v>160</v>
      </c>
      <c r="F51" t="s">
        <v>422</v>
      </c>
      <c r="G51" s="15" t="str">
        <f t="shared" si="27"/>
        <v>09/Jun/2023</v>
      </c>
      <c r="H51" s="15" t="str">
        <f t="shared" si="1"/>
        <v>09/Jun/2023</v>
      </c>
      <c r="I51" s="15" t="str">
        <f t="shared" si="2"/>
        <v>09/06/2023</v>
      </c>
      <c r="J51" s="10" t="str">
        <f>LEFT(Table22[[#This Row],[Date_of_Admission Cleaned 3]],10)</f>
        <v>09/06/2023</v>
      </c>
      <c r="K51" s="27" t="str">
        <f>RIGHT(Table22[[#This Row],[Date_of_Admission Cleaned 4]],4)</f>
        <v>2023</v>
      </c>
      <c r="L51" s="27" t="str">
        <f t="shared" si="3"/>
        <v>2023</v>
      </c>
      <c r="M51" t="s">
        <v>381</v>
      </c>
      <c r="N51" s="15" t="str">
        <f t="shared" si="4"/>
        <v>Sunday//December/9//2018</v>
      </c>
      <c r="O51" s="15" t="str">
        <f t="shared" si="5"/>
        <v>12/09/2018</v>
      </c>
      <c r="P51" s="10" t="str">
        <f t="shared" si="28"/>
        <v>09/12/2018</v>
      </c>
      <c r="Q51" s="27" t="str">
        <f>RIGHT(Table22[[#This Row],[Date_of_Diagnosis Cleaned 3]],4)</f>
        <v>2018</v>
      </c>
      <c r="R51" s="27" t="str">
        <f t="shared" si="30"/>
        <v>2018</v>
      </c>
      <c r="S51" t="s">
        <v>423</v>
      </c>
      <c r="T51" s="21" t="str">
        <f t="shared" si="7"/>
        <v>2023/05/31</v>
      </c>
      <c r="U51" s="21" t="str">
        <f t="shared" si="29"/>
        <v>31/05/2023</v>
      </c>
      <c r="V51" s="21" t="str">
        <f t="shared" si="8"/>
        <v>31/05/2023</v>
      </c>
      <c r="W51" s="16" t="str">
        <f t="shared" si="9"/>
        <v>31/05/2023</v>
      </c>
      <c r="X51" s="28" t="str">
        <f>RIGHT(Table22[[#This Row],[Date_of_Treatment_Start Cleaned 4]],4)</f>
        <v>2023</v>
      </c>
      <c r="Y51" s="12">
        <v>42857</v>
      </c>
      <c r="Z51" s="15" t="str">
        <f t="shared" si="10"/>
        <v>42857</v>
      </c>
      <c r="AA51" s="15" t="str">
        <f t="shared" si="11"/>
        <v>42857</v>
      </c>
      <c r="AB51" s="15" t="str">
        <f t="shared" si="31"/>
        <v>42857</v>
      </c>
      <c r="AC51" s="15" t="str">
        <f>LEFT(Table22[[#This Row],[Date_of_Surgery Cleaned 3]],10)</f>
        <v>42857</v>
      </c>
      <c r="AD51" s="15" t="str">
        <f t="shared" si="32"/>
        <v>02,05,2017</v>
      </c>
      <c r="AE51" s="10" t="str">
        <f t="shared" si="14"/>
        <v>02/05/2017</v>
      </c>
      <c r="AF51" s="27" t="str">
        <f>RIGHT(Table22[[#This Row],[Date_of_Surgery Cleaned 6]],4)</f>
        <v>2017</v>
      </c>
      <c r="AG51" s="27" t="str">
        <f t="shared" si="33"/>
        <v>2017</v>
      </c>
      <c r="AH51" t="s">
        <v>424</v>
      </c>
      <c r="AI51" s="15" t="str">
        <f t="shared" si="16"/>
        <v>26 December 2024</v>
      </c>
      <c r="AJ51" s="15" t="str">
        <f t="shared" si="17"/>
        <v>26 December 2024</v>
      </c>
      <c r="AK51" s="15" t="str">
        <f t="shared" si="34"/>
        <v>26,12,2024</v>
      </c>
      <c r="AL51" s="10" t="str">
        <f t="shared" si="35"/>
        <v>26/12/2024</v>
      </c>
      <c r="AM51" s="27" t="str">
        <f>RIGHT(Table22[[#This Row],[Date_of_Discharge Cleaned 4]],4)</f>
        <v>2024</v>
      </c>
      <c r="AN51" s="27" t="str">
        <f t="shared" si="36"/>
        <v>2024</v>
      </c>
      <c r="AO51" s="6" t="s">
        <v>951</v>
      </c>
      <c r="AP51" s="15" t="str">
        <f t="shared" si="37"/>
        <v>11-01-2022abc</v>
      </c>
      <c r="AQ51" s="15" t="str">
        <f t="shared" si="22"/>
        <v>11-01-2022abc</v>
      </c>
      <c r="AR51" s="15" t="str">
        <f t="shared" si="38"/>
        <v>11-01-2022abc</v>
      </c>
      <c r="AS51" s="15" t="str">
        <f t="shared" si="24"/>
        <v>11/01/2022abc</v>
      </c>
      <c r="AT51" s="10" t="str">
        <f t="shared" si="25"/>
        <v>11/01/2022</v>
      </c>
      <c r="AU51" s="27" t="str">
        <f>RIGHT(Table22[[#This Row],[Follow_up_Visit Cleaned 5]],4)</f>
        <v>2022</v>
      </c>
      <c r="AV51" s="27" t="str">
        <f t="shared" si="39"/>
        <v>2022</v>
      </c>
    </row>
    <row r="52" spans="1:48" ht="14.25" customHeight="1" x14ac:dyDescent="0.2">
      <c r="A52" t="s">
        <v>425</v>
      </c>
      <c r="B52" t="s">
        <v>426</v>
      </c>
      <c r="C52" s="10" t="str">
        <f t="shared" si="0"/>
        <v>Patient_50</v>
      </c>
      <c r="D52">
        <v>66</v>
      </c>
      <c r="E52" t="s">
        <v>160</v>
      </c>
      <c r="F52" t="s">
        <v>427</v>
      </c>
      <c r="G52" s="15" t="str">
        <f t="shared" si="27"/>
        <v>11/12/2023</v>
      </c>
      <c r="H52" s="15" t="str">
        <f t="shared" si="1"/>
        <v>11/12/2023</v>
      </c>
      <c r="I52" s="15" t="str">
        <f t="shared" si="2"/>
        <v>12/11/2023</v>
      </c>
      <c r="J52" s="10" t="str">
        <f>LEFT(Table22[[#This Row],[Date_of_Admission Cleaned 3]],10)</f>
        <v>12/11/2023</v>
      </c>
      <c r="K52" s="27" t="str">
        <f>RIGHT(Table22[[#This Row],[Date_of_Admission Cleaned 4]],4)</f>
        <v>2023</v>
      </c>
      <c r="L52" s="27" t="str">
        <f t="shared" si="3"/>
        <v>2023</v>
      </c>
      <c r="M52" t="s">
        <v>428</v>
      </c>
      <c r="N52" s="15" t="str">
        <f t="shared" si="4"/>
        <v>Tuesday//July/16//2019</v>
      </c>
      <c r="O52" s="15" t="str">
        <f t="shared" si="5"/>
        <v>07/16/2019</v>
      </c>
      <c r="P52" s="10" t="str">
        <f t="shared" si="28"/>
        <v>16/07/2019</v>
      </c>
      <c r="Q52" s="27" t="str">
        <f>RIGHT(Table22[[#This Row],[Date_of_Diagnosis Cleaned 3]],4)</f>
        <v>2019</v>
      </c>
      <c r="R52" s="27" t="str">
        <f t="shared" si="30"/>
        <v>2019</v>
      </c>
      <c r="S52" t="s">
        <v>429</v>
      </c>
      <c r="T52" s="21" t="str">
        <f t="shared" si="7"/>
        <v>2023/06/01</v>
      </c>
      <c r="U52" s="21" t="str">
        <f t="shared" si="29"/>
        <v>01/06/2023</v>
      </c>
      <c r="V52" s="21" t="str">
        <f t="shared" si="8"/>
        <v>01/06/2023</v>
      </c>
      <c r="W52" s="16" t="str">
        <f t="shared" si="9"/>
        <v>01/06/2023</v>
      </c>
      <c r="X52" s="28" t="str">
        <f>RIGHT(Table22[[#This Row],[Date_of_Treatment_Start Cleaned 4]],4)</f>
        <v>2023</v>
      </c>
      <c r="Y52" t="s">
        <v>430</v>
      </c>
      <c r="Z52" s="15" t="str">
        <f t="shared" si="10"/>
        <v>12/11/2019</v>
      </c>
      <c r="AA52" s="15" t="str">
        <f t="shared" si="11"/>
        <v>12/11/2019</v>
      </c>
      <c r="AB52" s="15" t="str">
        <f t="shared" si="31"/>
        <v>12/11/2019</v>
      </c>
      <c r="AC52" s="15" t="str">
        <f>LEFT(Table22[[#This Row],[Date_of_Surgery Cleaned 3]],10)</f>
        <v>12/11/2019</v>
      </c>
      <c r="AD52" s="15" t="str">
        <f t="shared" si="32"/>
        <v>11,12,2019</v>
      </c>
      <c r="AE52" s="10" t="str">
        <f t="shared" si="14"/>
        <v>11/12/2019</v>
      </c>
      <c r="AF52" s="27" t="str">
        <f>RIGHT(Table22[[#This Row],[Date_of_Surgery Cleaned 6]],4)</f>
        <v>2019</v>
      </c>
      <c r="AG52" s="27" t="str">
        <f t="shared" si="33"/>
        <v>2019</v>
      </c>
      <c r="AH52" t="s">
        <v>198</v>
      </c>
      <c r="AI52" s="15" t="str">
        <f t="shared" si="16"/>
        <v>N/A</v>
      </c>
      <c r="AJ52" s="15" t="str">
        <f t="shared" si="17"/>
        <v>Unknown</v>
      </c>
      <c r="AK52" s="15" t="str">
        <f t="shared" si="34"/>
        <v>Unknown</v>
      </c>
      <c r="AL52" s="10" t="str">
        <f t="shared" si="35"/>
        <v>Unknown</v>
      </c>
      <c r="AM52" s="27" t="str">
        <f>RIGHT(Table22[[#This Row],[Date_of_Discharge Cleaned 4]],4)</f>
        <v>nown</v>
      </c>
      <c r="AN52" s="27" t="str">
        <f t="shared" si="36"/>
        <v>Unknown</v>
      </c>
      <c r="AO52">
        <v>44736</v>
      </c>
      <c r="AP52" s="15">
        <f t="shared" si="37"/>
        <v>44736</v>
      </c>
      <c r="AQ52" s="15" t="str">
        <f t="shared" si="22"/>
        <v>44736</v>
      </c>
      <c r="AR52" s="15" t="str">
        <f t="shared" si="38"/>
        <v>24,06,2022</v>
      </c>
      <c r="AS52" s="15" t="str">
        <f t="shared" si="24"/>
        <v>24/06/2022</v>
      </c>
      <c r="AT52" s="10" t="str">
        <f t="shared" si="25"/>
        <v>24/06/2022</v>
      </c>
      <c r="AU52" s="27" t="str">
        <f>RIGHT(Table22[[#This Row],[Follow_up_Visit Cleaned 5]],4)</f>
        <v>2022</v>
      </c>
      <c r="AV52" s="27" t="str">
        <f t="shared" si="39"/>
        <v>2022</v>
      </c>
    </row>
    <row r="53" spans="1:48" ht="14.25" customHeight="1" x14ac:dyDescent="0.2">
      <c r="A53" t="s">
        <v>431</v>
      </c>
      <c r="B53" t="s">
        <v>432</v>
      </c>
      <c r="C53" s="10" t="str">
        <f t="shared" si="0"/>
        <v>Patient_51</v>
      </c>
      <c r="D53">
        <v>81</v>
      </c>
      <c r="E53" t="s">
        <v>146</v>
      </c>
      <c r="F53" t="s">
        <v>433</v>
      </c>
      <c r="G53" s="15" t="str">
        <f t="shared" si="27"/>
        <v>Apr/05//2023</v>
      </c>
      <c r="H53" s="15" t="str">
        <f t="shared" si="1"/>
        <v>04/05/2023</v>
      </c>
      <c r="I53" s="15" t="str">
        <f t="shared" si="2"/>
        <v>05/04/2023</v>
      </c>
      <c r="J53" s="10" t="str">
        <f>LEFT(Table22[[#This Row],[Date_of_Admission Cleaned 3]],10)</f>
        <v>05/04/2023</v>
      </c>
      <c r="K53" s="27" t="str">
        <f>RIGHT(Table22[[#This Row],[Date_of_Admission Cleaned 4]],4)</f>
        <v>2023</v>
      </c>
      <c r="L53" s="27" t="str">
        <f t="shared" si="3"/>
        <v>2023</v>
      </c>
      <c r="M53" t="s">
        <v>341</v>
      </c>
      <c r="N53" s="15" t="str">
        <f t="shared" si="4"/>
        <v>Saturday//August/27//2016</v>
      </c>
      <c r="O53" s="15" t="str">
        <f t="shared" si="5"/>
        <v>08/27/2016</v>
      </c>
      <c r="P53" s="10" t="str">
        <f t="shared" si="28"/>
        <v>27/08/2016</v>
      </c>
      <c r="Q53" s="27" t="str">
        <f>RIGHT(Table22[[#This Row],[Date_of_Diagnosis Cleaned 3]],4)</f>
        <v>2016</v>
      </c>
      <c r="R53" s="27" t="str">
        <f t="shared" si="30"/>
        <v>2016</v>
      </c>
      <c r="S53" t="s">
        <v>434</v>
      </c>
      <c r="T53" s="21" t="str">
        <f t="shared" si="7"/>
        <v>2023/09/18</v>
      </c>
      <c r="U53" s="21" t="str">
        <f t="shared" si="29"/>
        <v>18/09/2023</v>
      </c>
      <c r="V53" s="21" t="str">
        <f t="shared" si="8"/>
        <v>18/09/2023</v>
      </c>
      <c r="W53" s="16" t="str">
        <f t="shared" si="9"/>
        <v>18/09/2023</v>
      </c>
      <c r="X53" s="28" t="str">
        <f>RIGHT(Table22[[#This Row],[Date_of_Treatment_Start Cleaned 4]],4)</f>
        <v>2023</v>
      </c>
      <c r="Y53" t="s">
        <v>435</v>
      </c>
      <c r="Z53" s="15" t="str">
        <f t="shared" si="10"/>
        <v>11/11/2019</v>
      </c>
      <c r="AA53" s="15" t="str">
        <f t="shared" si="11"/>
        <v>11/11/2019</v>
      </c>
      <c r="AB53" s="15" t="str">
        <f t="shared" si="31"/>
        <v>11/11/2019</v>
      </c>
      <c r="AC53" s="15" t="str">
        <f>LEFT(Table22[[#This Row],[Date_of_Surgery Cleaned 3]],10)</f>
        <v>11/11/2019</v>
      </c>
      <c r="AD53" s="15" t="str">
        <f t="shared" si="32"/>
        <v>11,11,2019</v>
      </c>
      <c r="AE53" s="10" t="str">
        <f t="shared" si="14"/>
        <v>11/11/2019</v>
      </c>
      <c r="AF53" s="27" t="str">
        <f>RIGHT(Table22[[#This Row],[Date_of_Surgery Cleaned 6]],4)</f>
        <v>2019</v>
      </c>
      <c r="AG53" s="27" t="str">
        <f t="shared" si="33"/>
        <v>2019</v>
      </c>
      <c r="AH53" t="s">
        <v>436</v>
      </c>
      <c r="AI53" s="15" t="str">
        <f t="shared" si="16"/>
        <v>2023-10-08</v>
      </c>
      <c r="AJ53" s="15" t="str">
        <f t="shared" si="17"/>
        <v>2023-10-08</v>
      </c>
      <c r="AK53" s="15" t="str">
        <f t="shared" si="34"/>
        <v>08,10,2023</v>
      </c>
      <c r="AL53" s="10" t="str">
        <f t="shared" si="35"/>
        <v>08/10/2023</v>
      </c>
      <c r="AM53" s="27" t="str">
        <f>RIGHT(Table22[[#This Row],[Date_of_Discharge Cleaned 4]],4)</f>
        <v>2023</v>
      </c>
      <c r="AN53" s="27" t="str">
        <f t="shared" si="36"/>
        <v>2023</v>
      </c>
      <c r="AO53">
        <v>44866</v>
      </c>
      <c r="AP53" s="15">
        <f t="shared" si="37"/>
        <v>44866</v>
      </c>
      <c r="AQ53" s="15" t="str">
        <f t="shared" si="22"/>
        <v>44866</v>
      </c>
      <c r="AR53" s="15" t="str">
        <f t="shared" si="38"/>
        <v>01,11,2022</v>
      </c>
      <c r="AS53" s="15" t="str">
        <f t="shared" si="24"/>
        <v>01/11/2022</v>
      </c>
      <c r="AT53" s="10" t="str">
        <f t="shared" si="25"/>
        <v>01/11/2022</v>
      </c>
      <c r="AU53" s="27" t="str">
        <f>RIGHT(Table22[[#This Row],[Follow_up_Visit Cleaned 5]],4)</f>
        <v>2022</v>
      </c>
      <c r="AV53" s="27" t="str">
        <f t="shared" si="39"/>
        <v>2022</v>
      </c>
    </row>
    <row r="54" spans="1:48" ht="14.25" customHeight="1" x14ac:dyDescent="0.2">
      <c r="A54" t="s">
        <v>437</v>
      </c>
      <c r="B54" t="s">
        <v>438</v>
      </c>
      <c r="C54" s="10" t="str">
        <f t="shared" si="0"/>
        <v>Patient_52</v>
      </c>
      <c r="D54">
        <v>70</v>
      </c>
      <c r="E54" t="s">
        <v>160</v>
      </c>
      <c r="F54" t="s">
        <v>147</v>
      </c>
      <c r="G54" s="15" t="str">
        <f t="shared" si="27"/>
        <v>12/13/2023</v>
      </c>
      <c r="H54" s="15" t="str">
        <f t="shared" si="1"/>
        <v>12/13/2023</v>
      </c>
      <c r="I54" s="15" t="str">
        <f t="shared" si="2"/>
        <v>13/12/2023</v>
      </c>
      <c r="J54" s="10" t="str">
        <f>LEFT(Table22[[#This Row],[Date_of_Admission Cleaned 3]],10)</f>
        <v>13/12/2023</v>
      </c>
      <c r="K54" s="27" t="str">
        <f>RIGHT(Table22[[#This Row],[Date_of_Admission Cleaned 4]],4)</f>
        <v>2023</v>
      </c>
      <c r="L54" s="27" t="str">
        <f t="shared" si="3"/>
        <v>2023</v>
      </c>
      <c r="M54" t="s">
        <v>439</v>
      </c>
      <c r="N54" s="15" t="str">
        <f t="shared" si="4"/>
        <v>Tuesday//January/16//2018</v>
      </c>
      <c r="O54" s="15" t="str">
        <f t="shared" si="5"/>
        <v>01/16/2018</v>
      </c>
      <c r="P54" s="10" t="str">
        <f t="shared" si="28"/>
        <v>16/01/2018</v>
      </c>
      <c r="Q54" s="27" t="str">
        <f>RIGHT(Table22[[#This Row],[Date_of_Diagnosis Cleaned 3]],4)</f>
        <v>2018</v>
      </c>
      <c r="R54" s="27" t="str">
        <f t="shared" si="30"/>
        <v>2018</v>
      </c>
      <c r="S54" t="s">
        <v>440</v>
      </c>
      <c r="T54" s="21" t="str">
        <f t="shared" si="7"/>
        <v>2023/10/11</v>
      </c>
      <c r="U54" s="21" t="str">
        <f t="shared" si="29"/>
        <v>11/10/2023</v>
      </c>
      <c r="V54" s="21" t="str">
        <f t="shared" si="8"/>
        <v>11/10/2023</v>
      </c>
      <c r="W54" s="16" t="str">
        <f t="shared" si="9"/>
        <v>11/10/2023</v>
      </c>
      <c r="X54" s="28" t="str">
        <f>RIGHT(Table22[[#This Row],[Date_of_Treatment_Start Cleaned 4]],4)</f>
        <v>2023</v>
      </c>
      <c r="Y54" t="s">
        <v>441</v>
      </c>
      <c r="Z54" s="15" t="str">
        <f t="shared" si="10"/>
        <v>20/6/2019</v>
      </c>
      <c r="AA54" s="15" t="str">
        <f t="shared" si="11"/>
        <v>20/6/2019</v>
      </c>
      <c r="AB54" s="15" t="str">
        <f t="shared" si="31"/>
        <v>20/06/2019</v>
      </c>
      <c r="AC54" s="15" t="str">
        <f>LEFT(Table22[[#This Row],[Date_of_Surgery Cleaned 3]],10)</f>
        <v>20/06/2019</v>
      </c>
      <c r="AD54" s="15" t="str">
        <f t="shared" si="32"/>
        <v>20/06/2019</v>
      </c>
      <c r="AE54" s="10" t="str">
        <f t="shared" si="14"/>
        <v>20/06/2019</v>
      </c>
      <c r="AF54" s="27" t="str">
        <f>RIGHT(Table22[[#This Row],[Date_of_Surgery Cleaned 6]],4)</f>
        <v>2019</v>
      </c>
      <c r="AG54" s="27" t="str">
        <f t="shared" si="33"/>
        <v>2019</v>
      </c>
      <c r="AH54" t="s">
        <v>442</v>
      </c>
      <c r="AI54" s="15" t="str">
        <f t="shared" si="16"/>
        <v>25 February 2023</v>
      </c>
      <c r="AJ54" s="15" t="str">
        <f t="shared" si="17"/>
        <v>25 February 2023</v>
      </c>
      <c r="AK54" s="15" t="str">
        <f t="shared" si="34"/>
        <v>25,02,2023</v>
      </c>
      <c r="AL54" s="10" t="str">
        <f t="shared" si="35"/>
        <v>25/02/2023</v>
      </c>
      <c r="AM54" s="27" t="str">
        <f>RIGHT(Table22[[#This Row],[Date_of_Discharge Cleaned 4]],4)</f>
        <v>2023</v>
      </c>
      <c r="AN54" s="27" t="str">
        <f t="shared" si="36"/>
        <v>2023</v>
      </c>
      <c r="AO54">
        <v>44867</v>
      </c>
      <c r="AP54" s="15">
        <f t="shared" si="37"/>
        <v>44867</v>
      </c>
      <c r="AQ54" s="15" t="str">
        <f t="shared" si="22"/>
        <v>44867</v>
      </c>
      <c r="AR54" s="15" t="str">
        <f t="shared" si="38"/>
        <v>02,11,2022</v>
      </c>
      <c r="AS54" s="15" t="str">
        <f t="shared" si="24"/>
        <v>02/11/2022</v>
      </c>
      <c r="AT54" s="10" t="str">
        <f t="shared" si="25"/>
        <v>02/11/2022</v>
      </c>
      <c r="AU54" s="27" t="str">
        <f>RIGHT(Table22[[#This Row],[Follow_up_Visit Cleaned 5]],4)</f>
        <v>2022</v>
      </c>
      <c r="AV54" s="27" t="str">
        <f t="shared" si="39"/>
        <v>2022</v>
      </c>
    </row>
    <row r="55" spans="1:48" ht="14.25" customHeight="1" x14ac:dyDescent="0.2">
      <c r="A55" t="s">
        <v>443</v>
      </c>
      <c r="B55" t="s">
        <v>444</v>
      </c>
      <c r="C55" s="10" t="str">
        <f t="shared" si="0"/>
        <v>Patient_53</v>
      </c>
      <c r="D55">
        <v>74</v>
      </c>
      <c r="E55" t="s">
        <v>146</v>
      </c>
      <c r="F55" t="s">
        <v>445</v>
      </c>
      <c r="G55" s="15" t="str">
        <f t="shared" si="27"/>
        <v>10/04/2023</v>
      </c>
      <c r="H55" s="15" t="str">
        <f t="shared" si="1"/>
        <v>10/04/2023</v>
      </c>
      <c r="I55" s="15" t="str">
        <f t="shared" si="2"/>
        <v>04/10/2023</v>
      </c>
      <c r="J55" s="10" t="str">
        <f>LEFT(Table22[[#This Row],[Date_of_Admission Cleaned 3]],10)</f>
        <v>04/10/2023</v>
      </c>
      <c r="K55" s="27" t="str">
        <f>RIGHT(Table22[[#This Row],[Date_of_Admission Cleaned 4]],4)</f>
        <v>2023</v>
      </c>
      <c r="L55" s="27" t="str">
        <f t="shared" si="3"/>
        <v>2023</v>
      </c>
      <c r="M55" t="s">
        <v>446</v>
      </c>
      <c r="N55" s="15" t="str">
        <f t="shared" si="4"/>
        <v>21/11/2025</v>
      </c>
      <c r="O55" s="15" t="str">
        <f t="shared" si="5"/>
        <v>21/11/2025</v>
      </c>
      <c r="P55" s="10" t="str">
        <f t="shared" si="28"/>
        <v>21/11/2025</v>
      </c>
      <c r="Q55" s="27" t="str">
        <f>RIGHT(Table22[[#This Row],[Date_of_Diagnosis Cleaned 3]],4)</f>
        <v>2025</v>
      </c>
      <c r="R55" s="27" t="str">
        <f t="shared" si="30"/>
        <v>2025</v>
      </c>
      <c r="S55" t="s">
        <v>447</v>
      </c>
      <c r="T55" s="21" t="str">
        <f t="shared" si="7"/>
        <v>2023/12/06</v>
      </c>
      <c r="U55" s="21" t="str">
        <f t="shared" si="29"/>
        <v>06/12/2023</v>
      </c>
      <c r="V55" s="21" t="str">
        <f t="shared" si="8"/>
        <v>06/12/2023</v>
      </c>
      <c r="W55" s="16" t="str">
        <f t="shared" si="9"/>
        <v>06/12/2023</v>
      </c>
      <c r="X55" s="28" t="str">
        <f>RIGHT(Table22[[#This Row],[Date_of_Treatment_Start Cleaned 4]],4)</f>
        <v>2023</v>
      </c>
      <c r="Y55" t="s">
        <v>448</v>
      </c>
      <c r="Z55" s="15" t="str">
        <f t="shared" si="10"/>
        <v>11/9/2018</v>
      </c>
      <c r="AA55" s="15" t="str">
        <f t="shared" si="11"/>
        <v>11/9/2018</v>
      </c>
      <c r="AB55" s="15" t="str">
        <f t="shared" si="31"/>
        <v>11/09/2018</v>
      </c>
      <c r="AC55" s="15" t="str">
        <f>LEFT(Table22[[#This Row],[Date_of_Surgery Cleaned 3]],10)</f>
        <v>11/09/2018</v>
      </c>
      <c r="AD55" s="15" t="str">
        <f t="shared" si="32"/>
        <v>09,11,2018</v>
      </c>
      <c r="AE55" s="10" t="str">
        <f t="shared" si="14"/>
        <v>09/11/2018</v>
      </c>
      <c r="AF55" s="27" t="str">
        <f>RIGHT(Table22[[#This Row],[Date_of_Surgery Cleaned 6]],4)</f>
        <v>2018</v>
      </c>
      <c r="AG55" s="27" t="str">
        <f t="shared" si="33"/>
        <v>2018</v>
      </c>
      <c r="AH55" t="s">
        <v>449</v>
      </c>
      <c r="AI55" s="15" t="str">
        <f t="shared" si="16"/>
        <v>10/27/2023</v>
      </c>
      <c r="AJ55" s="15" t="str">
        <f t="shared" si="17"/>
        <v>10/27/2023</v>
      </c>
      <c r="AK55" s="15" t="str">
        <f t="shared" si="34"/>
        <v>27,10,2023</v>
      </c>
      <c r="AL55" s="10" t="str">
        <f t="shared" si="35"/>
        <v>27/10/2023</v>
      </c>
      <c r="AM55" s="27" t="str">
        <f>RIGHT(Table22[[#This Row],[Date_of_Discharge Cleaned 4]],4)</f>
        <v>2023</v>
      </c>
      <c r="AN55" s="27" t="str">
        <f t="shared" si="36"/>
        <v>2023</v>
      </c>
      <c r="AO55" t="s">
        <v>161</v>
      </c>
      <c r="AP55" s="15" t="str">
        <f t="shared" si="37"/>
        <v>April 31, 2022</v>
      </c>
      <c r="AQ55" s="15" t="str">
        <f t="shared" si="22"/>
        <v>04/ 31, 2022</v>
      </c>
      <c r="AR55" s="15" t="str">
        <f t="shared" si="38"/>
        <v>04/ 31, 2022</v>
      </c>
      <c r="AS55" s="15" t="str">
        <f t="shared" si="24"/>
        <v>04/31/2022</v>
      </c>
      <c r="AT55" s="10" t="str">
        <f t="shared" si="25"/>
        <v>04/31/2022</v>
      </c>
      <c r="AU55" s="27" t="str">
        <f>RIGHT(Table22[[#This Row],[Follow_up_Visit Cleaned 5]],4)</f>
        <v>2022</v>
      </c>
      <c r="AV55" s="27" t="str">
        <f t="shared" si="39"/>
        <v>2022</v>
      </c>
    </row>
    <row r="56" spans="1:48" ht="14.25" customHeight="1" x14ac:dyDescent="0.2">
      <c r="A56" t="s">
        <v>450</v>
      </c>
      <c r="B56" t="s">
        <v>843</v>
      </c>
      <c r="C56" s="10" t="str">
        <f t="shared" si="0"/>
        <v>Patient_54&gt;</v>
      </c>
      <c r="D56">
        <v>83</v>
      </c>
      <c r="E56" t="s">
        <v>160</v>
      </c>
      <c r="F56" t="s">
        <v>451</v>
      </c>
      <c r="G56" s="15" t="str">
        <f t="shared" si="27"/>
        <v>2023/12/19</v>
      </c>
      <c r="H56" s="15" t="str">
        <f t="shared" si="1"/>
        <v>2023/12/19</v>
      </c>
      <c r="I56" s="15" t="str">
        <f t="shared" si="2"/>
        <v>19/12/2023</v>
      </c>
      <c r="J56" s="10" t="str">
        <f>LEFT(Table22[[#This Row],[Date_of_Admission Cleaned 3]],10)</f>
        <v>19/12/2023</v>
      </c>
      <c r="K56" s="27" t="str">
        <f>RIGHT(Table22[[#This Row],[Date_of_Admission Cleaned 4]],4)</f>
        <v>2023</v>
      </c>
      <c r="L56" s="27" t="str">
        <f t="shared" si="3"/>
        <v>2023</v>
      </c>
      <c r="M56">
        <v>43229</v>
      </c>
      <c r="N56" s="15" t="str">
        <f t="shared" si="4"/>
        <v>43229</v>
      </c>
      <c r="O56" s="15" t="str">
        <f t="shared" si="5"/>
        <v>43229</v>
      </c>
      <c r="P56" s="10" t="str">
        <f t="shared" si="28"/>
        <v>09/05/2018</v>
      </c>
      <c r="Q56" s="27" t="str">
        <f>RIGHT(Table22[[#This Row],[Date_of_Diagnosis Cleaned 3]],4)</f>
        <v>2018</v>
      </c>
      <c r="R56" s="27" t="str">
        <f t="shared" si="30"/>
        <v>2018</v>
      </c>
      <c r="S56" t="s">
        <v>452</v>
      </c>
      <c r="T56" s="21" t="str">
        <f t="shared" si="7"/>
        <v>2023/01/01</v>
      </c>
      <c r="U56" s="21" t="str">
        <f t="shared" si="29"/>
        <v>01/01/2023</v>
      </c>
      <c r="V56" s="21" t="str">
        <f t="shared" si="8"/>
        <v>01/01/2023</v>
      </c>
      <c r="W56" s="16" t="str">
        <f t="shared" si="9"/>
        <v>01/01/2023</v>
      </c>
      <c r="X56" s="28" t="str">
        <f>RIGHT(Table22[[#This Row],[Date_of_Treatment_Start Cleaned 4]],4)</f>
        <v>2023</v>
      </c>
      <c r="Y56" s="12">
        <v>43140</v>
      </c>
      <c r="Z56" s="15" t="str">
        <f t="shared" si="10"/>
        <v>43140</v>
      </c>
      <c r="AA56" s="15" t="str">
        <f t="shared" si="11"/>
        <v>43140</v>
      </c>
      <c r="AB56" s="15" t="str">
        <f t="shared" si="31"/>
        <v>43140</v>
      </c>
      <c r="AC56" s="15" t="str">
        <f>LEFT(Table22[[#This Row],[Date_of_Surgery Cleaned 3]],10)</f>
        <v>43140</v>
      </c>
      <c r="AD56" s="15" t="str">
        <f t="shared" si="32"/>
        <v>09,02,2018</v>
      </c>
      <c r="AE56" s="10" t="str">
        <f t="shared" si="14"/>
        <v>09/02/2018</v>
      </c>
      <c r="AF56" s="27" t="str">
        <f>RIGHT(Table22[[#This Row],[Date_of_Surgery Cleaned 6]],4)</f>
        <v>2018</v>
      </c>
      <c r="AG56" s="27" t="str">
        <f t="shared" si="33"/>
        <v>2018</v>
      </c>
      <c r="AH56" s="12">
        <v>45580</v>
      </c>
      <c r="AI56" s="15">
        <f t="shared" si="16"/>
        <v>45580</v>
      </c>
      <c r="AJ56" s="15">
        <f t="shared" si="17"/>
        <v>45580</v>
      </c>
      <c r="AK56" s="15" t="str">
        <f t="shared" si="34"/>
        <v>15,10,2024</v>
      </c>
      <c r="AL56" s="10" t="str">
        <f t="shared" si="35"/>
        <v>15/10/2024</v>
      </c>
      <c r="AM56" s="27" t="str">
        <f>RIGHT(Table22[[#This Row],[Date_of_Discharge Cleaned 4]],4)</f>
        <v>2024</v>
      </c>
      <c r="AN56" s="27" t="str">
        <f t="shared" si="36"/>
        <v>2024</v>
      </c>
      <c r="AO56" t="s">
        <v>187</v>
      </c>
      <c r="AP56" s="15" t="str">
        <f t="shared" si="37"/>
        <v>03/04/2023</v>
      </c>
      <c r="AQ56" s="15" t="str">
        <f t="shared" si="22"/>
        <v>03/04/2023</v>
      </c>
      <c r="AR56" s="15" t="str">
        <f t="shared" si="38"/>
        <v>04,03,2023</v>
      </c>
      <c r="AS56" s="15" t="str">
        <f t="shared" si="24"/>
        <v>04/03/2023</v>
      </c>
      <c r="AT56" s="10" t="str">
        <f t="shared" si="25"/>
        <v>04/03/2023</v>
      </c>
      <c r="AU56" s="27" t="str">
        <f>RIGHT(Table22[[#This Row],[Follow_up_Visit Cleaned 5]],4)</f>
        <v>2023</v>
      </c>
      <c r="AV56" s="27" t="str">
        <f t="shared" si="39"/>
        <v>2023</v>
      </c>
    </row>
    <row r="57" spans="1:48" ht="14.25" customHeight="1" x14ac:dyDescent="0.2">
      <c r="A57" t="s">
        <v>453</v>
      </c>
      <c r="B57" t="s">
        <v>454</v>
      </c>
      <c r="C57" s="10" t="str">
        <f t="shared" si="0"/>
        <v>Patient_55</v>
      </c>
      <c r="D57">
        <v>40</v>
      </c>
      <c r="E57" t="s">
        <v>146</v>
      </c>
      <c r="F57" t="s">
        <v>455</v>
      </c>
      <c r="G57" s="15" t="str">
        <f t="shared" si="27"/>
        <v>08/Sep/2023</v>
      </c>
      <c r="H57" s="15" t="str">
        <f t="shared" si="1"/>
        <v>08/09/2023</v>
      </c>
      <c r="I57" s="15" t="str">
        <f t="shared" si="2"/>
        <v>09/08/2023</v>
      </c>
      <c r="J57" s="10" t="str">
        <f>LEFT(Table22[[#This Row],[Date_of_Admission Cleaned 3]],10)</f>
        <v>09/08/2023</v>
      </c>
      <c r="K57" s="27" t="str">
        <f>RIGHT(Table22[[#This Row],[Date_of_Admission Cleaned 4]],4)</f>
        <v>2023</v>
      </c>
      <c r="L57" s="27" t="str">
        <f t="shared" si="3"/>
        <v>2023</v>
      </c>
      <c r="M57" t="s">
        <v>198</v>
      </c>
      <c r="N57" s="15" t="str">
        <f t="shared" si="4"/>
        <v>Unknown</v>
      </c>
      <c r="O57" s="15" t="str">
        <f t="shared" si="5"/>
        <v>Unknown</v>
      </c>
      <c r="P57" s="10" t="str">
        <f t="shared" si="28"/>
        <v>Unknown</v>
      </c>
      <c r="Q57" s="27" t="str">
        <f>RIGHT(Table22[[#This Row],[Date_of_Diagnosis Cleaned 3]],4)</f>
        <v>nown</v>
      </c>
      <c r="R57" s="27" t="str">
        <f t="shared" si="30"/>
        <v>Unknown</v>
      </c>
      <c r="S57" t="s">
        <v>456</v>
      </c>
      <c r="T57" s="21" t="str">
        <f t="shared" si="7"/>
        <v>2023/04/29</v>
      </c>
      <c r="U57" s="21" t="str">
        <f t="shared" si="29"/>
        <v>29/04/2023</v>
      </c>
      <c r="V57" s="21" t="str">
        <f t="shared" si="8"/>
        <v>29/04/2023</v>
      </c>
      <c r="W57" s="16" t="str">
        <f t="shared" si="9"/>
        <v>29/04/2023</v>
      </c>
      <c r="X57" s="28" t="str">
        <f>RIGHT(Table22[[#This Row],[Date_of_Treatment_Start Cleaned 4]],4)</f>
        <v>2023</v>
      </c>
      <c r="Y57" s="12">
        <v>43140</v>
      </c>
      <c r="Z57" s="15" t="str">
        <f t="shared" si="10"/>
        <v>43140</v>
      </c>
      <c r="AA57" s="15" t="str">
        <f t="shared" si="11"/>
        <v>43140</v>
      </c>
      <c r="AB57" s="15" t="str">
        <f t="shared" si="31"/>
        <v>43140</v>
      </c>
      <c r="AC57" s="15" t="str">
        <f>LEFT(Table22[[#This Row],[Date_of_Surgery Cleaned 3]],10)</f>
        <v>43140</v>
      </c>
      <c r="AD57" s="15" t="str">
        <f t="shared" si="32"/>
        <v>09,02,2018</v>
      </c>
      <c r="AE57" s="10" t="str">
        <f t="shared" si="14"/>
        <v>09/02/2018</v>
      </c>
      <c r="AF57" s="27" t="str">
        <f>RIGHT(Table22[[#This Row],[Date_of_Surgery Cleaned 6]],4)</f>
        <v>2018</v>
      </c>
      <c r="AG57" s="27" t="str">
        <f t="shared" si="33"/>
        <v>2018</v>
      </c>
      <c r="AH57" t="s">
        <v>457</v>
      </c>
      <c r="AI57" s="15" t="str">
        <f t="shared" si="16"/>
        <v>27.06.2024</v>
      </c>
      <c r="AJ57" s="15" t="str">
        <f t="shared" si="17"/>
        <v>27.06.2024</v>
      </c>
      <c r="AK57" s="15" t="str">
        <f t="shared" si="34"/>
        <v>27.06.2024</v>
      </c>
      <c r="AL57" s="10" t="str">
        <f t="shared" si="35"/>
        <v>27/06/2024</v>
      </c>
      <c r="AM57" s="27" t="str">
        <f>RIGHT(Table22[[#This Row],[Date_of_Discharge Cleaned 4]],4)</f>
        <v>2024</v>
      </c>
      <c r="AN57" s="27" t="str">
        <f t="shared" si="36"/>
        <v>2024</v>
      </c>
      <c r="AO57" s="6" t="s">
        <v>937</v>
      </c>
      <c r="AP57" s="15" t="str">
        <f t="shared" si="37"/>
        <v>30-02-2023</v>
      </c>
      <c r="AQ57" s="15" t="str">
        <f t="shared" si="22"/>
        <v>30-02-2023</v>
      </c>
      <c r="AR57" s="15" t="str">
        <f t="shared" si="38"/>
        <v>30-02-2023</v>
      </c>
      <c r="AS57" s="15" t="str">
        <f t="shared" si="24"/>
        <v>30/02/2023</v>
      </c>
      <c r="AT57" s="10" t="str">
        <f t="shared" si="25"/>
        <v>30/02/2023</v>
      </c>
      <c r="AU57" s="27" t="str">
        <f>RIGHT(Table22[[#This Row],[Follow_up_Visit Cleaned 5]],4)</f>
        <v>2023</v>
      </c>
      <c r="AV57" s="27" t="str">
        <f t="shared" si="39"/>
        <v>2023</v>
      </c>
    </row>
    <row r="58" spans="1:48" ht="14.25" customHeight="1" x14ac:dyDescent="0.2">
      <c r="A58" t="s">
        <v>458</v>
      </c>
      <c r="B58" t="s">
        <v>459</v>
      </c>
      <c r="C58" s="10" t="str">
        <f t="shared" si="0"/>
        <v>Patient_56</v>
      </c>
      <c r="D58">
        <v>22</v>
      </c>
      <c r="E58" t="s">
        <v>146</v>
      </c>
      <c r="F58" s="12">
        <v>44971</v>
      </c>
      <c r="G58" s="15" t="str">
        <f t="shared" si="27"/>
        <v>44971</v>
      </c>
      <c r="H58" s="15" t="str">
        <f t="shared" si="1"/>
        <v>44971</v>
      </c>
      <c r="I58" s="15" t="str">
        <f t="shared" si="2"/>
        <v>14/02/2023</v>
      </c>
      <c r="J58" s="10" t="str">
        <f>LEFT(Table22[[#This Row],[Date_of_Admission Cleaned 3]],10)</f>
        <v>14/02/2023</v>
      </c>
      <c r="K58" s="27" t="str">
        <f>RIGHT(Table22[[#This Row],[Date_of_Admission Cleaned 4]],4)</f>
        <v>2023</v>
      </c>
      <c r="L58" s="27" t="str">
        <f t="shared" si="3"/>
        <v>2023</v>
      </c>
      <c r="M58" s="12">
        <v>45612</v>
      </c>
      <c r="N58" s="15" t="str">
        <f t="shared" si="4"/>
        <v>45612</v>
      </c>
      <c r="O58" s="15" t="str">
        <f t="shared" si="5"/>
        <v>45612</v>
      </c>
      <c r="P58" s="10" t="str">
        <f t="shared" si="28"/>
        <v>16/11/2024</v>
      </c>
      <c r="Q58" s="27" t="str">
        <f>RIGHT(Table22[[#This Row],[Date_of_Diagnosis Cleaned 3]],4)</f>
        <v>2024</v>
      </c>
      <c r="R58" s="27" t="str">
        <f t="shared" si="30"/>
        <v>2024</v>
      </c>
      <c r="S58" t="s">
        <v>460</v>
      </c>
      <c r="T58" s="21" t="str">
        <f t="shared" si="7"/>
        <v>2023/05/14</v>
      </c>
      <c r="U58" s="21" t="str">
        <f t="shared" si="29"/>
        <v>14/05/2023</v>
      </c>
      <c r="V58" s="21" t="str">
        <f t="shared" si="8"/>
        <v>14/05/2023</v>
      </c>
      <c r="W58" s="16" t="str">
        <f t="shared" si="9"/>
        <v>14/05/2023</v>
      </c>
      <c r="X58" s="28" t="str">
        <f>RIGHT(Table22[[#This Row],[Date_of_Treatment_Start Cleaned 4]],4)</f>
        <v>2023</v>
      </c>
      <c r="Y58" s="12">
        <v>43140</v>
      </c>
      <c r="Z58" s="15" t="str">
        <f t="shared" si="10"/>
        <v>43140</v>
      </c>
      <c r="AA58" s="15" t="str">
        <f t="shared" si="11"/>
        <v>43140</v>
      </c>
      <c r="AB58" s="15" t="str">
        <f t="shared" si="31"/>
        <v>43140</v>
      </c>
      <c r="AC58" s="15" t="str">
        <f>LEFT(Table22[[#This Row],[Date_of_Surgery Cleaned 3]],10)</f>
        <v>43140</v>
      </c>
      <c r="AD58" s="15" t="str">
        <f t="shared" si="32"/>
        <v>09,02,2018</v>
      </c>
      <c r="AE58" s="10" t="str">
        <f t="shared" si="14"/>
        <v>09/02/2018</v>
      </c>
      <c r="AF58" s="27" t="str">
        <f>RIGHT(Table22[[#This Row],[Date_of_Surgery Cleaned 6]],4)</f>
        <v>2018</v>
      </c>
      <c r="AG58" s="27" t="str">
        <f t="shared" si="33"/>
        <v>2018</v>
      </c>
      <c r="AI58" s="15" t="str">
        <f t="shared" si="16"/>
        <v>Unknown</v>
      </c>
      <c r="AJ58" s="15" t="str">
        <f t="shared" si="17"/>
        <v>Unknown</v>
      </c>
      <c r="AK58" s="15" t="str">
        <f t="shared" si="34"/>
        <v>Unknown</v>
      </c>
      <c r="AL58" s="10" t="str">
        <f t="shared" si="35"/>
        <v>Unknown</v>
      </c>
      <c r="AM58" s="27" t="str">
        <f>RIGHT(Table22[[#This Row],[Date_of_Discharge Cleaned 4]],4)</f>
        <v>nown</v>
      </c>
      <c r="AN58" s="27" t="str">
        <f t="shared" si="36"/>
        <v>Unknown</v>
      </c>
      <c r="AO58" t="s">
        <v>461</v>
      </c>
      <c r="AP58" s="15" t="str">
        <f t="shared" si="37"/>
        <v>07/28/2024</v>
      </c>
      <c r="AQ58" s="15" t="str">
        <f t="shared" si="22"/>
        <v>07/28/2024</v>
      </c>
      <c r="AR58" s="15" t="str">
        <f t="shared" si="38"/>
        <v>28,07,2024</v>
      </c>
      <c r="AS58" s="15" t="str">
        <f t="shared" si="24"/>
        <v>28/07/2024</v>
      </c>
      <c r="AT58" s="10" t="str">
        <f t="shared" si="25"/>
        <v>28/07/2024</v>
      </c>
      <c r="AU58" s="27" t="str">
        <f>RIGHT(Table22[[#This Row],[Follow_up_Visit Cleaned 5]],4)</f>
        <v>2024</v>
      </c>
      <c r="AV58" s="27" t="str">
        <f t="shared" si="39"/>
        <v>2024</v>
      </c>
    </row>
    <row r="59" spans="1:48" ht="14.25" customHeight="1" x14ac:dyDescent="0.2">
      <c r="A59" t="s">
        <v>462</v>
      </c>
      <c r="B59" t="s">
        <v>463</v>
      </c>
      <c r="C59" s="10" t="str">
        <f t="shared" si="0"/>
        <v>Patient_57</v>
      </c>
      <c r="D59">
        <v>70</v>
      </c>
      <c r="E59" t="s">
        <v>160</v>
      </c>
      <c r="F59" t="s">
        <v>147</v>
      </c>
      <c r="G59" s="15" t="str">
        <f t="shared" si="27"/>
        <v>12/13/2023</v>
      </c>
      <c r="H59" s="15" t="str">
        <f t="shared" si="1"/>
        <v>12/13/2023</v>
      </c>
      <c r="I59" s="15" t="str">
        <f t="shared" si="2"/>
        <v>13/12/2023</v>
      </c>
      <c r="J59" s="10" t="str">
        <f>LEFT(Table22[[#This Row],[Date_of_Admission Cleaned 3]],10)</f>
        <v>13/12/2023</v>
      </c>
      <c r="K59" s="27" t="str">
        <f>RIGHT(Table22[[#This Row],[Date_of_Admission Cleaned 4]],4)</f>
        <v>2023</v>
      </c>
      <c r="L59" s="27" t="str">
        <f t="shared" si="3"/>
        <v>2023</v>
      </c>
      <c r="M59" t="s">
        <v>198</v>
      </c>
      <c r="N59" s="15" t="str">
        <f t="shared" si="4"/>
        <v>Unknown</v>
      </c>
      <c r="O59" s="15" t="str">
        <f t="shared" si="5"/>
        <v>Unknown</v>
      </c>
      <c r="P59" s="10" t="str">
        <f t="shared" si="28"/>
        <v>Unknown</v>
      </c>
      <c r="Q59" s="27" t="str">
        <f>RIGHT(Table22[[#This Row],[Date_of_Diagnosis Cleaned 3]],4)</f>
        <v>nown</v>
      </c>
      <c r="R59" s="27" t="str">
        <f t="shared" si="30"/>
        <v>Unknown</v>
      </c>
      <c r="S59" t="s">
        <v>464</v>
      </c>
      <c r="T59" s="21" t="str">
        <f t="shared" si="7"/>
        <v>2023/07/02</v>
      </c>
      <c r="U59" s="21" t="str">
        <f t="shared" si="29"/>
        <v>02/07/2023</v>
      </c>
      <c r="V59" s="21" t="str">
        <f t="shared" si="8"/>
        <v>02/07/2023</v>
      </c>
      <c r="W59" s="16" t="str">
        <f t="shared" si="9"/>
        <v>02/07/2023</v>
      </c>
      <c r="X59" s="28" t="str">
        <f>RIGHT(Table22[[#This Row],[Date_of_Treatment_Start Cleaned 4]],4)</f>
        <v>2023</v>
      </c>
      <c r="Y59" s="12">
        <v>43202</v>
      </c>
      <c r="Z59" s="15" t="str">
        <f t="shared" si="10"/>
        <v>43202</v>
      </c>
      <c r="AA59" s="15" t="str">
        <f t="shared" si="11"/>
        <v>43202</v>
      </c>
      <c r="AB59" s="15" t="str">
        <f t="shared" si="31"/>
        <v>43202</v>
      </c>
      <c r="AC59" s="15" t="str">
        <f>LEFT(Table22[[#This Row],[Date_of_Surgery Cleaned 3]],10)</f>
        <v>43202</v>
      </c>
      <c r="AD59" s="15" t="str">
        <f t="shared" si="32"/>
        <v>12,04,2018</v>
      </c>
      <c r="AE59" s="10" t="str">
        <f t="shared" si="14"/>
        <v>12/04/2018</v>
      </c>
      <c r="AF59" s="27" t="str">
        <f>RIGHT(Table22[[#This Row],[Date_of_Surgery Cleaned 6]],4)</f>
        <v>2018</v>
      </c>
      <c r="AG59" s="27" t="str">
        <f t="shared" si="33"/>
        <v>2018</v>
      </c>
      <c r="AH59" t="s">
        <v>465</v>
      </c>
      <c r="AI59" s="15" t="str">
        <f t="shared" si="16"/>
        <v>2023-04-16</v>
      </c>
      <c r="AJ59" s="15" t="str">
        <f t="shared" si="17"/>
        <v>2023-04-16</v>
      </c>
      <c r="AK59" s="15" t="str">
        <f t="shared" si="34"/>
        <v>16,04,2023</v>
      </c>
      <c r="AL59" s="10" t="str">
        <f t="shared" si="35"/>
        <v>16/04/2023</v>
      </c>
      <c r="AM59" s="27" t="str">
        <f>RIGHT(Table22[[#This Row],[Date_of_Discharge Cleaned 4]],4)</f>
        <v>2023</v>
      </c>
      <c r="AN59" s="27" t="str">
        <f t="shared" si="36"/>
        <v>2023</v>
      </c>
      <c r="AO59" t="s">
        <v>165</v>
      </c>
      <c r="AP59" s="15" t="str">
        <f t="shared" si="37"/>
        <v>01/02/03</v>
      </c>
      <c r="AQ59" s="15" t="str">
        <f t="shared" si="22"/>
        <v>01/02/03</v>
      </c>
      <c r="AR59" s="15" t="str">
        <f t="shared" si="38"/>
        <v>02,01,2003</v>
      </c>
      <c r="AS59" s="15" t="str">
        <f t="shared" si="24"/>
        <v>02/01/2003</v>
      </c>
      <c r="AT59" s="10" t="str">
        <f t="shared" si="25"/>
        <v>02/01/2003</v>
      </c>
      <c r="AU59" s="27" t="str">
        <f>RIGHT(Table22[[#This Row],[Follow_up_Visit Cleaned 5]],4)</f>
        <v>2003</v>
      </c>
      <c r="AV59" s="27" t="str">
        <f t="shared" si="39"/>
        <v>2003</v>
      </c>
    </row>
    <row r="60" spans="1:48" ht="14.25" customHeight="1" x14ac:dyDescent="0.2">
      <c r="A60" t="s">
        <v>466</v>
      </c>
      <c r="B60" t="s">
        <v>844</v>
      </c>
      <c r="C60" s="10" t="str">
        <f t="shared" si="0"/>
        <v>Patient_58</v>
      </c>
      <c r="D60">
        <v>26</v>
      </c>
      <c r="E60" t="s">
        <v>160</v>
      </c>
      <c r="F60" t="s">
        <v>467</v>
      </c>
      <c r="G60" s="15" t="str">
        <f t="shared" si="27"/>
        <v>03/07/2024</v>
      </c>
      <c r="H60" s="15" t="str">
        <f t="shared" si="1"/>
        <v>03/07/2024</v>
      </c>
      <c r="I60" s="15" t="str">
        <f t="shared" si="2"/>
        <v>07/03/2024</v>
      </c>
      <c r="J60" s="10" t="str">
        <f>LEFT(Table22[[#This Row],[Date_of_Admission Cleaned 3]],10)</f>
        <v>07/03/2024</v>
      </c>
      <c r="K60" s="27" t="str">
        <f>RIGHT(Table22[[#This Row],[Date_of_Admission Cleaned 4]],4)</f>
        <v>2024</v>
      </c>
      <c r="L60" s="27" t="str">
        <f t="shared" si="3"/>
        <v>2024</v>
      </c>
      <c r="M60" t="s">
        <v>198</v>
      </c>
      <c r="N60" s="15" t="str">
        <f t="shared" si="4"/>
        <v>Unknown</v>
      </c>
      <c r="O60" s="15" t="str">
        <f t="shared" si="5"/>
        <v>Unknown</v>
      </c>
      <c r="P60" s="10" t="str">
        <f t="shared" si="28"/>
        <v>Unknown</v>
      </c>
      <c r="Q60" s="27" t="str">
        <f>RIGHT(Table22[[#This Row],[Date_of_Diagnosis Cleaned 3]],4)</f>
        <v>nown</v>
      </c>
      <c r="R60" s="27" t="str">
        <f t="shared" si="30"/>
        <v>Unknown</v>
      </c>
      <c r="S60" t="s">
        <v>468</v>
      </c>
      <c r="T60" s="21" t="str">
        <f t="shared" si="7"/>
        <v>2023/12/25</v>
      </c>
      <c r="U60" s="21" t="str">
        <f t="shared" si="29"/>
        <v>25/12/2023</v>
      </c>
      <c r="V60" s="21" t="str">
        <f t="shared" si="8"/>
        <v>25/12/2023</v>
      </c>
      <c r="W60" s="16" t="str">
        <f t="shared" si="9"/>
        <v>25/12/2023</v>
      </c>
      <c r="X60" s="28" t="str">
        <f>RIGHT(Table22[[#This Row],[Date_of_Treatment_Start Cleaned 4]],4)</f>
        <v>2023</v>
      </c>
      <c r="Y60" t="s">
        <v>469</v>
      </c>
      <c r="Z60" s="15" t="str">
        <f t="shared" si="10"/>
        <v>17/11/2017</v>
      </c>
      <c r="AA60" s="15" t="str">
        <f t="shared" si="11"/>
        <v>17/11/2017</v>
      </c>
      <c r="AB60" s="15" t="str">
        <f t="shared" si="31"/>
        <v>17/11/2017</v>
      </c>
      <c r="AC60" s="15" t="str">
        <f>LEFT(Table22[[#This Row],[Date_of_Surgery Cleaned 3]],10)</f>
        <v>17/11/2017</v>
      </c>
      <c r="AD60" s="15" t="str">
        <f t="shared" si="32"/>
        <v>17/11/2017</v>
      </c>
      <c r="AE60" s="10" t="str">
        <f t="shared" si="14"/>
        <v>17/11/2017</v>
      </c>
      <c r="AF60" s="27" t="str">
        <f>RIGHT(Table22[[#This Row],[Date_of_Surgery Cleaned 6]],4)</f>
        <v>2017</v>
      </c>
      <c r="AG60" s="27" t="str">
        <f t="shared" si="33"/>
        <v>2017</v>
      </c>
      <c r="AH60" t="s">
        <v>470</v>
      </c>
      <c r="AI60" s="15" t="str">
        <f t="shared" si="16"/>
        <v>2024/08/10</v>
      </c>
      <c r="AJ60" s="15" t="str">
        <f t="shared" si="17"/>
        <v>2024/08/10</v>
      </c>
      <c r="AK60" s="15" t="str">
        <f t="shared" si="34"/>
        <v>10,08,2024</v>
      </c>
      <c r="AL60" s="10" t="str">
        <f t="shared" si="35"/>
        <v>10/08/2024</v>
      </c>
      <c r="AM60" s="27" t="str">
        <f>RIGHT(Table22[[#This Row],[Date_of_Discharge Cleaned 4]],4)</f>
        <v>2024</v>
      </c>
      <c r="AN60" s="27" t="str">
        <f t="shared" si="36"/>
        <v>2024</v>
      </c>
      <c r="AO60" t="s">
        <v>165</v>
      </c>
      <c r="AP60" s="15" t="str">
        <f t="shared" si="37"/>
        <v>01/02/03</v>
      </c>
      <c r="AQ60" s="15" t="str">
        <f t="shared" si="22"/>
        <v>01/02/03</v>
      </c>
      <c r="AR60" s="15" t="str">
        <f t="shared" si="38"/>
        <v>02,01,2003</v>
      </c>
      <c r="AS60" s="15" t="str">
        <f t="shared" si="24"/>
        <v>02/01/2003</v>
      </c>
      <c r="AT60" s="10" t="str">
        <f t="shared" si="25"/>
        <v>02/01/2003</v>
      </c>
      <c r="AU60" s="27" t="str">
        <f>RIGHT(Table22[[#This Row],[Follow_up_Visit Cleaned 5]],4)</f>
        <v>2003</v>
      </c>
      <c r="AV60" s="27" t="str">
        <f t="shared" si="39"/>
        <v>2003</v>
      </c>
    </row>
    <row r="61" spans="1:48" ht="14.25" customHeight="1" x14ac:dyDescent="0.2">
      <c r="A61" t="s">
        <v>471</v>
      </c>
      <c r="B61" t="s">
        <v>472</v>
      </c>
      <c r="C61" s="10" t="str">
        <f t="shared" si="0"/>
        <v>Patient_59</v>
      </c>
      <c r="D61">
        <v>40</v>
      </c>
      <c r="E61" t="s">
        <v>160</v>
      </c>
      <c r="F61" t="s">
        <v>473</v>
      </c>
      <c r="G61" s="15" t="str">
        <f t="shared" si="27"/>
        <v>23/01/2024</v>
      </c>
      <c r="H61" s="15" t="str">
        <f t="shared" si="1"/>
        <v>23/01/2024</v>
      </c>
      <c r="I61" s="15" t="str">
        <f t="shared" si="2"/>
        <v>23/01/2024</v>
      </c>
      <c r="J61" s="10" t="str">
        <f>LEFT(Table22[[#This Row],[Date_of_Admission Cleaned 3]],10)</f>
        <v>23/01/2024</v>
      </c>
      <c r="K61" s="27" t="str">
        <f>RIGHT(Table22[[#This Row],[Date_of_Admission Cleaned 4]],4)</f>
        <v>2024</v>
      </c>
      <c r="L61" s="27" t="str">
        <f t="shared" si="3"/>
        <v>2024</v>
      </c>
      <c r="M61" s="12">
        <v>45062</v>
      </c>
      <c r="N61" s="15" t="str">
        <f t="shared" si="4"/>
        <v>45062</v>
      </c>
      <c r="O61" s="15" t="str">
        <f t="shared" si="5"/>
        <v>45062</v>
      </c>
      <c r="P61" s="10" t="str">
        <f t="shared" si="28"/>
        <v>16/05/2023</v>
      </c>
      <c r="Q61" s="27" t="str">
        <f>RIGHT(Table22[[#This Row],[Date_of_Diagnosis Cleaned 3]],4)</f>
        <v>2023</v>
      </c>
      <c r="R61" s="27" t="str">
        <f t="shared" si="30"/>
        <v>2023</v>
      </c>
      <c r="S61" s="12">
        <v>45051</v>
      </c>
      <c r="T61" s="21" t="str">
        <f t="shared" si="7"/>
        <v>45051</v>
      </c>
      <c r="U61" s="21" t="str">
        <f t="shared" si="29"/>
        <v>05/05/2023</v>
      </c>
      <c r="V61" s="21" t="str">
        <f t="shared" si="8"/>
        <v>05/05/2023</v>
      </c>
      <c r="W61" s="16" t="str">
        <f t="shared" si="9"/>
        <v>05/05/2023</v>
      </c>
      <c r="X61" s="28" t="str">
        <f>RIGHT(Table22[[#This Row],[Date_of_Treatment_Start Cleaned 4]],4)</f>
        <v>2023</v>
      </c>
      <c r="Y61" t="s">
        <v>469</v>
      </c>
      <c r="Z61" s="15" t="str">
        <f t="shared" si="10"/>
        <v>17/11/2017</v>
      </c>
      <c r="AA61" s="15" t="str">
        <f t="shared" si="11"/>
        <v>17/11/2017</v>
      </c>
      <c r="AB61" s="15" t="str">
        <f t="shared" si="31"/>
        <v>17/11/2017</v>
      </c>
      <c r="AC61" s="15" t="str">
        <f>LEFT(Table22[[#This Row],[Date_of_Surgery Cleaned 3]],10)</f>
        <v>17/11/2017</v>
      </c>
      <c r="AD61" s="15" t="str">
        <f t="shared" si="32"/>
        <v>17/11/2017</v>
      </c>
      <c r="AE61" s="10" t="str">
        <f t="shared" si="14"/>
        <v>17/11/2017</v>
      </c>
      <c r="AF61" s="27" t="str">
        <f>RIGHT(Table22[[#This Row],[Date_of_Surgery Cleaned 6]],4)</f>
        <v>2017</v>
      </c>
      <c r="AG61" s="27" t="str">
        <f t="shared" si="33"/>
        <v>2017</v>
      </c>
      <c r="AH61" s="12">
        <v>45407</v>
      </c>
      <c r="AI61" s="15">
        <f t="shared" si="16"/>
        <v>45407</v>
      </c>
      <c r="AJ61" s="15">
        <f t="shared" si="17"/>
        <v>45407</v>
      </c>
      <c r="AK61" s="15" t="str">
        <f t="shared" si="34"/>
        <v>25,04,2024</v>
      </c>
      <c r="AL61" s="10" t="str">
        <f t="shared" si="35"/>
        <v>25/04/2024</v>
      </c>
      <c r="AM61" s="27" t="str">
        <f>RIGHT(Table22[[#This Row],[Date_of_Discharge Cleaned 4]],4)</f>
        <v>2024</v>
      </c>
      <c r="AN61" s="27" t="str">
        <f t="shared" si="36"/>
        <v>2024</v>
      </c>
      <c r="AO61" t="s">
        <v>474</v>
      </c>
      <c r="AP61" s="15" t="str">
        <f t="shared" si="37"/>
        <v>Early June 2023</v>
      </c>
      <c r="AQ61" s="15" t="str">
        <f t="shared" si="22"/>
        <v>Early 06/ 2023</v>
      </c>
      <c r="AR61" s="15" t="str">
        <f t="shared" si="38"/>
        <v>Early 06/ 2023</v>
      </c>
      <c r="AS61" s="15" t="str">
        <f t="shared" si="24"/>
        <v>03/06/2023</v>
      </c>
      <c r="AT61" s="10" t="str">
        <f t="shared" si="25"/>
        <v>03/06/2023</v>
      </c>
      <c r="AU61" s="27" t="str">
        <f>RIGHT(Table22[[#This Row],[Follow_up_Visit Cleaned 5]],4)</f>
        <v>2023</v>
      </c>
      <c r="AV61" s="27" t="str">
        <f t="shared" si="39"/>
        <v>2023</v>
      </c>
    </row>
    <row r="62" spans="1:48" ht="14.25" customHeight="1" x14ac:dyDescent="0.2">
      <c r="A62" t="s">
        <v>475</v>
      </c>
      <c r="B62" t="s">
        <v>476</v>
      </c>
      <c r="C62" s="10" t="str">
        <f t="shared" si="0"/>
        <v>Patient_60</v>
      </c>
      <c r="D62">
        <v>58</v>
      </c>
      <c r="E62" t="s">
        <v>160</v>
      </c>
      <c r="F62" t="s">
        <v>477</v>
      </c>
      <c r="G62" s="15" t="str">
        <f t="shared" si="27"/>
        <v>2024/07/19</v>
      </c>
      <c r="H62" s="15" t="str">
        <f t="shared" si="1"/>
        <v>2024/07/19</v>
      </c>
      <c r="I62" s="15" t="str">
        <f t="shared" si="2"/>
        <v>19/07/2024</v>
      </c>
      <c r="J62" s="10" t="str">
        <f>LEFT(Table22[[#This Row],[Date_of_Admission Cleaned 3]],10)</f>
        <v>19/07/2024</v>
      </c>
      <c r="K62" s="27" t="str">
        <f>RIGHT(Table22[[#This Row],[Date_of_Admission Cleaned 4]],4)</f>
        <v>2024</v>
      </c>
      <c r="L62" s="27" t="str">
        <f t="shared" si="3"/>
        <v>2024</v>
      </c>
      <c r="M62" t="s">
        <v>198</v>
      </c>
      <c r="N62" s="15" t="str">
        <f t="shared" si="4"/>
        <v>Unknown</v>
      </c>
      <c r="O62" s="15" t="str">
        <f t="shared" si="5"/>
        <v>Unknown</v>
      </c>
      <c r="P62" s="10" t="str">
        <f t="shared" si="28"/>
        <v>Unknown</v>
      </c>
      <c r="Q62" s="27" t="str">
        <f>RIGHT(Table22[[#This Row],[Date_of_Diagnosis Cleaned 3]],4)</f>
        <v>nown</v>
      </c>
      <c r="R62" s="27" t="str">
        <f t="shared" si="30"/>
        <v>Unknown</v>
      </c>
      <c r="S62" s="12">
        <v>45063</v>
      </c>
      <c r="T62" s="21" t="str">
        <f t="shared" si="7"/>
        <v>45063</v>
      </c>
      <c r="U62" s="21" t="str">
        <f t="shared" si="29"/>
        <v>17/05/2023</v>
      </c>
      <c r="V62" s="21" t="str">
        <f t="shared" si="8"/>
        <v>17/05/2023</v>
      </c>
      <c r="W62" s="16" t="str">
        <f t="shared" si="9"/>
        <v>17/05/2023</v>
      </c>
      <c r="X62" s="28" t="str">
        <f>RIGHT(Table22[[#This Row],[Date_of_Treatment_Start Cleaned 4]],4)</f>
        <v>2023</v>
      </c>
      <c r="Y62" t="s">
        <v>469</v>
      </c>
      <c r="Z62" s="15" t="str">
        <f t="shared" si="10"/>
        <v>17/11/2017</v>
      </c>
      <c r="AA62" s="15" t="str">
        <f t="shared" si="11"/>
        <v>17/11/2017</v>
      </c>
      <c r="AB62" s="15" t="str">
        <f t="shared" si="31"/>
        <v>17/11/2017</v>
      </c>
      <c r="AC62" s="15" t="str">
        <f>LEFT(Table22[[#This Row],[Date_of_Surgery Cleaned 3]],10)</f>
        <v>17/11/2017</v>
      </c>
      <c r="AD62" s="15" t="str">
        <f t="shared" si="32"/>
        <v>17/11/2017</v>
      </c>
      <c r="AE62" s="10" t="str">
        <f t="shared" si="14"/>
        <v>17/11/2017</v>
      </c>
      <c r="AF62" s="27" t="str">
        <f>RIGHT(Table22[[#This Row],[Date_of_Surgery Cleaned 6]],4)</f>
        <v>2017</v>
      </c>
      <c r="AG62" s="27" t="str">
        <f t="shared" si="33"/>
        <v>2017</v>
      </c>
      <c r="AI62" s="15" t="str">
        <f t="shared" si="16"/>
        <v>Unknown</v>
      </c>
      <c r="AJ62" s="15" t="str">
        <f t="shared" si="17"/>
        <v>Unknown</v>
      </c>
      <c r="AK62" s="15" t="str">
        <f t="shared" si="34"/>
        <v>Unknown</v>
      </c>
      <c r="AL62" s="10" t="str">
        <f t="shared" si="35"/>
        <v>Unknown</v>
      </c>
      <c r="AM62" s="27" t="str">
        <f>RIGHT(Table22[[#This Row],[Date_of_Discharge Cleaned 4]],4)</f>
        <v>nown</v>
      </c>
      <c r="AN62" s="27" t="str">
        <f t="shared" si="36"/>
        <v>Unknown</v>
      </c>
      <c r="AO62" s="6" t="s">
        <v>940</v>
      </c>
      <c r="AP62" s="15" t="str">
        <f t="shared" si="37"/>
        <v>01-01-2022 (estimated)</v>
      </c>
      <c r="AQ62" s="15" t="str">
        <f t="shared" si="22"/>
        <v>01-01-2022 (estimated)</v>
      </c>
      <c r="AR62" s="15" t="str">
        <f t="shared" si="38"/>
        <v>01-01-2022 (estimated)</v>
      </c>
      <c r="AS62" s="15" t="str">
        <f t="shared" si="24"/>
        <v>01/01/2022(estimated)</v>
      </c>
      <c r="AT62" s="10" t="str">
        <f t="shared" si="25"/>
        <v>01/01/2022</v>
      </c>
      <c r="AU62" s="27" t="str">
        <f>RIGHT(Table22[[#This Row],[Follow_up_Visit Cleaned 5]],4)</f>
        <v>2022</v>
      </c>
      <c r="AV62" s="27" t="str">
        <f t="shared" si="39"/>
        <v>2022</v>
      </c>
    </row>
    <row r="63" spans="1:48" ht="14.25" customHeight="1" x14ac:dyDescent="0.2">
      <c r="A63" t="s">
        <v>478</v>
      </c>
      <c r="B63" t="s">
        <v>479</v>
      </c>
      <c r="C63" s="10" t="str">
        <f t="shared" si="0"/>
        <v>Patient_61</v>
      </c>
      <c r="D63">
        <v>37</v>
      </c>
      <c r="E63" t="s">
        <v>146</v>
      </c>
      <c r="F63" t="s">
        <v>480</v>
      </c>
      <c r="G63" s="15" t="str">
        <f t="shared" si="27"/>
        <v>05/10/2024</v>
      </c>
      <c r="H63" s="15" t="str">
        <f t="shared" si="1"/>
        <v>05/10/2024</v>
      </c>
      <c r="I63" s="15" t="str">
        <f t="shared" si="2"/>
        <v>10/05/2024</v>
      </c>
      <c r="J63" s="10" t="str">
        <f>LEFT(Table22[[#This Row],[Date_of_Admission Cleaned 3]],10)</f>
        <v>10/05/2024</v>
      </c>
      <c r="K63" s="27" t="str">
        <f>RIGHT(Table22[[#This Row],[Date_of_Admission Cleaned 4]],4)</f>
        <v>2024</v>
      </c>
      <c r="L63" s="27" t="str">
        <f t="shared" si="3"/>
        <v>2024</v>
      </c>
      <c r="M63" t="s">
        <v>481</v>
      </c>
      <c r="N63" s="15" t="str">
        <f t="shared" si="4"/>
        <v>Apr/29//2024</v>
      </c>
      <c r="O63" s="15" t="str">
        <f t="shared" si="5"/>
        <v>04/29/2024</v>
      </c>
      <c r="P63" s="10" t="str">
        <f t="shared" si="28"/>
        <v>29/04/2024</v>
      </c>
      <c r="Q63" s="27" t="str">
        <f>RIGHT(Table22[[#This Row],[Date_of_Diagnosis Cleaned 3]],4)</f>
        <v>2024</v>
      </c>
      <c r="R63" s="27" t="str">
        <f t="shared" si="30"/>
        <v>2024</v>
      </c>
      <c r="S63" s="12">
        <v>45092</v>
      </c>
      <c r="T63" s="21" t="str">
        <f t="shared" si="7"/>
        <v>45092</v>
      </c>
      <c r="U63" s="21" t="str">
        <f t="shared" si="29"/>
        <v>15/06/2023</v>
      </c>
      <c r="V63" s="21" t="str">
        <f t="shared" si="8"/>
        <v>15/06/2023</v>
      </c>
      <c r="W63" s="16" t="str">
        <f t="shared" si="9"/>
        <v>15/06/2023</v>
      </c>
      <c r="X63" s="28" t="str">
        <f>RIGHT(Table22[[#This Row],[Date_of_Treatment_Start Cleaned 4]],4)</f>
        <v>2023</v>
      </c>
      <c r="Y63" t="s">
        <v>482</v>
      </c>
      <c r="Z63" s="15" t="str">
        <f t="shared" si="10"/>
        <v>28/11/2019</v>
      </c>
      <c r="AA63" s="15" t="str">
        <f t="shared" si="11"/>
        <v>28/11/2019</v>
      </c>
      <c r="AB63" s="15" t="str">
        <f t="shared" si="31"/>
        <v>28/11/2019</v>
      </c>
      <c r="AC63" s="15" t="str">
        <f>LEFT(Table22[[#This Row],[Date_of_Surgery Cleaned 3]],10)</f>
        <v>28/11/2019</v>
      </c>
      <c r="AD63" s="15" t="str">
        <f t="shared" si="32"/>
        <v>28/11/2019</v>
      </c>
      <c r="AE63" s="10" t="str">
        <f t="shared" si="14"/>
        <v>28/11/2019</v>
      </c>
      <c r="AF63" s="27" t="str">
        <f>RIGHT(Table22[[#This Row],[Date_of_Surgery Cleaned 6]],4)</f>
        <v>2019</v>
      </c>
      <c r="AG63" s="27" t="str">
        <f t="shared" si="33"/>
        <v>2019</v>
      </c>
      <c r="AH63" t="s">
        <v>483</v>
      </c>
      <c r="AI63" s="15" t="str">
        <f t="shared" si="16"/>
        <v>27.03.2024</v>
      </c>
      <c r="AJ63" s="15" t="str">
        <f t="shared" si="17"/>
        <v>27.03.2024</v>
      </c>
      <c r="AK63" s="15" t="str">
        <f t="shared" si="34"/>
        <v>27.03.2024</v>
      </c>
      <c r="AL63" s="10" t="str">
        <f t="shared" si="35"/>
        <v>27/03/2024</v>
      </c>
      <c r="AM63" s="27" t="str">
        <f>RIGHT(Table22[[#This Row],[Date_of_Discharge Cleaned 4]],4)</f>
        <v>2024</v>
      </c>
      <c r="AN63" s="27" t="str">
        <f t="shared" si="36"/>
        <v>2024</v>
      </c>
      <c r="AO63">
        <v>44736</v>
      </c>
      <c r="AP63" s="15">
        <f t="shared" si="37"/>
        <v>44736</v>
      </c>
      <c r="AQ63" s="15" t="str">
        <f t="shared" si="22"/>
        <v>44736</v>
      </c>
      <c r="AR63" s="15" t="str">
        <f t="shared" si="38"/>
        <v>24,06,2022</v>
      </c>
      <c r="AS63" s="15" t="str">
        <f t="shared" si="24"/>
        <v>24/06/2022</v>
      </c>
      <c r="AT63" s="10" t="str">
        <f t="shared" si="25"/>
        <v>24/06/2022</v>
      </c>
      <c r="AU63" s="27" t="str">
        <f>RIGHT(Table22[[#This Row],[Follow_up_Visit Cleaned 5]],4)</f>
        <v>2022</v>
      </c>
      <c r="AV63" s="27" t="str">
        <f t="shared" si="39"/>
        <v>2022</v>
      </c>
    </row>
    <row r="64" spans="1:48" ht="14.25" customHeight="1" x14ac:dyDescent="0.2">
      <c r="A64" t="s">
        <v>484</v>
      </c>
      <c r="B64" t="s">
        <v>485</v>
      </c>
      <c r="C64" s="10" t="str">
        <f t="shared" si="0"/>
        <v>Patient_62</v>
      </c>
      <c r="D64">
        <v>23</v>
      </c>
      <c r="E64" t="s">
        <v>160</v>
      </c>
      <c r="F64" t="s">
        <v>486</v>
      </c>
      <c r="G64" s="15" t="str">
        <f t="shared" si="27"/>
        <v>14/Aug/2024</v>
      </c>
      <c r="H64" s="15" t="str">
        <f t="shared" si="1"/>
        <v>14/08/2024</v>
      </c>
      <c r="I64" s="15" t="str">
        <f t="shared" si="2"/>
        <v>14/08/2024</v>
      </c>
      <c r="J64" s="10" t="str">
        <f>LEFT(Table22[[#This Row],[Date_of_Admission Cleaned 3]],10)</f>
        <v>14/08/2024</v>
      </c>
      <c r="K64" s="27" t="str">
        <f>RIGHT(Table22[[#This Row],[Date_of_Admission Cleaned 4]],4)</f>
        <v>2024</v>
      </c>
      <c r="L64" s="27" t="str">
        <f t="shared" si="3"/>
        <v>2024</v>
      </c>
      <c r="M64" t="s">
        <v>487</v>
      </c>
      <c r="N64" s="15" t="str">
        <f t="shared" si="4"/>
        <v>14/07/2023</v>
      </c>
      <c r="O64" s="15" t="str">
        <f t="shared" si="5"/>
        <v>14/07/2023</v>
      </c>
      <c r="P64" s="10" t="str">
        <f t="shared" si="28"/>
        <v>14/07/2023</v>
      </c>
      <c r="Q64" s="27" t="str">
        <f>RIGHT(Table22[[#This Row],[Date_of_Diagnosis Cleaned 3]],4)</f>
        <v>2023</v>
      </c>
      <c r="R64" s="27" t="str">
        <f t="shared" si="30"/>
        <v>2023</v>
      </c>
      <c r="S64" s="12">
        <v>45131</v>
      </c>
      <c r="T64" s="21" t="str">
        <f t="shared" si="7"/>
        <v>45131</v>
      </c>
      <c r="U64" s="21" t="str">
        <f t="shared" si="29"/>
        <v>24/07/2023</v>
      </c>
      <c r="V64" s="21" t="str">
        <f t="shared" si="8"/>
        <v>24/07/2023</v>
      </c>
      <c r="W64" s="16" t="str">
        <f t="shared" si="9"/>
        <v>24/07/2023</v>
      </c>
      <c r="X64" s="28" t="str">
        <f>RIGHT(Table22[[#This Row],[Date_of_Treatment_Start Cleaned 4]],4)</f>
        <v>2023</v>
      </c>
      <c r="Y64" t="s">
        <v>482</v>
      </c>
      <c r="Z64" s="15" t="str">
        <f t="shared" si="10"/>
        <v>28/11/2019</v>
      </c>
      <c r="AA64" s="15" t="str">
        <f t="shared" si="11"/>
        <v>28/11/2019</v>
      </c>
      <c r="AB64" s="15" t="str">
        <f t="shared" si="31"/>
        <v>28/11/2019</v>
      </c>
      <c r="AC64" s="15" t="str">
        <f>LEFT(Table22[[#This Row],[Date_of_Surgery Cleaned 3]],10)</f>
        <v>28/11/2019</v>
      </c>
      <c r="AD64" s="15" t="str">
        <f t="shared" si="32"/>
        <v>28/11/2019</v>
      </c>
      <c r="AE64" s="10" t="str">
        <f t="shared" si="14"/>
        <v>28/11/2019</v>
      </c>
      <c r="AF64" s="27" t="str">
        <f>RIGHT(Table22[[#This Row],[Date_of_Surgery Cleaned 6]],4)</f>
        <v>2019</v>
      </c>
      <c r="AG64" s="27" t="str">
        <f t="shared" si="33"/>
        <v>2019</v>
      </c>
      <c r="AI64" s="15" t="str">
        <f t="shared" si="16"/>
        <v>Unknown</v>
      </c>
      <c r="AJ64" s="15" t="str">
        <f t="shared" si="17"/>
        <v>Unknown</v>
      </c>
      <c r="AK64" s="15" t="str">
        <f t="shared" si="34"/>
        <v>Unknown</v>
      </c>
      <c r="AL64" s="10" t="str">
        <f t="shared" si="35"/>
        <v>Unknown</v>
      </c>
      <c r="AM64" s="27" t="str">
        <f>RIGHT(Table22[[#This Row],[Date_of_Discharge Cleaned 4]],4)</f>
        <v>nown</v>
      </c>
      <c r="AN64" s="27" t="str">
        <f t="shared" si="36"/>
        <v>Unknown</v>
      </c>
      <c r="AO64">
        <v>45019</v>
      </c>
      <c r="AP64" s="15">
        <f t="shared" si="37"/>
        <v>45019</v>
      </c>
      <c r="AQ64" s="15" t="str">
        <f t="shared" si="22"/>
        <v>45019</v>
      </c>
      <c r="AR64" s="15" t="str">
        <f t="shared" si="38"/>
        <v>03,04,2023</v>
      </c>
      <c r="AS64" s="15" t="str">
        <f t="shared" si="24"/>
        <v>03/04/2023</v>
      </c>
      <c r="AT64" s="10" t="str">
        <f t="shared" si="25"/>
        <v>03/04/2023</v>
      </c>
      <c r="AU64" s="27" t="str">
        <f>RIGHT(Table22[[#This Row],[Follow_up_Visit Cleaned 5]],4)</f>
        <v>2023</v>
      </c>
      <c r="AV64" s="27" t="str">
        <f t="shared" si="39"/>
        <v>2023</v>
      </c>
    </row>
    <row r="65" spans="1:48" ht="14.25" customHeight="1" x14ac:dyDescent="0.2">
      <c r="A65" t="s">
        <v>488</v>
      </c>
      <c r="B65" t="s">
        <v>489</v>
      </c>
      <c r="C65" s="10" t="str">
        <f t="shared" si="0"/>
        <v>Patient_63</v>
      </c>
      <c r="D65">
        <v>79</v>
      </c>
      <c r="E65" t="s">
        <v>146</v>
      </c>
      <c r="F65" t="s">
        <v>490</v>
      </c>
      <c r="G65" s="15" t="str">
        <f t="shared" si="27"/>
        <v>22/12/2024</v>
      </c>
      <c r="H65" s="15" t="str">
        <f t="shared" si="1"/>
        <v>22/12/2024</v>
      </c>
      <c r="I65" s="15" t="str">
        <f t="shared" si="2"/>
        <v>22/12/2024</v>
      </c>
      <c r="J65" s="10" t="str">
        <f>LEFT(Table22[[#This Row],[Date_of_Admission Cleaned 3]],10)</f>
        <v>22/12/2024</v>
      </c>
      <c r="K65" s="27" t="str">
        <f>RIGHT(Table22[[#This Row],[Date_of_Admission Cleaned 4]],4)</f>
        <v>2024</v>
      </c>
      <c r="L65" s="27" t="str">
        <f t="shared" si="3"/>
        <v>2024</v>
      </c>
      <c r="M65" t="s">
        <v>491</v>
      </c>
      <c r="N65" s="15" t="str">
        <f t="shared" si="4"/>
        <v>Apr/10//2023</v>
      </c>
      <c r="O65" s="15" t="str">
        <f t="shared" si="5"/>
        <v>04/10/2023</v>
      </c>
      <c r="P65" s="10" t="str">
        <f t="shared" si="28"/>
        <v>10/04/2023</v>
      </c>
      <c r="Q65" s="27" t="str">
        <f>RIGHT(Table22[[#This Row],[Date_of_Diagnosis Cleaned 3]],4)</f>
        <v>2023</v>
      </c>
      <c r="R65" s="27" t="str">
        <f t="shared" si="30"/>
        <v>2023</v>
      </c>
      <c r="S65" t="s">
        <v>492</v>
      </c>
      <c r="T65" s="21" t="str">
        <f t="shared" si="7"/>
        <v>2024/01/27</v>
      </c>
      <c r="U65" s="21" t="str">
        <f t="shared" si="29"/>
        <v>27/01/2024</v>
      </c>
      <c r="V65" s="21" t="str">
        <f t="shared" si="8"/>
        <v>27/01/2024</v>
      </c>
      <c r="W65" s="16" t="str">
        <f t="shared" si="9"/>
        <v>27/01/2024</v>
      </c>
      <c r="X65" s="28" t="str">
        <f>RIGHT(Table22[[#This Row],[Date_of_Treatment_Start Cleaned 4]],4)</f>
        <v>2024</v>
      </c>
      <c r="Y65" t="s">
        <v>482</v>
      </c>
      <c r="Z65" s="15" t="str">
        <f t="shared" si="10"/>
        <v>28/11/2019</v>
      </c>
      <c r="AA65" s="15" t="str">
        <f t="shared" si="11"/>
        <v>28/11/2019</v>
      </c>
      <c r="AB65" s="15" t="str">
        <f t="shared" si="31"/>
        <v>28/11/2019</v>
      </c>
      <c r="AC65" s="15" t="str">
        <f>LEFT(Table22[[#This Row],[Date_of_Surgery Cleaned 3]],10)</f>
        <v>28/11/2019</v>
      </c>
      <c r="AD65" s="15" t="str">
        <f t="shared" si="32"/>
        <v>28/11/2019</v>
      </c>
      <c r="AE65" s="10" t="str">
        <f t="shared" si="14"/>
        <v>28/11/2019</v>
      </c>
      <c r="AF65" s="27" t="str">
        <f>RIGHT(Table22[[#This Row],[Date_of_Surgery Cleaned 6]],4)</f>
        <v>2019</v>
      </c>
      <c r="AG65" s="27" t="str">
        <f t="shared" si="33"/>
        <v>2019</v>
      </c>
      <c r="AH65" t="s">
        <v>493</v>
      </c>
      <c r="AI65" s="15" t="str">
        <f t="shared" si="16"/>
        <v>2023-07-08</v>
      </c>
      <c r="AJ65" s="15" t="str">
        <f t="shared" si="17"/>
        <v>2023-07-08</v>
      </c>
      <c r="AK65" s="15" t="str">
        <f t="shared" si="34"/>
        <v>08,07,2023</v>
      </c>
      <c r="AL65" s="10" t="str">
        <f t="shared" si="35"/>
        <v>08/07/2023</v>
      </c>
      <c r="AM65" s="27" t="str">
        <f>RIGHT(Table22[[#This Row],[Date_of_Discharge Cleaned 4]],4)</f>
        <v>2023</v>
      </c>
      <c r="AN65" s="27" t="str">
        <f t="shared" si="36"/>
        <v>2023</v>
      </c>
      <c r="AO65" t="s">
        <v>165</v>
      </c>
      <c r="AP65" s="15" t="str">
        <f t="shared" si="37"/>
        <v>01/02/03</v>
      </c>
      <c r="AQ65" s="15" t="str">
        <f t="shared" si="22"/>
        <v>01/02/03</v>
      </c>
      <c r="AR65" s="15" t="str">
        <f t="shared" si="38"/>
        <v>02,01,2003</v>
      </c>
      <c r="AS65" s="15" t="str">
        <f t="shared" si="24"/>
        <v>02/01/2003</v>
      </c>
      <c r="AT65" s="10" t="str">
        <f t="shared" si="25"/>
        <v>02/01/2003</v>
      </c>
      <c r="AU65" s="27" t="str">
        <f>RIGHT(Table22[[#This Row],[Follow_up_Visit Cleaned 5]],4)</f>
        <v>2003</v>
      </c>
      <c r="AV65" s="27" t="str">
        <f t="shared" si="39"/>
        <v>2003</v>
      </c>
    </row>
    <row r="66" spans="1:48" ht="14.25" customHeight="1" x14ac:dyDescent="0.2">
      <c r="A66" t="s">
        <v>494</v>
      </c>
      <c r="B66" t="s">
        <v>845</v>
      </c>
      <c r="C66" s="10" t="str">
        <f t="shared" ref="C66:C129" si="40">(SUBSTITUTE(SUBSTITUTE(SUBSTITUTE(SUBSTITUTE(SUBSTITUTE(SUBSTITUTE(SUBSTITUTE(SUBSTITUTE(SUBSTITUTE(SUBSTITUTE(SUBSTITUTE(SUBSTITUTE(SUBSTITUTE(B66,"^",""),"@",""),"?",""),"+",""),"&amp;",""),")",""),"/",""),":",""),"%",""),",",""),"(",""),"$",""),"*",""))</f>
        <v>Patient_64</v>
      </c>
      <c r="D66">
        <v>33</v>
      </c>
      <c r="E66" t="s">
        <v>146</v>
      </c>
      <c r="F66" t="s">
        <v>495</v>
      </c>
      <c r="G66" s="15" t="str">
        <f t="shared" si="27"/>
        <v>16/Feb/2023</v>
      </c>
      <c r="H66" s="15" t="str">
        <f t="shared" ref="H66:H129" si="41">SUBSTITUTE(SUBSTITUTE(SUBSTITUTE(SUBSTITUTE(SUBSTITUTE(SUBSTITUTE(SUBSTITUTE(SUBSTITUTE(SUBSTITUTE(SUBSTITUTE(SUBSTITUTE(SUBSTITUTE(SUBSTITUTE(G66,"//","/"),"Dec","12"),"nov","11"),"oct","10"),"Sep/","09/"),"Aug/","08/"),"jul","07"),"june","06"),"may","05"),"Apr/","04/"),"Mar/","03/"),"feb","02"),"Jan/","01/")</f>
        <v>16/Feb/2023</v>
      </c>
      <c r="I66" s="15" t="str">
        <f t="shared" ref="I66:I129" si="42">TEXT(H66,"dd/mm/yyyy")</f>
        <v>16/02/2023</v>
      </c>
      <c r="J66" s="10" t="str">
        <f>LEFT(Table22[[#This Row],[Date_of_Admission Cleaned 3]],10)</f>
        <v>16/02/2023</v>
      </c>
      <c r="K66" s="27" t="str">
        <f>RIGHT(Table22[[#This Row],[Date_of_Admission Cleaned 4]],4)</f>
        <v>2023</v>
      </c>
      <c r="L66" s="27" t="str">
        <f t="shared" ref="L66:L129" si="43">SUBSTITUTE(K66,"nown","Unknown")</f>
        <v>2023</v>
      </c>
      <c r="M66" t="s">
        <v>496</v>
      </c>
      <c r="N66" s="15" t="str">
        <f t="shared" ref="N66:N129" si="44">SUBSTITUTE(SUBSTITUTE(SUBSTITUTE(SUBSTITUTE(SUBSTITUTE(M66,",","/")," ","/"),"-","/"),".","/"),"N/A","Unknown")</f>
        <v>Dec/29//2023</v>
      </c>
      <c r="O66" s="15" t="str">
        <f t="shared" ref="O66:O129" si="45">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N66,"//","/"),"Dec/","12/"),"November","11"),"Oct/","10/"),"September/","09/"),"August/","08/"),"July","07"),"Jun/","06/"),"May","05"),"Apr/","04/"),"Mar/","03/"),"feb","02"),"January/","01/"),"Monday/",""),"Tuesday/",""),"Wednesday/",""),"Thursday/",""),"Friday/",""),"Saturday/",""),"Sunday/",""),"Sep/","09/"),"12th","12"),"of/",""),"December","12"),"Jan/","01/"),"/5/","/05/"),"/6/","/06/"),"/9/","/09/"),"/4/","/04/"),"/7/","/07/")</f>
        <v>12/29/2023</v>
      </c>
      <c r="P66" s="10" t="str">
        <f t="shared" si="28"/>
        <v>29/12/2023</v>
      </c>
      <c r="Q66" s="27" t="str">
        <f>RIGHT(Table22[[#This Row],[Date_of_Diagnosis Cleaned 3]],4)</f>
        <v>2023</v>
      </c>
      <c r="R66" s="27" t="str">
        <f t="shared" ref="R66:R97" si="46">SUBSTITUTE(Q66,"nown","Unknown")</f>
        <v>2023</v>
      </c>
      <c r="S66" t="s">
        <v>497</v>
      </c>
      <c r="T66" s="21" t="str">
        <f t="shared" ref="T66:T129" si="47">SUBSTITUTE(SUBSTITUTE(SUBSTITUTE(SUBSTITUTE(SUBSTITUTE(S66,",","/")," ","/"),"-","/"),".","/"),"N/A","Unknown")</f>
        <v>2024/04/20</v>
      </c>
      <c r="U66" s="21" t="str">
        <f t="shared" si="29"/>
        <v>20/04/2024</v>
      </c>
      <c r="V66" s="21" t="str">
        <f t="shared" ref="V66:V129" si="48">SUBSTITUTE(U66,"//","/")</f>
        <v>20/04/2024</v>
      </c>
      <c r="W66" s="16" t="str">
        <f t="shared" ref="W66:W129" si="49">SUBSTITUTE(SUBSTITUTE(SUBSTITUTE(SUBSTITUTE(SUBSTITUTE(SUBSTITUTE(SUBSTITUTE(SUBSTITUTE(SUBSTITUTE(SUBSTITUTE(SUBSTITUTE(SUBSTITUTE(V66,"Jan","01"),"Feb","02"),"Mar","03"),"Apr","04"),"May","05"),"JUn","06"),"Jul","07"),"Aug","08"),"Sep","09"),"Oct","10"),"Nov","11"),"Dec","12")</f>
        <v>20/04/2024</v>
      </c>
      <c r="X66" s="28" t="str">
        <f>RIGHT(Table22[[#This Row],[Date_of_Treatment_Start Cleaned 4]],4)</f>
        <v>2024</v>
      </c>
      <c r="Y66" t="s">
        <v>498</v>
      </c>
      <c r="Z66" s="15" t="str">
        <f t="shared" ref="Z66:Z129" si="50">SUBSTITUTE(SUBSTITUTE(SUBSTITUTE(SUBSTITUTE(SUBSTITUTE(SUBSTITUTE(SUBSTITUTE(Y66,",","/")," ","/"),"-","/"),".","/"),"N/A","Unknown"),"?","Unknown"),"//","Unknown")</f>
        <v>20/10/2017</v>
      </c>
      <c r="AA66" s="15" t="str">
        <f t="shared" ref="AA66:AA129" si="51">IF(Z66="","Unknown",Z66)</f>
        <v>20/10/2017</v>
      </c>
      <c r="AB66" s="15" t="str">
        <f t="shared" ref="AB66:AB97" si="52">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66,"//","/"),"Dec/","12/"),"November","11"),"Oct/","10/"),"September/","09/"),"August/","08/"),"July","07"),"Jun/","06/"),"May","05"),"Apr/","04/"),"Mar/","03/"),"feb","02"),"January/","01/"),"Monday/",""),"Tuesday/",""),"Wednesday/",""),"Thursday/",""),"Friday/",""),"Saturday/",""),"Sunday/",""),"Sep/","09/"),"12th","12"),"of/",""),"December","12"),"Jan/","01/"),"/5/","/05/"),"/6/","/06/"),"/9/","/09/"),"/4/","/04/"),"/7/","/07/")</f>
        <v>20/10/2017</v>
      </c>
      <c r="AC66" s="15" t="str">
        <f>LEFT(Table22[[#This Row],[Date_of_Surgery Cleaned 3]],10)</f>
        <v>20/10/2017</v>
      </c>
      <c r="AD66" s="15" t="str">
        <f t="shared" ref="AD66:AD97" si="53">TEXT(AC66,"dd,mm,yyyy")</f>
        <v>20/10/2017</v>
      </c>
      <c r="AE66" s="10" t="str">
        <f t="shared" ref="AE66:AE129" si="54">SUBSTITUTE(AD66,",","/")</f>
        <v>20/10/2017</v>
      </c>
      <c r="AF66" s="27" t="str">
        <f>RIGHT(Table22[[#This Row],[Date_of_Surgery Cleaned 6]],4)</f>
        <v>2017</v>
      </c>
      <c r="AG66" s="27" t="str">
        <f t="shared" ref="AG66:AG97" si="55">SUBSTITUTE(AF66,"nown","Unknown")</f>
        <v>2017</v>
      </c>
      <c r="AI66" s="15" t="str">
        <f t="shared" ref="AI66:AI129" si="56">IF(AH66="","Unknown",AH66)</f>
        <v>Unknown</v>
      </c>
      <c r="AJ66" s="15" t="str">
        <f t="shared" ref="AJ66:AJ129" si="57">IF(AI66="N/A","Unknown",AI66)</f>
        <v>Unknown</v>
      </c>
      <c r="AK66" s="15" t="str">
        <f t="shared" ref="AK66:AK97" si="58">TEXT(AJ66,"dd,mm,yyyy")</f>
        <v>Unknown</v>
      </c>
      <c r="AL66" s="10" t="str">
        <f t="shared" ref="AL66:AL97" si="59">SUBSTITUTE(SUBSTITUTE(SUBSTITUTE(AK66,",","/"),".","/"),"-","/")</f>
        <v>Unknown</v>
      </c>
      <c r="AM66" s="27" t="str">
        <f>RIGHT(Table22[[#This Row],[Date_of_Discharge Cleaned 4]],4)</f>
        <v>nown</v>
      </c>
      <c r="AN66" s="27" t="str">
        <f t="shared" ref="AN66:AN97" si="60">SUBSTITUTE(AM66,"nown","Unknown")</f>
        <v>Unknown</v>
      </c>
      <c r="AO66" t="s">
        <v>234</v>
      </c>
      <c r="AP66" s="15" t="str">
        <f t="shared" ref="AP66:AP97" si="61">IF(AO66="","Unknown",AO66)</f>
        <v>Late March 2023</v>
      </c>
      <c r="AQ66" s="15" t="str">
        <f t="shared" ref="AQ66:AQ129" si="62">SUBSTITUTE(SUBSTITUTE(SUBSTITUTE(SUBSTITUTE(SUBSTITUTE(SUBSTITUTE(SUBSTITUTE(AP66,"N/A","Unknown"),"None","Unknown"),"Feb","02/"),"March","03/"),"April","04/"),"June","06/"),"Aug","08/")</f>
        <v>Late 03/ 2023</v>
      </c>
      <c r="AR66" s="15" t="str">
        <f t="shared" ref="AR66:AR97" si="63">TEXT(AQ66,"dd,mm,yyyy")</f>
        <v>Late 03/ 2023</v>
      </c>
      <c r="AS66" s="15" t="str">
        <f t="shared" ref="AS66:AS129" si="64">SUBSTITUTE(SUBSTITUTE(SUBSTITUTE(SUBSTITUTE(SUBSTITUTE(SUBSTITUTE(AR66," ",""),",","/"),".","/"),"-","/"),"Late","30/"),"Early","03/")</f>
        <v>30/03/2023</v>
      </c>
      <c r="AT66" s="10" t="str">
        <f t="shared" ref="AT66:AT129" si="65">SUBSTITUTE(SUBSTITUTE(SUBSTITUTE(AS66,"//","/"),"(estimated)",""),"abc","")</f>
        <v>30/03/2023</v>
      </c>
      <c r="AU66" s="27" t="str">
        <f>RIGHT(Table22[[#This Row],[Follow_up_Visit Cleaned 5]],4)</f>
        <v>2023</v>
      </c>
      <c r="AV66" s="27" t="str">
        <f t="shared" ref="AV66:AV97" si="66">SUBSTITUTE(AU66,"nown","Unknown")</f>
        <v>2023</v>
      </c>
    </row>
    <row r="67" spans="1:48" ht="14.25" customHeight="1" x14ac:dyDescent="0.2">
      <c r="A67" t="s">
        <v>499</v>
      </c>
      <c r="B67" t="s">
        <v>500</v>
      </c>
      <c r="C67" s="10" t="str">
        <f t="shared" si="40"/>
        <v>Patient_65</v>
      </c>
      <c r="D67">
        <v>28</v>
      </c>
      <c r="E67" t="s">
        <v>146</v>
      </c>
      <c r="F67" t="s">
        <v>147</v>
      </c>
      <c r="G67" s="15" t="str">
        <f t="shared" ref="G67:G130" si="67">SUBSTITUTE(SUBSTITUTE(SUBSTITUTE(SUBSTITUTE(SUBSTITUTE(F67,",","/")," ","/"),"-","/"),".","/"),"N/A","Unknown")</f>
        <v>12/13/2023</v>
      </c>
      <c r="H67" s="15" t="str">
        <f t="shared" si="41"/>
        <v>12/13/2023</v>
      </c>
      <c r="I67" s="15" t="str">
        <f t="shared" si="42"/>
        <v>13/12/2023</v>
      </c>
      <c r="J67" s="10" t="str">
        <f>LEFT(Table22[[#This Row],[Date_of_Admission Cleaned 3]],10)</f>
        <v>13/12/2023</v>
      </c>
      <c r="K67" s="27" t="str">
        <f>RIGHT(Table22[[#This Row],[Date_of_Admission Cleaned 4]],4)</f>
        <v>2023</v>
      </c>
      <c r="L67" s="27" t="str">
        <f t="shared" si="43"/>
        <v>2023</v>
      </c>
      <c r="M67" t="s">
        <v>198</v>
      </c>
      <c r="N67" s="15" t="str">
        <f t="shared" si="44"/>
        <v>Unknown</v>
      </c>
      <c r="O67" s="15" t="str">
        <f t="shared" si="45"/>
        <v>Unknown</v>
      </c>
      <c r="P67" s="10" t="str">
        <f t="shared" ref="P67:P130" si="68">TEXT(O67,"dd/mm/yyyy")</f>
        <v>Unknown</v>
      </c>
      <c r="Q67" s="27" t="str">
        <f>RIGHT(Table22[[#This Row],[Date_of_Diagnosis Cleaned 3]],4)</f>
        <v>nown</v>
      </c>
      <c r="R67" s="27" t="str">
        <f t="shared" si="46"/>
        <v>Unknown</v>
      </c>
      <c r="S67" t="s">
        <v>501</v>
      </c>
      <c r="T67" s="21" t="str">
        <f t="shared" si="47"/>
        <v>2024/08/05</v>
      </c>
      <c r="U67" s="21" t="str">
        <f t="shared" ref="U67:U130" si="69">TEXT(T67,"dd/mm/yyyy")</f>
        <v>05/08/2024</v>
      </c>
      <c r="V67" s="21" t="str">
        <f t="shared" si="48"/>
        <v>05/08/2024</v>
      </c>
      <c r="W67" s="16" t="str">
        <f t="shared" si="49"/>
        <v>05/08/2024</v>
      </c>
      <c r="X67" s="28" t="str">
        <f>RIGHT(Table22[[#This Row],[Date_of_Treatment_Start Cleaned 4]],4)</f>
        <v>2024</v>
      </c>
      <c r="Y67" t="s">
        <v>502</v>
      </c>
      <c r="Z67" s="15" t="str">
        <f t="shared" si="50"/>
        <v>30/12/2019</v>
      </c>
      <c r="AA67" s="15" t="str">
        <f t="shared" si="51"/>
        <v>30/12/2019</v>
      </c>
      <c r="AB67" s="15" t="str">
        <f t="shared" si="52"/>
        <v>30/12/2019</v>
      </c>
      <c r="AC67" s="15" t="str">
        <f>LEFT(Table22[[#This Row],[Date_of_Surgery Cleaned 3]],10)</f>
        <v>30/12/2019</v>
      </c>
      <c r="AD67" s="15" t="str">
        <f t="shared" si="53"/>
        <v>30/12/2019</v>
      </c>
      <c r="AE67" s="10" t="str">
        <f t="shared" si="54"/>
        <v>30/12/2019</v>
      </c>
      <c r="AF67" s="27" t="str">
        <f>RIGHT(Table22[[#This Row],[Date_of_Surgery Cleaned 6]],4)</f>
        <v>2019</v>
      </c>
      <c r="AG67" s="27" t="str">
        <f t="shared" si="55"/>
        <v>2019</v>
      </c>
      <c r="AH67" s="12">
        <v>45185</v>
      </c>
      <c r="AI67" s="15">
        <f t="shared" si="56"/>
        <v>45185</v>
      </c>
      <c r="AJ67" s="15">
        <f t="shared" si="57"/>
        <v>45185</v>
      </c>
      <c r="AK67" s="15" t="str">
        <f t="shared" si="58"/>
        <v>16,09,2023</v>
      </c>
      <c r="AL67" s="10" t="str">
        <f t="shared" si="59"/>
        <v>16/09/2023</v>
      </c>
      <c r="AM67" s="27" t="str">
        <f>RIGHT(Table22[[#This Row],[Date_of_Discharge Cleaned 4]],4)</f>
        <v>2023</v>
      </c>
      <c r="AN67" s="27" t="str">
        <f t="shared" si="60"/>
        <v>2023</v>
      </c>
      <c r="AO67" t="s">
        <v>161</v>
      </c>
      <c r="AP67" s="15" t="str">
        <f t="shared" si="61"/>
        <v>April 31, 2022</v>
      </c>
      <c r="AQ67" s="15" t="str">
        <f t="shared" si="62"/>
        <v>04/ 31, 2022</v>
      </c>
      <c r="AR67" s="15" t="str">
        <f t="shared" si="63"/>
        <v>04/ 31, 2022</v>
      </c>
      <c r="AS67" s="15" t="str">
        <f t="shared" si="64"/>
        <v>04/31/2022</v>
      </c>
      <c r="AT67" s="10" t="str">
        <f t="shared" si="65"/>
        <v>04/31/2022</v>
      </c>
      <c r="AU67" s="27" t="str">
        <f>RIGHT(Table22[[#This Row],[Follow_up_Visit Cleaned 5]],4)</f>
        <v>2022</v>
      </c>
      <c r="AV67" s="27" t="str">
        <f t="shared" si="66"/>
        <v>2022</v>
      </c>
    </row>
    <row r="68" spans="1:48" ht="14.25" customHeight="1" x14ac:dyDescent="0.2">
      <c r="A68" t="s">
        <v>503</v>
      </c>
      <c r="B68" t="s">
        <v>504</v>
      </c>
      <c r="C68" s="10" t="str">
        <f t="shared" si="40"/>
        <v>Patient_66</v>
      </c>
      <c r="D68">
        <v>43</v>
      </c>
      <c r="E68" t="s">
        <v>160</v>
      </c>
      <c r="F68" t="s">
        <v>505</v>
      </c>
      <c r="G68" s="15" t="str">
        <f t="shared" si="67"/>
        <v>23/05/2023</v>
      </c>
      <c r="H68" s="15" t="str">
        <f t="shared" si="41"/>
        <v>23/05/2023</v>
      </c>
      <c r="I68" s="15" t="str">
        <f t="shared" si="42"/>
        <v>23/05/2023</v>
      </c>
      <c r="J68" s="10" t="str">
        <f>LEFT(Table22[[#This Row],[Date_of_Admission Cleaned 3]],10)</f>
        <v>23/05/2023</v>
      </c>
      <c r="K68" s="27" t="str">
        <f>RIGHT(Table22[[#This Row],[Date_of_Admission Cleaned 4]],4)</f>
        <v>2023</v>
      </c>
      <c r="L68" s="27" t="str">
        <f t="shared" si="43"/>
        <v>2023</v>
      </c>
      <c r="M68" t="s">
        <v>506</v>
      </c>
      <c r="N68" s="15" t="str">
        <f t="shared" si="44"/>
        <v>2023/07/25</v>
      </c>
      <c r="O68" s="15" t="str">
        <f t="shared" si="45"/>
        <v>2023/07/25</v>
      </c>
      <c r="P68" s="10" t="str">
        <f t="shared" si="68"/>
        <v>25/07/2023</v>
      </c>
      <c r="Q68" s="27" t="str">
        <f>RIGHT(Table22[[#This Row],[Date_of_Diagnosis Cleaned 3]],4)</f>
        <v>2023</v>
      </c>
      <c r="R68" s="27" t="str">
        <f t="shared" si="46"/>
        <v>2023</v>
      </c>
      <c r="S68" t="s">
        <v>193</v>
      </c>
      <c r="T68" s="21" t="str">
        <f t="shared" si="47"/>
        <v>2024/11/19</v>
      </c>
      <c r="U68" s="21" t="str">
        <f t="shared" si="69"/>
        <v>19/11/2024</v>
      </c>
      <c r="V68" s="21" t="str">
        <f t="shared" si="48"/>
        <v>19/11/2024</v>
      </c>
      <c r="W68" s="16" t="str">
        <f t="shared" si="49"/>
        <v>19/11/2024</v>
      </c>
      <c r="X68" s="28" t="str">
        <f>RIGHT(Table22[[#This Row],[Date_of_Treatment_Start Cleaned 4]],4)</f>
        <v>2024</v>
      </c>
      <c r="Y68" t="s">
        <v>507</v>
      </c>
      <c r="Z68" s="15" t="str">
        <f t="shared" si="50"/>
        <v>10/11/2018</v>
      </c>
      <c r="AA68" s="15" t="str">
        <f t="shared" si="51"/>
        <v>10/11/2018</v>
      </c>
      <c r="AB68" s="15" t="str">
        <f t="shared" si="52"/>
        <v>10/11/2018</v>
      </c>
      <c r="AC68" s="15" t="str">
        <f>LEFT(Table22[[#This Row],[Date_of_Surgery Cleaned 3]],10)</f>
        <v>10/11/2018</v>
      </c>
      <c r="AD68" s="15" t="str">
        <f t="shared" si="53"/>
        <v>11,10,2018</v>
      </c>
      <c r="AE68" s="10" t="str">
        <f t="shared" si="54"/>
        <v>11/10/2018</v>
      </c>
      <c r="AF68" s="27" t="str">
        <f>RIGHT(Table22[[#This Row],[Date_of_Surgery Cleaned 6]],4)</f>
        <v>2018</v>
      </c>
      <c r="AG68" s="27" t="str">
        <f t="shared" si="55"/>
        <v>2018</v>
      </c>
      <c r="AH68" t="s">
        <v>508</v>
      </c>
      <c r="AI68" s="15" t="str">
        <f t="shared" si="56"/>
        <v>11 March 2024</v>
      </c>
      <c r="AJ68" s="15" t="str">
        <f t="shared" si="57"/>
        <v>11 March 2024</v>
      </c>
      <c r="AK68" s="15" t="str">
        <f t="shared" si="58"/>
        <v>11,03,2024</v>
      </c>
      <c r="AL68" s="10" t="str">
        <f t="shared" si="59"/>
        <v>11/03/2024</v>
      </c>
      <c r="AM68" s="27" t="str">
        <f>RIGHT(Table22[[#This Row],[Date_of_Discharge Cleaned 4]],4)</f>
        <v>2024</v>
      </c>
      <c r="AN68" s="27" t="str">
        <f t="shared" si="60"/>
        <v>2024</v>
      </c>
      <c r="AO68" s="6" t="s">
        <v>937</v>
      </c>
      <c r="AP68" s="15" t="str">
        <f t="shared" si="61"/>
        <v>30-02-2023</v>
      </c>
      <c r="AQ68" s="15" t="str">
        <f t="shared" si="62"/>
        <v>30-02-2023</v>
      </c>
      <c r="AR68" s="15" t="str">
        <f t="shared" si="63"/>
        <v>30-02-2023</v>
      </c>
      <c r="AS68" s="15" t="str">
        <f t="shared" si="64"/>
        <v>30/02/2023</v>
      </c>
      <c r="AT68" s="10" t="str">
        <f t="shared" si="65"/>
        <v>30/02/2023</v>
      </c>
      <c r="AU68" s="27" t="str">
        <f>RIGHT(Table22[[#This Row],[Follow_up_Visit Cleaned 5]],4)</f>
        <v>2023</v>
      </c>
      <c r="AV68" s="27" t="str">
        <f t="shared" si="66"/>
        <v>2023</v>
      </c>
    </row>
    <row r="69" spans="1:48" ht="14.25" customHeight="1" x14ac:dyDescent="0.2">
      <c r="A69" t="s">
        <v>509</v>
      </c>
      <c r="B69" t="s">
        <v>510</v>
      </c>
      <c r="C69" s="10" t="str">
        <f t="shared" si="40"/>
        <v>Patient_67</v>
      </c>
      <c r="D69">
        <v>72</v>
      </c>
      <c r="E69" t="s">
        <v>146</v>
      </c>
      <c r="F69" t="s">
        <v>511</v>
      </c>
      <c r="G69" s="15" t="str">
        <f t="shared" si="67"/>
        <v>24/10/2023</v>
      </c>
      <c r="H69" s="15" t="str">
        <f t="shared" si="41"/>
        <v>24/10/2023</v>
      </c>
      <c r="I69" s="15" t="str">
        <f t="shared" si="42"/>
        <v>24/10/2023</v>
      </c>
      <c r="J69" s="10" t="str">
        <f>LEFT(Table22[[#This Row],[Date_of_Admission Cleaned 3]],10)</f>
        <v>24/10/2023</v>
      </c>
      <c r="K69" s="27" t="str">
        <f>RIGHT(Table22[[#This Row],[Date_of_Admission Cleaned 4]],4)</f>
        <v>2023</v>
      </c>
      <c r="L69" s="27" t="str">
        <f t="shared" si="43"/>
        <v>2023</v>
      </c>
      <c r="M69" t="s">
        <v>512</v>
      </c>
      <c r="N69" s="15" t="str">
        <f t="shared" si="44"/>
        <v>2024/04/23</v>
      </c>
      <c r="O69" s="15" t="str">
        <f t="shared" si="45"/>
        <v>2024/04/23</v>
      </c>
      <c r="P69" s="10" t="str">
        <f t="shared" si="68"/>
        <v>23/04/2024</v>
      </c>
      <c r="Q69" s="27" t="str">
        <f>RIGHT(Table22[[#This Row],[Date_of_Diagnosis Cleaned 3]],4)</f>
        <v>2024</v>
      </c>
      <c r="R69" s="27" t="str">
        <f t="shared" si="46"/>
        <v>2024</v>
      </c>
      <c r="S69" t="s">
        <v>513</v>
      </c>
      <c r="T69" s="21" t="str">
        <f t="shared" si="47"/>
        <v>2024/12/14</v>
      </c>
      <c r="U69" s="21" t="str">
        <f t="shared" si="69"/>
        <v>14/12/2024</v>
      </c>
      <c r="V69" s="21" t="str">
        <f t="shared" si="48"/>
        <v>14/12/2024</v>
      </c>
      <c r="W69" s="16" t="str">
        <f t="shared" si="49"/>
        <v>14/12/2024</v>
      </c>
      <c r="X69" s="28" t="str">
        <f>RIGHT(Table22[[#This Row],[Date_of_Treatment_Start Cleaned 4]],4)</f>
        <v>2024</v>
      </c>
      <c r="Y69" t="s">
        <v>507</v>
      </c>
      <c r="Z69" s="15" t="str">
        <f t="shared" si="50"/>
        <v>10/11/2018</v>
      </c>
      <c r="AA69" s="15" t="str">
        <f t="shared" si="51"/>
        <v>10/11/2018</v>
      </c>
      <c r="AB69" s="15" t="str">
        <f t="shared" si="52"/>
        <v>10/11/2018</v>
      </c>
      <c r="AC69" s="15" t="str">
        <f>LEFT(Table22[[#This Row],[Date_of_Surgery Cleaned 3]],10)</f>
        <v>10/11/2018</v>
      </c>
      <c r="AD69" s="15" t="str">
        <f t="shared" si="53"/>
        <v>11,10,2018</v>
      </c>
      <c r="AE69" s="10" t="str">
        <f t="shared" si="54"/>
        <v>11/10/2018</v>
      </c>
      <c r="AF69" s="27" t="str">
        <f>RIGHT(Table22[[#This Row],[Date_of_Surgery Cleaned 6]],4)</f>
        <v>2018</v>
      </c>
      <c r="AG69" s="27" t="str">
        <f t="shared" si="55"/>
        <v>2018</v>
      </c>
      <c r="AH69" t="s">
        <v>198</v>
      </c>
      <c r="AI69" s="15" t="str">
        <f t="shared" si="56"/>
        <v>N/A</v>
      </c>
      <c r="AJ69" s="15" t="str">
        <f t="shared" si="57"/>
        <v>Unknown</v>
      </c>
      <c r="AK69" s="15" t="str">
        <f t="shared" si="58"/>
        <v>Unknown</v>
      </c>
      <c r="AL69" s="10" t="str">
        <f t="shared" si="59"/>
        <v>Unknown</v>
      </c>
      <c r="AM69" s="27" t="str">
        <f>RIGHT(Table22[[#This Row],[Date_of_Discharge Cleaned 4]],4)</f>
        <v>nown</v>
      </c>
      <c r="AN69" s="27" t="str">
        <f t="shared" si="60"/>
        <v>Unknown</v>
      </c>
      <c r="AO69" t="s">
        <v>514</v>
      </c>
      <c r="AP69" s="15" t="str">
        <f t="shared" si="61"/>
        <v>None</v>
      </c>
      <c r="AQ69" s="15" t="str">
        <f t="shared" si="62"/>
        <v>Unknown</v>
      </c>
      <c r="AR69" s="15" t="str">
        <f t="shared" si="63"/>
        <v>Unknown</v>
      </c>
      <c r="AS69" s="15" t="str">
        <f t="shared" si="64"/>
        <v>Unknown</v>
      </c>
      <c r="AT69" s="10" t="str">
        <f t="shared" si="65"/>
        <v>Unknown</v>
      </c>
      <c r="AU69" s="27" t="str">
        <f>RIGHT(Table22[[#This Row],[Follow_up_Visit Cleaned 5]],4)</f>
        <v>nown</v>
      </c>
      <c r="AV69" s="27" t="str">
        <f t="shared" si="66"/>
        <v>Unknown</v>
      </c>
    </row>
    <row r="70" spans="1:48" ht="14.25" customHeight="1" x14ac:dyDescent="0.2">
      <c r="A70" t="s">
        <v>515</v>
      </c>
      <c r="B70" t="s">
        <v>516</v>
      </c>
      <c r="C70" s="10" t="str">
        <f t="shared" si="40"/>
        <v>Patient_68</v>
      </c>
      <c r="D70">
        <v>21</v>
      </c>
      <c r="E70" t="s">
        <v>160</v>
      </c>
      <c r="F70" t="s">
        <v>147</v>
      </c>
      <c r="G70" s="15" t="str">
        <f t="shared" si="67"/>
        <v>12/13/2023</v>
      </c>
      <c r="H70" s="15" t="str">
        <f t="shared" si="41"/>
        <v>12/13/2023</v>
      </c>
      <c r="I70" s="15" t="str">
        <f t="shared" si="42"/>
        <v>13/12/2023</v>
      </c>
      <c r="J70" s="10" t="str">
        <f>LEFT(Table22[[#This Row],[Date_of_Admission Cleaned 3]],10)</f>
        <v>13/12/2023</v>
      </c>
      <c r="K70" s="27" t="str">
        <f>RIGHT(Table22[[#This Row],[Date_of_Admission Cleaned 4]],4)</f>
        <v>2023</v>
      </c>
      <c r="L70" s="27" t="str">
        <f t="shared" si="43"/>
        <v>2023</v>
      </c>
      <c r="M70" t="s">
        <v>517</v>
      </c>
      <c r="N70" s="15" t="str">
        <f t="shared" si="44"/>
        <v>20/11/2024</v>
      </c>
      <c r="O70" s="15" t="str">
        <f t="shared" si="45"/>
        <v>20/11/2024</v>
      </c>
      <c r="P70" s="10" t="str">
        <f t="shared" si="68"/>
        <v>20/11/2024</v>
      </c>
      <c r="Q70" s="27" t="str">
        <f>RIGHT(Table22[[#This Row],[Date_of_Diagnosis Cleaned 3]],4)</f>
        <v>2024</v>
      </c>
      <c r="R70" s="27" t="str">
        <f t="shared" si="46"/>
        <v>2024</v>
      </c>
      <c r="S70" s="12">
        <v>45403</v>
      </c>
      <c r="T70" s="21" t="str">
        <f t="shared" si="47"/>
        <v>45403</v>
      </c>
      <c r="U70" s="21" t="str">
        <f t="shared" si="69"/>
        <v>21/04/2024</v>
      </c>
      <c r="V70" s="21" t="str">
        <f t="shared" si="48"/>
        <v>21/04/2024</v>
      </c>
      <c r="W70" s="16" t="str">
        <f t="shared" si="49"/>
        <v>21/04/2024</v>
      </c>
      <c r="X70" s="28" t="str">
        <f>RIGHT(Table22[[#This Row],[Date_of_Treatment_Start Cleaned 4]],4)</f>
        <v>2024</v>
      </c>
      <c r="Y70" s="6" t="s">
        <v>891</v>
      </c>
      <c r="Z70" s="15" t="str">
        <f t="shared" si="50"/>
        <v>27/08/2016</v>
      </c>
      <c r="AA70" s="15" t="str">
        <f t="shared" si="51"/>
        <v>27/08/2016</v>
      </c>
      <c r="AB70" s="15" t="str">
        <f t="shared" si="52"/>
        <v>27/08/2016</v>
      </c>
      <c r="AC70" s="15" t="str">
        <f>LEFT(Table22[[#This Row],[Date_of_Surgery Cleaned 3]],10)</f>
        <v>27/08/2016</v>
      </c>
      <c r="AD70" s="15" t="str">
        <f t="shared" si="53"/>
        <v>27/08/2016</v>
      </c>
      <c r="AE70" s="10" t="str">
        <f t="shared" si="54"/>
        <v>27/08/2016</v>
      </c>
      <c r="AF70" s="27" t="str">
        <f>RIGHT(Table22[[#This Row],[Date_of_Surgery Cleaned 6]],4)</f>
        <v>2016</v>
      </c>
      <c r="AG70" s="27" t="str">
        <f t="shared" si="55"/>
        <v>2016</v>
      </c>
      <c r="AH70" t="s">
        <v>518</v>
      </c>
      <c r="AI70" s="15" t="str">
        <f t="shared" si="56"/>
        <v>Mar 08, 2023</v>
      </c>
      <c r="AJ70" s="15" t="str">
        <f t="shared" si="57"/>
        <v>Mar 08, 2023</v>
      </c>
      <c r="AK70" s="15" t="str">
        <f t="shared" si="58"/>
        <v>08,03,2023</v>
      </c>
      <c r="AL70" s="10" t="str">
        <f t="shared" si="59"/>
        <v>08/03/2023</v>
      </c>
      <c r="AM70" s="27" t="str">
        <f>RIGHT(Table22[[#This Row],[Date_of_Discharge Cleaned 4]],4)</f>
        <v>2023</v>
      </c>
      <c r="AN70" s="27" t="str">
        <f t="shared" si="60"/>
        <v>2023</v>
      </c>
      <c r="AO70" t="s">
        <v>161</v>
      </c>
      <c r="AP70" s="15" t="str">
        <f t="shared" si="61"/>
        <v>April 31, 2022</v>
      </c>
      <c r="AQ70" s="15" t="str">
        <f t="shared" si="62"/>
        <v>04/ 31, 2022</v>
      </c>
      <c r="AR70" s="15" t="str">
        <f t="shared" si="63"/>
        <v>04/ 31, 2022</v>
      </c>
      <c r="AS70" s="15" t="str">
        <f t="shared" si="64"/>
        <v>04/31/2022</v>
      </c>
      <c r="AT70" s="10" t="str">
        <f t="shared" si="65"/>
        <v>04/31/2022</v>
      </c>
      <c r="AU70" s="27" t="str">
        <f>RIGHT(Table22[[#This Row],[Follow_up_Visit Cleaned 5]],4)</f>
        <v>2022</v>
      </c>
      <c r="AV70" s="27" t="str">
        <f t="shared" si="66"/>
        <v>2022</v>
      </c>
    </row>
    <row r="71" spans="1:48" ht="14.25" customHeight="1" x14ac:dyDescent="0.2">
      <c r="A71" t="s">
        <v>519</v>
      </c>
      <c r="B71" t="s">
        <v>520</v>
      </c>
      <c r="C71" s="10" t="str">
        <f t="shared" si="40"/>
        <v>Patient_69</v>
      </c>
      <c r="D71">
        <v>79</v>
      </c>
      <c r="E71" t="s">
        <v>146</v>
      </c>
      <c r="F71" t="s">
        <v>521</v>
      </c>
      <c r="G71" s="15" t="str">
        <f t="shared" si="67"/>
        <v>27/08/2023</v>
      </c>
      <c r="H71" s="15" t="str">
        <f t="shared" si="41"/>
        <v>27/08/2023</v>
      </c>
      <c r="I71" s="15" t="str">
        <f t="shared" si="42"/>
        <v>27/08/2023</v>
      </c>
      <c r="J71" s="10" t="str">
        <f>LEFT(Table22[[#This Row],[Date_of_Admission Cleaned 3]],10)</f>
        <v>27/08/2023</v>
      </c>
      <c r="K71" s="27" t="str">
        <f>RIGHT(Table22[[#This Row],[Date_of_Admission Cleaned 4]],4)</f>
        <v>2023</v>
      </c>
      <c r="L71" s="27" t="str">
        <f t="shared" si="43"/>
        <v>2023</v>
      </c>
      <c r="M71" t="s">
        <v>522</v>
      </c>
      <c r="N71" s="15" t="str">
        <f t="shared" si="44"/>
        <v>Mar/04//2023</v>
      </c>
      <c r="O71" s="15" t="str">
        <f t="shared" si="45"/>
        <v>03/04/2023</v>
      </c>
      <c r="P71" s="10" t="str">
        <f t="shared" si="68"/>
        <v>04/03/2023</v>
      </c>
      <c r="Q71" s="27" t="str">
        <f>RIGHT(Table22[[#This Row],[Date_of_Diagnosis Cleaned 3]],4)</f>
        <v>2023</v>
      </c>
      <c r="R71" s="27" t="str">
        <f t="shared" si="46"/>
        <v>2023</v>
      </c>
      <c r="S71" s="12">
        <v>45450</v>
      </c>
      <c r="T71" s="21" t="str">
        <f t="shared" si="47"/>
        <v>45450</v>
      </c>
      <c r="U71" s="21" t="str">
        <f t="shared" si="69"/>
        <v>07/06/2024</v>
      </c>
      <c r="V71" s="21" t="str">
        <f t="shared" si="48"/>
        <v>07/06/2024</v>
      </c>
      <c r="W71" s="16" t="str">
        <f t="shared" si="49"/>
        <v>07/06/2024</v>
      </c>
      <c r="X71" s="28" t="str">
        <f>RIGHT(Table22[[#This Row],[Date_of_Treatment_Start Cleaned 4]],4)</f>
        <v>2024</v>
      </c>
      <c r="Y71" s="6" t="s">
        <v>891</v>
      </c>
      <c r="Z71" s="15" t="str">
        <f t="shared" si="50"/>
        <v>27/08/2016</v>
      </c>
      <c r="AA71" s="15" t="str">
        <f t="shared" si="51"/>
        <v>27/08/2016</v>
      </c>
      <c r="AB71" s="15" t="str">
        <f t="shared" si="52"/>
        <v>27/08/2016</v>
      </c>
      <c r="AC71" s="15" t="str">
        <f>LEFT(Table22[[#This Row],[Date_of_Surgery Cleaned 3]],10)</f>
        <v>27/08/2016</v>
      </c>
      <c r="AD71" s="15" t="str">
        <f t="shared" si="53"/>
        <v>27/08/2016</v>
      </c>
      <c r="AE71" s="10" t="str">
        <f t="shared" si="54"/>
        <v>27/08/2016</v>
      </c>
      <c r="AF71" s="27" t="str">
        <f>RIGHT(Table22[[#This Row],[Date_of_Surgery Cleaned 6]],4)</f>
        <v>2016</v>
      </c>
      <c r="AG71" s="27" t="str">
        <f t="shared" si="55"/>
        <v>2016</v>
      </c>
      <c r="AH71" t="s">
        <v>523</v>
      </c>
      <c r="AI71" s="15" t="str">
        <f t="shared" si="56"/>
        <v>18-05-2024</v>
      </c>
      <c r="AJ71" s="15" t="str">
        <f t="shared" si="57"/>
        <v>18-05-2024</v>
      </c>
      <c r="AK71" s="15" t="str">
        <f t="shared" si="58"/>
        <v>18-05-2024</v>
      </c>
      <c r="AL71" s="10" t="str">
        <f t="shared" si="59"/>
        <v>18/05/2024</v>
      </c>
      <c r="AM71" s="27" t="str">
        <f>RIGHT(Table22[[#This Row],[Date_of_Discharge Cleaned 4]],4)</f>
        <v>2024</v>
      </c>
      <c r="AN71" s="27" t="str">
        <f t="shared" si="60"/>
        <v>2024</v>
      </c>
      <c r="AO71" s="12">
        <v>44927</v>
      </c>
      <c r="AP71" s="15">
        <f t="shared" si="61"/>
        <v>44927</v>
      </c>
      <c r="AQ71" s="15" t="str">
        <f t="shared" si="62"/>
        <v>44927</v>
      </c>
      <c r="AR71" s="15" t="str">
        <f t="shared" si="63"/>
        <v>01,01,2023</v>
      </c>
      <c r="AS71" s="15" t="str">
        <f t="shared" si="64"/>
        <v>01/01/2023</v>
      </c>
      <c r="AT71" s="10" t="str">
        <f t="shared" si="65"/>
        <v>01/01/2023</v>
      </c>
      <c r="AU71" s="27" t="str">
        <f>RIGHT(Table22[[#This Row],[Follow_up_Visit Cleaned 5]],4)</f>
        <v>2023</v>
      </c>
      <c r="AV71" s="27" t="str">
        <f t="shared" si="66"/>
        <v>2023</v>
      </c>
    </row>
    <row r="72" spans="1:48" ht="14.25" customHeight="1" x14ac:dyDescent="0.2">
      <c r="A72" t="s">
        <v>524</v>
      </c>
      <c r="B72" t="s">
        <v>846</v>
      </c>
      <c r="C72" s="10" t="str">
        <f t="shared" si="40"/>
        <v>Patient_70</v>
      </c>
      <c r="D72">
        <v>63</v>
      </c>
      <c r="E72" t="s">
        <v>146</v>
      </c>
      <c r="F72" t="s">
        <v>525</v>
      </c>
      <c r="G72" s="15" t="str">
        <f t="shared" si="67"/>
        <v>2024/01/25</v>
      </c>
      <c r="H72" s="15" t="str">
        <f t="shared" si="41"/>
        <v>2024/01/25</v>
      </c>
      <c r="I72" s="15" t="str">
        <f t="shared" si="42"/>
        <v>25/01/2024</v>
      </c>
      <c r="J72" s="10" t="str">
        <f>LEFT(Table22[[#This Row],[Date_of_Admission Cleaned 3]],10)</f>
        <v>25/01/2024</v>
      </c>
      <c r="K72" s="27" t="str">
        <f>RIGHT(Table22[[#This Row],[Date_of_Admission Cleaned 4]],4)</f>
        <v>2024</v>
      </c>
      <c r="L72" s="27" t="str">
        <f t="shared" si="43"/>
        <v>2024</v>
      </c>
      <c r="M72" t="s">
        <v>526</v>
      </c>
      <c r="N72" s="15" t="str">
        <f t="shared" si="44"/>
        <v>18/10/2017</v>
      </c>
      <c r="O72" s="15" t="str">
        <f t="shared" si="45"/>
        <v>18/10/2017</v>
      </c>
      <c r="P72" s="10" t="str">
        <f t="shared" si="68"/>
        <v>18/10/2017</v>
      </c>
      <c r="Q72" s="27" t="str">
        <f>RIGHT(Table22[[#This Row],[Date_of_Diagnosis Cleaned 3]],4)</f>
        <v>2017</v>
      </c>
      <c r="R72" s="27" t="str">
        <f t="shared" si="46"/>
        <v>2017</v>
      </c>
      <c r="S72" t="s">
        <v>527</v>
      </c>
      <c r="T72" s="21" t="str">
        <f t="shared" si="47"/>
        <v>21/Oct/2023</v>
      </c>
      <c r="U72" s="21" t="str">
        <f t="shared" si="69"/>
        <v>21/10/2023</v>
      </c>
      <c r="V72" s="21" t="str">
        <f t="shared" si="48"/>
        <v>21/10/2023</v>
      </c>
      <c r="W72" s="16" t="str">
        <f t="shared" si="49"/>
        <v>21/10/2023</v>
      </c>
      <c r="X72" s="28" t="str">
        <f>RIGHT(Table22[[#This Row],[Date_of_Treatment_Start Cleaned 4]],4)</f>
        <v>2023</v>
      </c>
      <c r="Y72" s="6" t="s">
        <v>891</v>
      </c>
      <c r="Z72" s="15" t="str">
        <f t="shared" si="50"/>
        <v>27/08/2016</v>
      </c>
      <c r="AA72" s="15" t="str">
        <f t="shared" si="51"/>
        <v>27/08/2016</v>
      </c>
      <c r="AB72" s="15" t="str">
        <f t="shared" si="52"/>
        <v>27/08/2016</v>
      </c>
      <c r="AC72" s="15" t="str">
        <f>LEFT(Table22[[#This Row],[Date_of_Surgery Cleaned 3]],10)</f>
        <v>27/08/2016</v>
      </c>
      <c r="AD72" s="15" t="str">
        <f t="shared" si="53"/>
        <v>27/08/2016</v>
      </c>
      <c r="AE72" s="10" t="str">
        <f t="shared" si="54"/>
        <v>27/08/2016</v>
      </c>
      <c r="AF72" s="27" t="str">
        <f>RIGHT(Table22[[#This Row],[Date_of_Surgery Cleaned 6]],4)</f>
        <v>2016</v>
      </c>
      <c r="AG72" s="27" t="str">
        <f t="shared" si="55"/>
        <v>2016</v>
      </c>
      <c r="AI72" s="15" t="str">
        <f t="shared" si="56"/>
        <v>Unknown</v>
      </c>
      <c r="AJ72" s="15" t="str">
        <f t="shared" si="57"/>
        <v>Unknown</v>
      </c>
      <c r="AK72" s="15" t="str">
        <f t="shared" si="58"/>
        <v>Unknown</v>
      </c>
      <c r="AL72" s="10" t="str">
        <f t="shared" si="59"/>
        <v>Unknown</v>
      </c>
      <c r="AM72" s="27" t="str">
        <f>RIGHT(Table22[[#This Row],[Date_of_Discharge Cleaned 4]],4)</f>
        <v>nown</v>
      </c>
      <c r="AN72" s="27" t="str">
        <f t="shared" si="60"/>
        <v>Unknown</v>
      </c>
      <c r="AO72" s="6" t="s">
        <v>939</v>
      </c>
      <c r="AP72" s="15" t="str">
        <f t="shared" si="61"/>
        <v>13-01-2020</v>
      </c>
      <c r="AQ72" s="15" t="str">
        <f t="shared" si="62"/>
        <v>13-01-2020</v>
      </c>
      <c r="AR72" s="15" t="str">
        <f t="shared" si="63"/>
        <v>13-01-2020</v>
      </c>
      <c r="AS72" s="15" t="str">
        <f t="shared" si="64"/>
        <v>13/01/2020</v>
      </c>
      <c r="AT72" s="10" t="str">
        <f t="shared" si="65"/>
        <v>13/01/2020</v>
      </c>
      <c r="AU72" s="27" t="str">
        <f>RIGHT(Table22[[#This Row],[Follow_up_Visit Cleaned 5]],4)</f>
        <v>2020</v>
      </c>
      <c r="AV72" s="27" t="str">
        <f t="shared" si="66"/>
        <v>2020</v>
      </c>
    </row>
    <row r="73" spans="1:48" ht="14.25" customHeight="1" x14ac:dyDescent="0.2">
      <c r="A73" t="s">
        <v>528</v>
      </c>
      <c r="B73" t="s">
        <v>529</v>
      </c>
      <c r="C73" s="10" t="str">
        <f t="shared" si="40"/>
        <v>Patient_71</v>
      </c>
      <c r="D73">
        <v>27</v>
      </c>
      <c r="E73" t="s">
        <v>146</v>
      </c>
      <c r="F73" t="s">
        <v>530</v>
      </c>
      <c r="G73" s="15" t="str">
        <f t="shared" si="67"/>
        <v>09/04/2024</v>
      </c>
      <c r="H73" s="15" t="str">
        <f t="shared" si="41"/>
        <v>09/04/2024</v>
      </c>
      <c r="I73" s="15" t="str">
        <f t="shared" si="42"/>
        <v>04/09/2024</v>
      </c>
      <c r="J73" s="10" t="str">
        <f>LEFT(Table22[[#This Row],[Date_of_Admission Cleaned 3]],10)</f>
        <v>04/09/2024</v>
      </c>
      <c r="K73" s="27" t="str">
        <f>RIGHT(Table22[[#This Row],[Date_of_Admission Cleaned 4]],4)</f>
        <v>2024</v>
      </c>
      <c r="L73" s="27" t="str">
        <f t="shared" si="43"/>
        <v>2024</v>
      </c>
      <c r="M73" t="s">
        <v>531</v>
      </c>
      <c r="N73" s="15" t="str">
        <f t="shared" si="44"/>
        <v>14/12/2023</v>
      </c>
      <c r="O73" s="15" t="str">
        <f t="shared" si="45"/>
        <v>14/12/2023</v>
      </c>
      <c r="P73" s="10" t="str">
        <f t="shared" si="68"/>
        <v>14/12/2023</v>
      </c>
      <c r="Q73" s="27" t="str">
        <f>RIGHT(Table22[[#This Row],[Date_of_Diagnosis Cleaned 3]],4)</f>
        <v>2023</v>
      </c>
      <c r="R73" s="27" t="str">
        <f t="shared" si="46"/>
        <v>2023</v>
      </c>
      <c r="S73" t="s">
        <v>532</v>
      </c>
      <c r="T73" s="21" t="str">
        <f t="shared" si="47"/>
        <v>22/March/2024</v>
      </c>
      <c r="U73" s="21" t="str">
        <f t="shared" si="69"/>
        <v>22/03/2024</v>
      </c>
      <c r="V73" s="21" t="str">
        <f t="shared" si="48"/>
        <v>22/03/2024</v>
      </c>
      <c r="W73" s="16" t="str">
        <f t="shared" si="49"/>
        <v>22/03/2024</v>
      </c>
      <c r="X73" s="28" t="str">
        <f>RIGHT(Table22[[#This Row],[Date_of_Treatment_Start Cleaned 4]],4)</f>
        <v>2024</v>
      </c>
      <c r="Y73" s="6" t="s">
        <v>891</v>
      </c>
      <c r="Z73" s="15" t="str">
        <f t="shared" si="50"/>
        <v>27/08/2016</v>
      </c>
      <c r="AA73" s="15" t="str">
        <f t="shared" si="51"/>
        <v>27/08/2016</v>
      </c>
      <c r="AB73" s="15" t="str">
        <f t="shared" si="52"/>
        <v>27/08/2016</v>
      </c>
      <c r="AC73" s="15" t="str">
        <f>LEFT(Table22[[#This Row],[Date_of_Surgery Cleaned 3]],10)</f>
        <v>27/08/2016</v>
      </c>
      <c r="AD73" s="15" t="str">
        <f t="shared" si="53"/>
        <v>27/08/2016</v>
      </c>
      <c r="AE73" s="10" t="str">
        <f t="shared" si="54"/>
        <v>27/08/2016</v>
      </c>
      <c r="AF73" s="27" t="str">
        <f>RIGHT(Table22[[#This Row],[Date_of_Surgery Cleaned 6]],4)</f>
        <v>2016</v>
      </c>
      <c r="AG73" s="27" t="str">
        <f t="shared" si="55"/>
        <v>2016</v>
      </c>
      <c r="AH73" t="s">
        <v>198</v>
      </c>
      <c r="AI73" s="15" t="str">
        <f t="shared" si="56"/>
        <v>N/A</v>
      </c>
      <c r="AJ73" s="15" t="str">
        <f t="shared" si="57"/>
        <v>Unknown</v>
      </c>
      <c r="AK73" s="15" t="str">
        <f t="shared" si="58"/>
        <v>Unknown</v>
      </c>
      <c r="AL73" s="10" t="str">
        <f t="shared" si="59"/>
        <v>Unknown</v>
      </c>
      <c r="AM73" s="27" t="str">
        <f>RIGHT(Table22[[#This Row],[Date_of_Discharge Cleaned 4]],4)</f>
        <v>nown</v>
      </c>
      <c r="AN73" s="27" t="str">
        <f t="shared" si="60"/>
        <v>Unknown</v>
      </c>
      <c r="AO73" s="6" t="s">
        <v>951</v>
      </c>
      <c r="AP73" s="15" t="str">
        <f t="shared" si="61"/>
        <v>11-01-2022abc</v>
      </c>
      <c r="AQ73" s="15" t="str">
        <f t="shared" si="62"/>
        <v>11-01-2022abc</v>
      </c>
      <c r="AR73" s="15" t="str">
        <f t="shared" si="63"/>
        <v>11-01-2022abc</v>
      </c>
      <c r="AS73" s="15" t="str">
        <f t="shared" si="64"/>
        <v>11/01/2022abc</v>
      </c>
      <c r="AT73" s="10" t="str">
        <f t="shared" si="65"/>
        <v>11/01/2022</v>
      </c>
      <c r="AU73" s="27" t="str">
        <f>RIGHT(Table22[[#This Row],[Follow_up_Visit Cleaned 5]],4)</f>
        <v>2022</v>
      </c>
      <c r="AV73" s="27" t="str">
        <f t="shared" si="66"/>
        <v>2022</v>
      </c>
    </row>
    <row r="74" spans="1:48" ht="14.25" customHeight="1" x14ac:dyDescent="0.2">
      <c r="A74" t="s">
        <v>533</v>
      </c>
      <c r="B74" t="s">
        <v>534</v>
      </c>
      <c r="C74" s="10" t="str">
        <f t="shared" si="40"/>
        <v>Patient_72</v>
      </c>
      <c r="D74">
        <v>66</v>
      </c>
      <c r="E74" t="s">
        <v>160</v>
      </c>
      <c r="F74" t="s">
        <v>535</v>
      </c>
      <c r="G74" s="15" t="str">
        <f t="shared" si="67"/>
        <v>16/06/2023</v>
      </c>
      <c r="H74" s="15" t="str">
        <f t="shared" si="41"/>
        <v>16/06/2023</v>
      </c>
      <c r="I74" s="15" t="str">
        <f t="shared" si="42"/>
        <v>16/06/2023</v>
      </c>
      <c r="J74" s="10" t="str">
        <f>LEFT(Table22[[#This Row],[Date_of_Admission Cleaned 3]],10)</f>
        <v>16/06/2023</v>
      </c>
      <c r="K74" s="27" t="str">
        <f>RIGHT(Table22[[#This Row],[Date_of_Admission Cleaned 4]],4)</f>
        <v>2023</v>
      </c>
      <c r="L74" s="27" t="str">
        <f t="shared" si="43"/>
        <v>2023</v>
      </c>
      <c r="M74" t="s">
        <v>198</v>
      </c>
      <c r="N74" s="15" t="str">
        <f t="shared" si="44"/>
        <v>Unknown</v>
      </c>
      <c r="O74" s="15" t="str">
        <f t="shared" si="45"/>
        <v>Unknown</v>
      </c>
      <c r="P74" s="10" t="str">
        <f t="shared" si="68"/>
        <v>Unknown</v>
      </c>
      <c r="Q74" s="27" t="str">
        <f>RIGHT(Table22[[#This Row],[Date_of_Diagnosis Cleaned 3]],4)</f>
        <v>nown</v>
      </c>
      <c r="R74" s="27" t="str">
        <f t="shared" si="46"/>
        <v>Unknown</v>
      </c>
      <c r="S74" t="s">
        <v>536</v>
      </c>
      <c r="T74" s="21" t="str">
        <f t="shared" si="47"/>
        <v>22/Aug/2023</v>
      </c>
      <c r="U74" s="21" t="str">
        <f t="shared" si="69"/>
        <v>22/08/2023</v>
      </c>
      <c r="V74" s="21" t="str">
        <f t="shared" si="48"/>
        <v>22/08/2023</v>
      </c>
      <c r="W74" s="16" t="str">
        <f t="shared" si="49"/>
        <v>22/08/2023</v>
      </c>
      <c r="X74" s="28" t="str">
        <f>RIGHT(Table22[[#This Row],[Date_of_Treatment_Start Cleaned 4]],4)</f>
        <v>2023</v>
      </c>
      <c r="Y74" s="12">
        <v>42889</v>
      </c>
      <c r="Z74" s="15" t="str">
        <f t="shared" si="50"/>
        <v>42889</v>
      </c>
      <c r="AA74" s="15" t="str">
        <f t="shared" si="51"/>
        <v>42889</v>
      </c>
      <c r="AB74" s="15" t="str">
        <f t="shared" si="52"/>
        <v>42889</v>
      </c>
      <c r="AC74" s="15" t="str">
        <f>LEFT(Table22[[#This Row],[Date_of_Surgery Cleaned 3]],10)</f>
        <v>42889</v>
      </c>
      <c r="AD74" s="15" t="str">
        <f t="shared" si="53"/>
        <v>03,06,2017</v>
      </c>
      <c r="AE74" s="10" t="str">
        <f t="shared" si="54"/>
        <v>03/06/2017</v>
      </c>
      <c r="AF74" s="27" t="str">
        <f>RIGHT(Table22[[#This Row],[Date_of_Surgery Cleaned 6]],4)</f>
        <v>2017</v>
      </c>
      <c r="AG74" s="27" t="str">
        <f t="shared" si="55"/>
        <v>2017</v>
      </c>
      <c r="AI74" s="15" t="str">
        <f t="shared" si="56"/>
        <v>Unknown</v>
      </c>
      <c r="AJ74" s="15" t="str">
        <f t="shared" si="57"/>
        <v>Unknown</v>
      </c>
      <c r="AK74" s="15" t="str">
        <f t="shared" si="58"/>
        <v>Unknown</v>
      </c>
      <c r="AL74" s="10" t="str">
        <f t="shared" si="59"/>
        <v>Unknown</v>
      </c>
      <c r="AM74" s="27" t="str">
        <f>RIGHT(Table22[[#This Row],[Date_of_Discharge Cleaned 4]],4)</f>
        <v>nown</v>
      </c>
      <c r="AN74" s="27" t="str">
        <f t="shared" si="60"/>
        <v>Unknown</v>
      </c>
      <c r="AO74">
        <v>44736</v>
      </c>
      <c r="AP74" s="15">
        <f t="shared" si="61"/>
        <v>44736</v>
      </c>
      <c r="AQ74" s="15" t="str">
        <f t="shared" si="62"/>
        <v>44736</v>
      </c>
      <c r="AR74" s="15" t="str">
        <f t="shared" si="63"/>
        <v>24,06,2022</v>
      </c>
      <c r="AS74" s="15" t="str">
        <f t="shared" si="64"/>
        <v>24/06/2022</v>
      </c>
      <c r="AT74" s="10" t="str">
        <f t="shared" si="65"/>
        <v>24/06/2022</v>
      </c>
      <c r="AU74" s="27" t="str">
        <f>RIGHT(Table22[[#This Row],[Follow_up_Visit Cleaned 5]],4)</f>
        <v>2022</v>
      </c>
      <c r="AV74" s="27" t="str">
        <f t="shared" si="66"/>
        <v>2022</v>
      </c>
    </row>
    <row r="75" spans="1:48" ht="14.25" customHeight="1" x14ac:dyDescent="0.2">
      <c r="A75" t="s">
        <v>537</v>
      </c>
      <c r="B75" t="s">
        <v>538</v>
      </c>
      <c r="C75" s="10" t="str">
        <f t="shared" si="40"/>
        <v>Patient_73</v>
      </c>
      <c r="D75">
        <v>54</v>
      </c>
      <c r="E75" t="s">
        <v>160</v>
      </c>
      <c r="F75" t="s">
        <v>539</v>
      </c>
      <c r="G75" s="15" t="str">
        <f t="shared" si="67"/>
        <v>30/Dec/2023</v>
      </c>
      <c r="H75" s="15" t="str">
        <f t="shared" si="41"/>
        <v>30/12/2023</v>
      </c>
      <c r="I75" s="15" t="str">
        <f t="shared" si="42"/>
        <v>30/12/2023</v>
      </c>
      <c r="J75" s="10" t="str">
        <f>LEFT(Table22[[#This Row],[Date_of_Admission Cleaned 3]],10)</f>
        <v>30/12/2023</v>
      </c>
      <c r="K75" s="27" t="str">
        <f>RIGHT(Table22[[#This Row],[Date_of_Admission Cleaned 4]],4)</f>
        <v>2023</v>
      </c>
      <c r="L75" s="27" t="str">
        <f t="shared" si="43"/>
        <v>2023</v>
      </c>
      <c r="M75" t="s">
        <v>343</v>
      </c>
      <c r="N75" s="15" t="str">
        <f t="shared" si="44"/>
        <v>16/Jul/2023</v>
      </c>
      <c r="O75" s="15" t="str">
        <f t="shared" si="45"/>
        <v>16/Jul/2023</v>
      </c>
      <c r="P75" s="10" t="str">
        <f t="shared" si="68"/>
        <v>16/07/2023</v>
      </c>
      <c r="Q75" s="27" t="str">
        <f>RIGHT(Table22[[#This Row],[Date_of_Diagnosis Cleaned 3]],4)</f>
        <v>2023</v>
      </c>
      <c r="R75" s="27" t="str">
        <f t="shared" si="46"/>
        <v>2023</v>
      </c>
      <c r="S75" t="s">
        <v>540</v>
      </c>
      <c r="T75" s="21" t="str">
        <f t="shared" si="47"/>
        <v>23/06/2023</v>
      </c>
      <c r="U75" s="21" t="str">
        <f t="shared" si="69"/>
        <v>23/06/2023</v>
      </c>
      <c r="V75" s="21" t="str">
        <f t="shared" si="48"/>
        <v>23/06/2023</v>
      </c>
      <c r="W75" s="16" t="str">
        <f t="shared" si="49"/>
        <v>23/06/2023</v>
      </c>
      <c r="X75" s="28" t="str">
        <f>RIGHT(Table22[[#This Row],[Date_of_Treatment_Start Cleaned 4]],4)</f>
        <v>2023</v>
      </c>
      <c r="Y75" t="s">
        <v>541</v>
      </c>
      <c r="Z75" s="15" t="str">
        <f t="shared" si="50"/>
        <v>10/4/2017</v>
      </c>
      <c r="AA75" s="15" t="str">
        <f t="shared" si="51"/>
        <v>10/4/2017</v>
      </c>
      <c r="AB75" s="15" t="str">
        <f t="shared" si="52"/>
        <v>10/04/2017</v>
      </c>
      <c r="AC75" s="15" t="str">
        <f>LEFT(Table22[[#This Row],[Date_of_Surgery Cleaned 3]],10)</f>
        <v>10/04/2017</v>
      </c>
      <c r="AD75" s="15" t="str">
        <f t="shared" si="53"/>
        <v>04,10,2017</v>
      </c>
      <c r="AE75" s="10" t="str">
        <f t="shared" si="54"/>
        <v>04/10/2017</v>
      </c>
      <c r="AF75" s="27" t="str">
        <f>RIGHT(Table22[[#This Row],[Date_of_Surgery Cleaned 6]],4)</f>
        <v>2017</v>
      </c>
      <c r="AG75" s="27" t="str">
        <f t="shared" si="55"/>
        <v>2017</v>
      </c>
      <c r="AH75" t="s">
        <v>542</v>
      </c>
      <c r="AI75" s="15" t="str">
        <f t="shared" si="56"/>
        <v>2024-10-06</v>
      </c>
      <c r="AJ75" s="15" t="str">
        <f t="shared" si="57"/>
        <v>2024-10-06</v>
      </c>
      <c r="AK75" s="15" t="str">
        <f t="shared" si="58"/>
        <v>06,10,2024</v>
      </c>
      <c r="AL75" s="10" t="str">
        <f t="shared" si="59"/>
        <v>06/10/2024</v>
      </c>
      <c r="AM75" s="27" t="str">
        <f>RIGHT(Table22[[#This Row],[Date_of_Discharge Cleaned 4]],4)</f>
        <v>2024</v>
      </c>
      <c r="AN75" s="27" t="str">
        <f t="shared" si="60"/>
        <v>2024</v>
      </c>
      <c r="AO75" s="12">
        <v>44927</v>
      </c>
      <c r="AP75" s="15">
        <f t="shared" si="61"/>
        <v>44927</v>
      </c>
      <c r="AQ75" s="15" t="str">
        <f t="shared" si="62"/>
        <v>44927</v>
      </c>
      <c r="AR75" s="15" t="str">
        <f t="shared" si="63"/>
        <v>01,01,2023</v>
      </c>
      <c r="AS75" s="15" t="str">
        <f t="shared" si="64"/>
        <v>01/01/2023</v>
      </c>
      <c r="AT75" s="10" t="str">
        <f t="shared" si="65"/>
        <v>01/01/2023</v>
      </c>
      <c r="AU75" s="27" t="str">
        <f>RIGHT(Table22[[#This Row],[Follow_up_Visit Cleaned 5]],4)</f>
        <v>2023</v>
      </c>
      <c r="AV75" s="27" t="str">
        <f t="shared" si="66"/>
        <v>2023</v>
      </c>
    </row>
    <row r="76" spans="1:48" ht="14.25" customHeight="1" x14ac:dyDescent="0.2">
      <c r="A76" t="s">
        <v>543</v>
      </c>
      <c r="B76" t="s">
        <v>544</v>
      </c>
      <c r="C76" s="10" t="str">
        <f t="shared" si="40"/>
        <v>Patient_74</v>
      </c>
      <c r="D76">
        <v>55</v>
      </c>
      <c r="E76" t="s">
        <v>160</v>
      </c>
      <c r="F76" t="s">
        <v>545</v>
      </c>
      <c r="G76" s="15" t="str">
        <f t="shared" si="67"/>
        <v>2024/11/17</v>
      </c>
      <c r="H76" s="15" t="str">
        <f t="shared" si="41"/>
        <v>2024/11/17</v>
      </c>
      <c r="I76" s="15" t="str">
        <f t="shared" si="42"/>
        <v>17/11/2024</v>
      </c>
      <c r="J76" s="10" t="str">
        <f>LEFT(Table22[[#This Row],[Date_of_Admission Cleaned 3]],10)</f>
        <v>17/11/2024</v>
      </c>
      <c r="K76" s="27" t="str">
        <f>RIGHT(Table22[[#This Row],[Date_of_Admission Cleaned 4]],4)</f>
        <v>2024</v>
      </c>
      <c r="L76" s="27" t="str">
        <f t="shared" si="43"/>
        <v>2024</v>
      </c>
      <c r="M76" s="12">
        <v>45476</v>
      </c>
      <c r="N76" s="15" t="str">
        <f t="shared" si="44"/>
        <v>45476</v>
      </c>
      <c r="O76" s="15" t="str">
        <f t="shared" si="45"/>
        <v>45476</v>
      </c>
      <c r="P76" s="10" t="str">
        <f t="shared" si="68"/>
        <v>03/07/2024</v>
      </c>
      <c r="Q76" s="27" t="str">
        <f>RIGHT(Table22[[#This Row],[Date_of_Diagnosis Cleaned 3]],4)</f>
        <v>2024</v>
      </c>
      <c r="R76" s="27" t="str">
        <f t="shared" si="46"/>
        <v>2024</v>
      </c>
      <c r="S76" t="s">
        <v>546</v>
      </c>
      <c r="T76" s="21" t="str">
        <f t="shared" si="47"/>
        <v>24/Jul/2024</v>
      </c>
      <c r="U76" s="21" t="str">
        <f t="shared" si="69"/>
        <v>24/07/2024</v>
      </c>
      <c r="V76" s="21" t="str">
        <f t="shared" si="48"/>
        <v>24/07/2024</v>
      </c>
      <c r="W76" s="16" t="str">
        <f t="shared" si="49"/>
        <v>24/07/2024</v>
      </c>
      <c r="X76" s="28" t="str">
        <f>RIGHT(Table22[[#This Row],[Date_of_Treatment_Start Cleaned 4]],4)</f>
        <v>2024</v>
      </c>
      <c r="Y76" t="s">
        <v>335</v>
      </c>
      <c r="Z76" s="15" t="str">
        <f t="shared" si="50"/>
        <v>15/6/2018</v>
      </c>
      <c r="AA76" s="15" t="str">
        <f t="shared" si="51"/>
        <v>15/6/2018</v>
      </c>
      <c r="AB76" s="15" t="str">
        <f t="shared" si="52"/>
        <v>15/06/2018</v>
      </c>
      <c r="AC76" s="15" t="str">
        <f>LEFT(Table22[[#This Row],[Date_of_Surgery Cleaned 3]],10)</f>
        <v>15/06/2018</v>
      </c>
      <c r="AD76" s="15" t="str">
        <f t="shared" si="53"/>
        <v>15/06/2018</v>
      </c>
      <c r="AE76" s="10" t="str">
        <f t="shared" si="54"/>
        <v>15/06/2018</v>
      </c>
      <c r="AF76" s="27" t="str">
        <f>RIGHT(Table22[[#This Row],[Date_of_Surgery Cleaned 6]],4)</f>
        <v>2018</v>
      </c>
      <c r="AG76" s="27" t="str">
        <f t="shared" si="55"/>
        <v>2018</v>
      </c>
      <c r="AH76" t="s">
        <v>547</v>
      </c>
      <c r="AI76" s="15" t="str">
        <f t="shared" si="56"/>
        <v>06/05/2023</v>
      </c>
      <c r="AJ76" s="15" t="str">
        <f t="shared" si="57"/>
        <v>06/05/2023</v>
      </c>
      <c r="AK76" s="15" t="str">
        <f t="shared" si="58"/>
        <v>05,06,2023</v>
      </c>
      <c r="AL76" s="10" t="str">
        <f t="shared" si="59"/>
        <v>05/06/2023</v>
      </c>
      <c r="AM76" s="27" t="str">
        <f>RIGHT(Table22[[#This Row],[Date_of_Discharge Cleaned 4]],4)</f>
        <v>2023</v>
      </c>
      <c r="AN76" s="27" t="str">
        <f t="shared" si="60"/>
        <v>2023</v>
      </c>
      <c r="AO76" s="6" t="s">
        <v>939</v>
      </c>
      <c r="AP76" s="15" t="str">
        <f t="shared" si="61"/>
        <v>13-01-2020</v>
      </c>
      <c r="AQ76" s="15" t="str">
        <f t="shared" si="62"/>
        <v>13-01-2020</v>
      </c>
      <c r="AR76" s="15" t="str">
        <f t="shared" si="63"/>
        <v>13-01-2020</v>
      </c>
      <c r="AS76" s="15" t="str">
        <f t="shared" si="64"/>
        <v>13/01/2020</v>
      </c>
      <c r="AT76" s="10" t="str">
        <f t="shared" si="65"/>
        <v>13/01/2020</v>
      </c>
      <c r="AU76" s="27" t="str">
        <f>RIGHT(Table22[[#This Row],[Follow_up_Visit Cleaned 5]],4)</f>
        <v>2020</v>
      </c>
      <c r="AV76" s="27" t="str">
        <f t="shared" si="66"/>
        <v>2020</v>
      </c>
    </row>
    <row r="77" spans="1:48" ht="14.25" customHeight="1" x14ac:dyDescent="0.2">
      <c r="A77" t="s">
        <v>548</v>
      </c>
      <c r="B77" t="s">
        <v>549</v>
      </c>
      <c r="C77" s="10" t="str">
        <f t="shared" si="40"/>
        <v>Patient_75</v>
      </c>
      <c r="D77">
        <v>69</v>
      </c>
      <c r="E77" t="s">
        <v>160</v>
      </c>
      <c r="F77" t="s">
        <v>398</v>
      </c>
      <c r="G77" s="15" t="str">
        <f t="shared" si="67"/>
        <v>19/12/2024</v>
      </c>
      <c r="H77" s="15" t="str">
        <f t="shared" si="41"/>
        <v>19/12/2024</v>
      </c>
      <c r="I77" s="15" t="str">
        <f t="shared" si="42"/>
        <v>19/12/2024</v>
      </c>
      <c r="J77" s="10" t="str">
        <f>LEFT(Table22[[#This Row],[Date_of_Admission Cleaned 3]],10)</f>
        <v>19/12/2024</v>
      </c>
      <c r="K77" s="27" t="str">
        <f>RIGHT(Table22[[#This Row],[Date_of_Admission Cleaned 4]],4)</f>
        <v>2024</v>
      </c>
      <c r="L77" s="27" t="str">
        <f t="shared" si="43"/>
        <v>2024</v>
      </c>
      <c r="M77" t="s">
        <v>550</v>
      </c>
      <c r="N77" s="15" t="str">
        <f t="shared" si="44"/>
        <v>May/24//2023</v>
      </c>
      <c r="O77" s="15" t="str">
        <f t="shared" si="45"/>
        <v>05/24/2023</v>
      </c>
      <c r="P77" s="10" t="str">
        <f t="shared" si="68"/>
        <v>24/05/2023</v>
      </c>
      <c r="Q77" s="27" t="str">
        <f>RIGHT(Table22[[#This Row],[Date_of_Diagnosis Cleaned 3]],4)</f>
        <v>2023</v>
      </c>
      <c r="R77" s="27" t="str">
        <f t="shared" si="46"/>
        <v>2023</v>
      </c>
      <c r="S77" t="s">
        <v>551</v>
      </c>
      <c r="T77" s="21" t="str">
        <f t="shared" si="47"/>
        <v>25/Jan/2023</v>
      </c>
      <c r="U77" s="21" t="str">
        <f t="shared" si="69"/>
        <v>25/01/2023</v>
      </c>
      <c r="V77" s="21" t="str">
        <f t="shared" si="48"/>
        <v>25/01/2023</v>
      </c>
      <c r="W77" s="16" t="str">
        <f t="shared" si="49"/>
        <v>25/01/2023</v>
      </c>
      <c r="X77" s="28" t="str">
        <f>RIGHT(Table22[[#This Row],[Date_of_Treatment_Start Cleaned 4]],4)</f>
        <v>2023</v>
      </c>
      <c r="Y77" t="s">
        <v>335</v>
      </c>
      <c r="Z77" s="15" t="str">
        <f t="shared" si="50"/>
        <v>15/6/2018</v>
      </c>
      <c r="AA77" s="15" t="str">
        <f t="shared" si="51"/>
        <v>15/6/2018</v>
      </c>
      <c r="AB77" s="15" t="str">
        <f t="shared" si="52"/>
        <v>15/06/2018</v>
      </c>
      <c r="AC77" s="15" t="str">
        <f>LEFT(Table22[[#This Row],[Date_of_Surgery Cleaned 3]],10)</f>
        <v>15/06/2018</v>
      </c>
      <c r="AD77" s="15" t="str">
        <f t="shared" si="53"/>
        <v>15/06/2018</v>
      </c>
      <c r="AE77" s="10" t="str">
        <f t="shared" si="54"/>
        <v>15/06/2018</v>
      </c>
      <c r="AF77" s="27" t="str">
        <f>RIGHT(Table22[[#This Row],[Date_of_Surgery Cleaned 6]],4)</f>
        <v>2018</v>
      </c>
      <c r="AG77" s="27" t="str">
        <f t="shared" si="55"/>
        <v>2018</v>
      </c>
      <c r="AH77" t="s">
        <v>552</v>
      </c>
      <c r="AI77" s="15" t="str">
        <f t="shared" si="56"/>
        <v>2024/07/30</v>
      </c>
      <c r="AJ77" s="15" t="str">
        <f t="shared" si="57"/>
        <v>2024/07/30</v>
      </c>
      <c r="AK77" s="15" t="str">
        <f t="shared" si="58"/>
        <v>30,07,2024</v>
      </c>
      <c r="AL77" s="10" t="str">
        <f t="shared" si="59"/>
        <v>30/07/2024</v>
      </c>
      <c r="AM77" s="27" t="str">
        <f>RIGHT(Table22[[#This Row],[Date_of_Discharge Cleaned 4]],4)</f>
        <v>2024</v>
      </c>
      <c r="AN77" s="27" t="str">
        <f t="shared" si="60"/>
        <v>2024</v>
      </c>
      <c r="AO77" s="12">
        <v>45406</v>
      </c>
      <c r="AP77" s="15">
        <f t="shared" si="61"/>
        <v>45406</v>
      </c>
      <c r="AQ77" s="15" t="str">
        <f t="shared" si="62"/>
        <v>45406</v>
      </c>
      <c r="AR77" s="15" t="str">
        <f t="shared" si="63"/>
        <v>24,04,2024</v>
      </c>
      <c r="AS77" s="15" t="str">
        <f t="shared" si="64"/>
        <v>24/04/2024</v>
      </c>
      <c r="AT77" s="10" t="str">
        <f t="shared" si="65"/>
        <v>24/04/2024</v>
      </c>
      <c r="AU77" s="27" t="str">
        <f>RIGHT(Table22[[#This Row],[Follow_up_Visit Cleaned 5]],4)</f>
        <v>2024</v>
      </c>
      <c r="AV77" s="27" t="str">
        <f t="shared" si="66"/>
        <v>2024</v>
      </c>
    </row>
    <row r="78" spans="1:48" ht="14.25" customHeight="1" x14ac:dyDescent="0.2">
      <c r="A78" t="s">
        <v>553</v>
      </c>
      <c r="B78" t="s">
        <v>554</v>
      </c>
      <c r="C78" s="10" t="str">
        <f t="shared" si="40"/>
        <v>Patient_76</v>
      </c>
      <c r="D78">
        <v>23</v>
      </c>
      <c r="E78" t="s">
        <v>146</v>
      </c>
      <c r="F78" t="s">
        <v>555</v>
      </c>
      <c r="G78" s="15" t="str">
        <f t="shared" si="67"/>
        <v>09/15/2024</v>
      </c>
      <c r="H78" s="15" t="str">
        <f t="shared" si="41"/>
        <v>09/15/2024</v>
      </c>
      <c r="I78" s="15" t="str">
        <f t="shared" si="42"/>
        <v>15/09/2024</v>
      </c>
      <c r="J78" s="10" t="str">
        <f>LEFT(Table22[[#This Row],[Date_of_Admission Cleaned 3]],10)</f>
        <v>15/09/2024</v>
      </c>
      <c r="K78" s="27" t="str">
        <f>RIGHT(Table22[[#This Row],[Date_of_Admission Cleaned 4]],4)</f>
        <v>2024</v>
      </c>
      <c r="L78" s="27" t="str">
        <f t="shared" si="43"/>
        <v>2024</v>
      </c>
      <c r="M78" t="s">
        <v>556</v>
      </c>
      <c r="N78" s="15" t="str">
        <f t="shared" si="44"/>
        <v>2023/07/07</v>
      </c>
      <c r="O78" s="15" t="str">
        <f t="shared" si="45"/>
        <v>2023/07/07</v>
      </c>
      <c r="P78" s="10" t="str">
        <f t="shared" si="68"/>
        <v>07/07/2023</v>
      </c>
      <c r="Q78" s="27" t="str">
        <f>RIGHT(Table22[[#This Row],[Date_of_Diagnosis Cleaned 3]],4)</f>
        <v>2023</v>
      </c>
      <c r="R78" s="27" t="str">
        <f t="shared" si="46"/>
        <v>2023</v>
      </c>
      <c r="S78" t="s">
        <v>557</v>
      </c>
      <c r="T78" s="21" t="str">
        <f t="shared" si="47"/>
        <v>26/07/2024</v>
      </c>
      <c r="U78" s="21" t="str">
        <f t="shared" si="69"/>
        <v>26/07/2024</v>
      </c>
      <c r="V78" s="21" t="str">
        <f t="shared" si="48"/>
        <v>26/07/2024</v>
      </c>
      <c r="W78" s="16" t="str">
        <f t="shared" si="49"/>
        <v>26/07/2024</v>
      </c>
      <c r="X78" s="28" t="str">
        <f>RIGHT(Table22[[#This Row],[Date_of_Treatment_Start Cleaned 4]],4)</f>
        <v>2024</v>
      </c>
      <c r="Y78" t="s">
        <v>335</v>
      </c>
      <c r="Z78" s="15" t="str">
        <f t="shared" si="50"/>
        <v>15/6/2018</v>
      </c>
      <c r="AA78" s="15" t="str">
        <f t="shared" si="51"/>
        <v>15/6/2018</v>
      </c>
      <c r="AB78" s="15" t="str">
        <f t="shared" si="52"/>
        <v>15/06/2018</v>
      </c>
      <c r="AC78" s="15" t="str">
        <f>LEFT(Table22[[#This Row],[Date_of_Surgery Cleaned 3]],10)</f>
        <v>15/06/2018</v>
      </c>
      <c r="AD78" s="15" t="str">
        <f t="shared" si="53"/>
        <v>15/06/2018</v>
      </c>
      <c r="AE78" s="10" t="str">
        <f t="shared" si="54"/>
        <v>15/06/2018</v>
      </c>
      <c r="AF78" s="27" t="str">
        <f>RIGHT(Table22[[#This Row],[Date_of_Surgery Cleaned 6]],4)</f>
        <v>2018</v>
      </c>
      <c r="AG78" s="27" t="str">
        <f t="shared" si="55"/>
        <v>2018</v>
      </c>
      <c r="AH78" t="s">
        <v>558</v>
      </c>
      <c r="AI78" s="15" t="str">
        <f t="shared" si="56"/>
        <v>29/Mar/2023</v>
      </c>
      <c r="AJ78" s="15" t="str">
        <f t="shared" si="57"/>
        <v>29/Mar/2023</v>
      </c>
      <c r="AK78" s="15" t="str">
        <f t="shared" si="58"/>
        <v>29,03,2023</v>
      </c>
      <c r="AL78" s="10" t="str">
        <f t="shared" si="59"/>
        <v>29/03/2023</v>
      </c>
      <c r="AM78" s="27" t="str">
        <f>RIGHT(Table22[[#This Row],[Date_of_Discharge Cleaned 4]],4)</f>
        <v>2023</v>
      </c>
      <c r="AN78" s="27" t="str">
        <f t="shared" si="60"/>
        <v>2023</v>
      </c>
      <c r="AP78" s="15" t="str">
        <f t="shared" si="61"/>
        <v>Unknown</v>
      </c>
      <c r="AQ78" s="15" t="str">
        <f t="shared" si="62"/>
        <v>Unknown</v>
      </c>
      <c r="AR78" s="15" t="str">
        <f t="shared" si="63"/>
        <v>Unknown</v>
      </c>
      <c r="AS78" s="15" t="str">
        <f t="shared" si="64"/>
        <v>Unknown</v>
      </c>
      <c r="AT78" s="10" t="str">
        <f t="shared" si="65"/>
        <v>Unknown</v>
      </c>
      <c r="AU78" s="27" t="str">
        <f>RIGHT(Table22[[#This Row],[Follow_up_Visit Cleaned 5]],4)</f>
        <v>nown</v>
      </c>
      <c r="AV78" s="27" t="str">
        <f t="shared" si="66"/>
        <v>Unknown</v>
      </c>
    </row>
    <row r="79" spans="1:48" ht="14.25" customHeight="1" x14ac:dyDescent="0.2">
      <c r="A79" t="s">
        <v>559</v>
      </c>
      <c r="B79" t="s">
        <v>560</v>
      </c>
      <c r="C79" s="10" t="str">
        <f t="shared" si="40"/>
        <v>Patient_77</v>
      </c>
      <c r="D79">
        <v>22</v>
      </c>
      <c r="E79" t="s">
        <v>146</v>
      </c>
      <c r="F79" t="s">
        <v>561</v>
      </c>
      <c r="G79" s="15" t="str">
        <f t="shared" si="67"/>
        <v>23/November/2024</v>
      </c>
      <c r="H79" s="15" t="str">
        <f t="shared" si="41"/>
        <v>23/November/2024</v>
      </c>
      <c r="I79" s="15" t="str">
        <f t="shared" si="42"/>
        <v>23/11/2024</v>
      </c>
      <c r="J79" s="10" t="str">
        <f>LEFT(Table22[[#This Row],[Date_of_Admission Cleaned 3]],10)</f>
        <v>23/11/2024</v>
      </c>
      <c r="K79" s="27" t="str">
        <f>RIGHT(Table22[[#This Row],[Date_of_Admission Cleaned 4]],4)</f>
        <v>2024</v>
      </c>
      <c r="L79" s="27" t="str">
        <f t="shared" si="43"/>
        <v>2024</v>
      </c>
      <c r="M79" t="s">
        <v>329</v>
      </c>
      <c r="N79" s="15" t="str">
        <f t="shared" si="44"/>
        <v>13/02/2024</v>
      </c>
      <c r="O79" s="15" t="str">
        <f t="shared" si="45"/>
        <v>13/02/2024</v>
      </c>
      <c r="P79" s="10" t="str">
        <f t="shared" si="68"/>
        <v>13/02/2024</v>
      </c>
      <c r="Q79" s="27" t="str">
        <f>RIGHT(Table22[[#This Row],[Date_of_Diagnosis Cleaned 3]],4)</f>
        <v>2024</v>
      </c>
      <c r="R79" s="27" t="str">
        <f t="shared" si="46"/>
        <v>2024</v>
      </c>
      <c r="S79" t="s">
        <v>562</v>
      </c>
      <c r="T79" s="21" t="str">
        <f t="shared" si="47"/>
        <v>26/Apr/2024</v>
      </c>
      <c r="U79" s="21" t="str">
        <f t="shared" si="69"/>
        <v>26/04/2024</v>
      </c>
      <c r="V79" s="21" t="str">
        <f t="shared" si="48"/>
        <v>26/04/2024</v>
      </c>
      <c r="W79" s="16" t="str">
        <f t="shared" si="49"/>
        <v>26/04/2024</v>
      </c>
      <c r="X79" s="28" t="str">
        <f>RIGHT(Table22[[#This Row],[Date_of_Treatment_Start Cleaned 4]],4)</f>
        <v>2024</v>
      </c>
      <c r="Y79" t="s">
        <v>335</v>
      </c>
      <c r="Z79" s="15" t="str">
        <f t="shared" si="50"/>
        <v>15/6/2018</v>
      </c>
      <c r="AA79" s="15" t="str">
        <f t="shared" si="51"/>
        <v>15/6/2018</v>
      </c>
      <c r="AB79" s="15" t="str">
        <f t="shared" si="52"/>
        <v>15/06/2018</v>
      </c>
      <c r="AC79" s="15" t="str">
        <f>LEFT(Table22[[#This Row],[Date_of_Surgery Cleaned 3]],10)</f>
        <v>15/06/2018</v>
      </c>
      <c r="AD79" s="15" t="str">
        <f t="shared" si="53"/>
        <v>15/06/2018</v>
      </c>
      <c r="AE79" s="10" t="str">
        <f t="shared" si="54"/>
        <v>15/06/2018</v>
      </c>
      <c r="AF79" s="27" t="str">
        <f>RIGHT(Table22[[#This Row],[Date_of_Surgery Cleaned 6]],4)</f>
        <v>2018</v>
      </c>
      <c r="AG79" s="27" t="str">
        <f t="shared" si="55"/>
        <v>2018</v>
      </c>
      <c r="AH79" t="s">
        <v>198</v>
      </c>
      <c r="AI79" s="15" t="str">
        <f t="shared" si="56"/>
        <v>N/A</v>
      </c>
      <c r="AJ79" s="15" t="str">
        <f t="shared" si="57"/>
        <v>Unknown</v>
      </c>
      <c r="AK79" s="15" t="str">
        <f t="shared" si="58"/>
        <v>Unknown</v>
      </c>
      <c r="AL79" s="10" t="str">
        <f t="shared" si="59"/>
        <v>Unknown</v>
      </c>
      <c r="AM79" s="27" t="str">
        <f>RIGHT(Table22[[#This Row],[Date_of_Discharge Cleaned 4]],4)</f>
        <v>nown</v>
      </c>
      <c r="AN79" s="27" t="str">
        <f t="shared" si="60"/>
        <v>Unknown</v>
      </c>
      <c r="AO79" s="12">
        <v>44927</v>
      </c>
      <c r="AP79" s="15">
        <f t="shared" si="61"/>
        <v>44927</v>
      </c>
      <c r="AQ79" s="15" t="str">
        <f t="shared" si="62"/>
        <v>44927</v>
      </c>
      <c r="AR79" s="15" t="str">
        <f t="shared" si="63"/>
        <v>01,01,2023</v>
      </c>
      <c r="AS79" s="15" t="str">
        <f t="shared" si="64"/>
        <v>01/01/2023</v>
      </c>
      <c r="AT79" s="10" t="str">
        <f t="shared" si="65"/>
        <v>01/01/2023</v>
      </c>
      <c r="AU79" s="27" t="str">
        <f>RIGHT(Table22[[#This Row],[Follow_up_Visit Cleaned 5]],4)</f>
        <v>2023</v>
      </c>
      <c r="AV79" s="27" t="str">
        <f t="shared" si="66"/>
        <v>2023</v>
      </c>
    </row>
    <row r="80" spans="1:48" ht="14.25" customHeight="1" x14ac:dyDescent="0.2">
      <c r="A80" t="s">
        <v>563</v>
      </c>
      <c r="B80" t="s">
        <v>847</v>
      </c>
      <c r="C80" s="10" t="str">
        <f t="shared" si="40"/>
        <v>Patient_78</v>
      </c>
      <c r="D80">
        <v>21</v>
      </c>
      <c r="E80" t="s">
        <v>146</v>
      </c>
      <c r="F80" t="s">
        <v>564</v>
      </c>
      <c r="G80" s="15" t="str">
        <f t="shared" si="67"/>
        <v>30/Jun/2024</v>
      </c>
      <c r="H80" s="15" t="str">
        <f t="shared" si="41"/>
        <v>30/Jun/2024</v>
      </c>
      <c r="I80" s="15" t="str">
        <f t="shared" si="42"/>
        <v>30/06/2024</v>
      </c>
      <c r="J80" s="10" t="str">
        <f>LEFT(Table22[[#This Row],[Date_of_Admission Cleaned 3]],10)</f>
        <v>30/06/2024</v>
      </c>
      <c r="K80" s="27" t="str">
        <f>RIGHT(Table22[[#This Row],[Date_of_Admission Cleaned 4]],4)</f>
        <v>2024</v>
      </c>
      <c r="L80" s="27" t="str">
        <f t="shared" si="43"/>
        <v>2024</v>
      </c>
      <c r="M80" t="s">
        <v>565</v>
      </c>
      <c r="N80" s="15" t="str">
        <f t="shared" si="44"/>
        <v>18/Apr/2024</v>
      </c>
      <c r="O80" s="15" t="str">
        <f t="shared" si="45"/>
        <v>18/04/2024</v>
      </c>
      <c r="P80" s="10" t="str">
        <f t="shared" si="68"/>
        <v>18/04/2024</v>
      </c>
      <c r="Q80" s="27" t="str">
        <f>RIGHT(Table22[[#This Row],[Date_of_Diagnosis Cleaned 3]],4)</f>
        <v>2024</v>
      </c>
      <c r="R80" s="27" t="str">
        <f t="shared" si="46"/>
        <v>2024</v>
      </c>
      <c r="S80" t="s">
        <v>566</v>
      </c>
      <c r="T80" s="21" t="str">
        <f t="shared" si="47"/>
        <v>28/Mar/2024</v>
      </c>
      <c r="U80" s="21" t="str">
        <f t="shared" si="69"/>
        <v>28/03/2024</v>
      </c>
      <c r="V80" s="21" t="str">
        <f t="shared" si="48"/>
        <v>28/03/2024</v>
      </c>
      <c r="W80" s="16" t="str">
        <f t="shared" si="49"/>
        <v>28/03/2024</v>
      </c>
      <c r="X80" s="28" t="str">
        <f>RIGHT(Table22[[#This Row],[Date_of_Treatment_Start Cleaned 4]],4)</f>
        <v>2024</v>
      </c>
      <c r="Y80" t="s">
        <v>335</v>
      </c>
      <c r="Z80" s="15" t="str">
        <f t="shared" si="50"/>
        <v>15/6/2018</v>
      </c>
      <c r="AA80" s="15" t="str">
        <f t="shared" si="51"/>
        <v>15/6/2018</v>
      </c>
      <c r="AB80" s="15" t="str">
        <f t="shared" si="52"/>
        <v>15/06/2018</v>
      </c>
      <c r="AC80" s="15" t="str">
        <f>LEFT(Table22[[#This Row],[Date_of_Surgery Cleaned 3]],10)</f>
        <v>15/06/2018</v>
      </c>
      <c r="AD80" s="15" t="str">
        <f t="shared" si="53"/>
        <v>15/06/2018</v>
      </c>
      <c r="AE80" s="10" t="str">
        <f t="shared" si="54"/>
        <v>15/06/2018</v>
      </c>
      <c r="AF80" s="27" t="str">
        <f>RIGHT(Table22[[#This Row],[Date_of_Surgery Cleaned 6]],4)</f>
        <v>2018</v>
      </c>
      <c r="AG80" s="27" t="str">
        <f t="shared" si="55"/>
        <v>2018</v>
      </c>
      <c r="AH80" t="s">
        <v>567</v>
      </c>
      <c r="AI80" s="15" t="str">
        <f t="shared" si="56"/>
        <v>02 May 2023</v>
      </c>
      <c r="AJ80" s="15" t="str">
        <f t="shared" si="57"/>
        <v>02 May 2023</v>
      </c>
      <c r="AK80" s="15" t="str">
        <f t="shared" si="58"/>
        <v>02,05,2023</v>
      </c>
      <c r="AL80" s="10" t="str">
        <f t="shared" si="59"/>
        <v>02/05/2023</v>
      </c>
      <c r="AM80" s="27" t="str">
        <f>RIGHT(Table22[[#This Row],[Date_of_Discharge Cleaned 4]],4)</f>
        <v>2023</v>
      </c>
      <c r="AN80" s="27" t="str">
        <f t="shared" si="60"/>
        <v>2023</v>
      </c>
      <c r="AO80" t="s">
        <v>568</v>
      </c>
      <c r="AP80" s="15" t="str">
        <f t="shared" si="61"/>
        <v>12/09/2024</v>
      </c>
      <c r="AQ80" s="15" t="str">
        <f t="shared" si="62"/>
        <v>12/09/2024</v>
      </c>
      <c r="AR80" s="15" t="str">
        <f t="shared" si="63"/>
        <v>09,12,2024</v>
      </c>
      <c r="AS80" s="15" t="str">
        <f t="shared" si="64"/>
        <v>09/12/2024</v>
      </c>
      <c r="AT80" s="10" t="str">
        <f t="shared" si="65"/>
        <v>09/12/2024</v>
      </c>
      <c r="AU80" s="27" t="str">
        <f>RIGHT(Table22[[#This Row],[Follow_up_Visit Cleaned 5]],4)</f>
        <v>2024</v>
      </c>
      <c r="AV80" s="27" t="str">
        <f t="shared" si="66"/>
        <v>2024</v>
      </c>
    </row>
    <row r="81" spans="1:48" ht="14.25" customHeight="1" x14ac:dyDescent="0.2">
      <c r="A81" t="s">
        <v>569</v>
      </c>
      <c r="B81" t="s">
        <v>570</v>
      </c>
      <c r="C81" s="10" t="str">
        <f t="shared" si="40"/>
        <v>Patient_79</v>
      </c>
      <c r="D81">
        <v>25</v>
      </c>
      <c r="E81" t="s">
        <v>160</v>
      </c>
      <c r="F81" s="12">
        <v>45094</v>
      </c>
      <c r="G81" s="15" t="str">
        <f t="shared" si="67"/>
        <v>45094</v>
      </c>
      <c r="H81" s="15" t="str">
        <f t="shared" si="41"/>
        <v>45094</v>
      </c>
      <c r="I81" s="15" t="str">
        <f t="shared" si="42"/>
        <v>17/06/2023</v>
      </c>
      <c r="J81" s="10" t="str">
        <f>LEFT(Table22[[#This Row],[Date_of_Admission Cleaned 3]],10)</f>
        <v>17/06/2023</v>
      </c>
      <c r="K81" s="27" t="str">
        <f>RIGHT(Table22[[#This Row],[Date_of_Admission Cleaned 4]],4)</f>
        <v>2023</v>
      </c>
      <c r="L81" s="27" t="str">
        <f t="shared" si="43"/>
        <v>2023</v>
      </c>
      <c r="M81" s="12">
        <v>45004</v>
      </c>
      <c r="N81" s="15" t="str">
        <f t="shared" si="44"/>
        <v>45004</v>
      </c>
      <c r="O81" s="15" t="str">
        <f t="shared" si="45"/>
        <v>45004</v>
      </c>
      <c r="P81" s="10" t="str">
        <f t="shared" si="68"/>
        <v>19/03/2023</v>
      </c>
      <c r="Q81" s="27" t="str">
        <f>RIGHT(Table22[[#This Row],[Date_of_Diagnosis Cleaned 3]],4)</f>
        <v>2023</v>
      </c>
      <c r="R81" s="27" t="str">
        <f t="shared" si="46"/>
        <v>2023</v>
      </c>
      <c r="S81" t="s">
        <v>571</v>
      </c>
      <c r="T81" s="21" t="str">
        <f t="shared" si="47"/>
        <v>29/December/2023</v>
      </c>
      <c r="U81" s="21" t="str">
        <f t="shared" si="69"/>
        <v>29/12/2023</v>
      </c>
      <c r="V81" s="21" t="str">
        <f t="shared" si="48"/>
        <v>29/12/2023</v>
      </c>
      <c r="W81" s="16" t="str">
        <f t="shared" si="49"/>
        <v>29/12/2023</v>
      </c>
      <c r="X81" s="28" t="str">
        <f>RIGHT(Table22[[#This Row],[Date_of_Treatment_Start Cleaned 4]],4)</f>
        <v>2023</v>
      </c>
      <c r="Y81" t="s">
        <v>572</v>
      </c>
      <c r="Z81" s="15" t="str">
        <f t="shared" si="50"/>
        <v>28/12/2016</v>
      </c>
      <c r="AA81" s="15" t="str">
        <f t="shared" si="51"/>
        <v>28/12/2016</v>
      </c>
      <c r="AB81" s="15" t="str">
        <f t="shared" si="52"/>
        <v>28/12/2016</v>
      </c>
      <c r="AC81" s="15" t="str">
        <f>LEFT(Table22[[#This Row],[Date_of_Surgery Cleaned 3]],10)</f>
        <v>28/12/2016</v>
      </c>
      <c r="AD81" s="15" t="str">
        <f t="shared" si="53"/>
        <v>28/12/2016</v>
      </c>
      <c r="AE81" s="10" t="str">
        <f t="shared" si="54"/>
        <v>28/12/2016</v>
      </c>
      <c r="AF81" s="27" t="str">
        <f>RIGHT(Table22[[#This Row],[Date_of_Surgery Cleaned 6]],4)</f>
        <v>2016</v>
      </c>
      <c r="AG81" s="27" t="str">
        <f t="shared" si="55"/>
        <v>2016</v>
      </c>
      <c r="AH81" t="s">
        <v>573</v>
      </c>
      <c r="AI81" s="15" t="str">
        <f t="shared" si="56"/>
        <v>02/Mar/2024</v>
      </c>
      <c r="AJ81" s="15" t="str">
        <f t="shared" si="57"/>
        <v>02/Mar/2024</v>
      </c>
      <c r="AK81" s="15" t="str">
        <f t="shared" si="58"/>
        <v>02,03,2024</v>
      </c>
      <c r="AL81" s="10" t="str">
        <f t="shared" si="59"/>
        <v>02/03/2024</v>
      </c>
      <c r="AM81" s="27" t="str">
        <f>RIGHT(Table22[[#This Row],[Date_of_Discharge Cleaned 4]],4)</f>
        <v>2024</v>
      </c>
      <c r="AN81" s="27" t="str">
        <f t="shared" si="60"/>
        <v>2024</v>
      </c>
      <c r="AO81" s="6" t="s">
        <v>950</v>
      </c>
      <c r="AP81" s="15" t="str">
        <f t="shared" si="61"/>
        <v>01-01-2022(estimated)</v>
      </c>
      <c r="AQ81" s="15" t="str">
        <f t="shared" si="62"/>
        <v>01-01-2022(estimated)</v>
      </c>
      <c r="AR81" s="15" t="str">
        <f t="shared" si="63"/>
        <v>01-01-2022(estimated)</v>
      </c>
      <c r="AS81" s="15" t="str">
        <f t="shared" si="64"/>
        <v>01/01/2022(estimated)</v>
      </c>
      <c r="AT81" s="10" t="str">
        <f t="shared" si="65"/>
        <v>01/01/2022</v>
      </c>
      <c r="AU81" s="27" t="str">
        <f>RIGHT(Table22[[#This Row],[Follow_up_Visit Cleaned 5]],4)</f>
        <v>2022</v>
      </c>
      <c r="AV81" s="27" t="str">
        <f t="shared" si="66"/>
        <v>2022</v>
      </c>
    </row>
    <row r="82" spans="1:48" ht="14.25" customHeight="1" x14ac:dyDescent="0.2">
      <c r="A82" t="s">
        <v>574</v>
      </c>
      <c r="B82" t="s">
        <v>575</v>
      </c>
      <c r="C82" s="10" t="str">
        <f t="shared" si="40"/>
        <v>Patient_80</v>
      </c>
      <c r="D82">
        <v>73</v>
      </c>
      <c r="E82" t="s">
        <v>146</v>
      </c>
      <c r="F82" t="s">
        <v>147</v>
      </c>
      <c r="G82" s="15" t="str">
        <f t="shared" si="67"/>
        <v>12/13/2023</v>
      </c>
      <c r="H82" s="15" t="str">
        <f t="shared" si="41"/>
        <v>12/13/2023</v>
      </c>
      <c r="I82" s="15" t="str">
        <f t="shared" si="42"/>
        <v>13/12/2023</v>
      </c>
      <c r="J82" s="10" t="str">
        <f>LEFT(Table22[[#This Row],[Date_of_Admission Cleaned 3]],10)</f>
        <v>13/12/2023</v>
      </c>
      <c r="K82" s="27" t="str">
        <f>RIGHT(Table22[[#This Row],[Date_of_Admission Cleaned 4]],4)</f>
        <v>2023</v>
      </c>
      <c r="L82" s="27" t="str">
        <f t="shared" si="43"/>
        <v>2023</v>
      </c>
      <c r="M82" t="s">
        <v>576</v>
      </c>
      <c r="N82" s="15" t="str">
        <f t="shared" si="44"/>
        <v>17/07/2024</v>
      </c>
      <c r="O82" s="15" t="str">
        <f t="shared" si="45"/>
        <v>17/07/2024</v>
      </c>
      <c r="P82" s="10" t="str">
        <f t="shared" si="68"/>
        <v>17/07/2024</v>
      </c>
      <c r="Q82" s="27" t="str">
        <f>RIGHT(Table22[[#This Row],[Date_of_Diagnosis Cleaned 3]],4)</f>
        <v>2024</v>
      </c>
      <c r="R82" s="27" t="str">
        <f t="shared" si="46"/>
        <v>2024</v>
      </c>
      <c r="S82" t="s">
        <v>577</v>
      </c>
      <c r="T82" s="21" t="str">
        <f t="shared" si="47"/>
        <v>29/March/2024</v>
      </c>
      <c r="U82" s="21" t="str">
        <f t="shared" si="69"/>
        <v>29/03/2024</v>
      </c>
      <c r="V82" s="21" t="str">
        <f t="shared" si="48"/>
        <v>29/03/2024</v>
      </c>
      <c r="W82" s="16" t="str">
        <f t="shared" si="49"/>
        <v>29/03/2024</v>
      </c>
      <c r="X82" s="28" t="str">
        <f>RIGHT(Table22[[#This Row],[Date_of_Treatment_Start Cleaned 4]],4)</f>
        <v>2024</v>
      </c>
      <c r="Y82" t="s">
        <v>578</v>
      </c>
      <c r="Z82" s="15" t="str">
        <f t="shared" si="50"/>
        <v>25/9/2016</v>
      </c>
      <c r="AA82" s="15" t="str">
        <f t="shared" si="51"/>
        <v>25/9/2016</v>
      </c>
      <c r="AB82" s="15" t="str">
        <f t="shared" si="52"/>
        <v>25/09/2016</v>
      </c>
      <c r="AC82" s="15" t="str">
        <f>LEFT(Table22[[#This Row],[Date_of_Surgery Cleaned 3]],10)</f>
        <v>25/09/2016</v>
      </c>
      <c r="AD82" s="15" t="str">
        <f t="shared" si="53"/>
        <v>25/09/2016</v>
      </c>
      <c r="AE82" s="10" t="str">
        <f t="shared" si="54"/>
        <v>25/09/2016</v>
      </c>
      <c r="AF82" s="27" t="str">
        <f>RIGHT(Table22[[#This Row],[Date_of_Surgery Cleaned 6]],4)</f>
        <v>2016</v>
      </c>
      <c r="AG82" s="27" t="str">
        <f t="shared" si="55"/>
        <v>2016</v>
      </c>
      <c r="AH82" t="s">
        <v>198</v>
      </c>
      <c r="AI82" s="15" t="str">
        <f t="shared" si="56"/>
        <v>N/A</v>
      </c>
      <c r="AJ82" s="15" t="str">
        <f t="shared" si="57"/>
        <v>Unknown</v>
      </c>
      <c r="AK82" s="15" t="str">
        <f t="shared" si="58"/>
        <v>Unknown</v>
      </c>
      <c r="AL82" s="10" t="str">
        <f t="shared" si="59"/>
        <v>Unknown</v>
      </c>
      <c r="AM82" s="27" t="str">
        <f>RIGHT(Table22[[#This Row],[Date_of_Discharge Cleaned 4]],4)</f>
        <v>nown</v>
      </c>
      <c r="AN82" s="27" t="str">
        <f t="shared" si="60"/>
        <v>Unknown</v>
      </c>
      <c r="AO82" s="6" t="s">
        <v>939</v>
      </c>
      <c r="AP82" s="15" t="str">
        <f t="shared" si="61"/>
        <v>13-01-2020</v>
      </c>
      <c r="AQ82" s="15" t="str">
        <f t="shared" si="62"/>
        <v>13-01-2020</v>
      </c>
      <c r="AR82" s="15" t="str">
        <f t="shared" si="63"/>
        <v>13-01-2020</v>
      </c>
      <c r="AS82" s="15" t="str">
        <f t="shared" si="64"/>
        <v>13/01/2020</v>
      </c>
      <c r="AT82" s="10" t="str">
        <f t="shared" si="65"/>
        <v>13/01/2020</v>
      </c>
      <c r="AU82" s="27" t="str">
        <f>RIGHT(Table22[[#This Row],[Follow_up_Visit Cleaned 5]],4)</f>
        <v>2020</v>
      </c>
      <c r="AV82" s="27" t="str">
        <f t="shared" si="66"/>
        <v>2020</v>
      </c>
    </row>
    <row r="83" spans="1:48" ht="14.25" customHeight="1" x14ac:dyDescent="0.2">
      <c r="A83" t="s">
        <v>579</v>
      </c>
      <c r="B83" t="s">
        <v>580</v>
      </c>
      <c r="C83" s="10" t="str">
        <f t="shared" si="40"/>
        <v>Patient_81</v>
      </c>
      <c r="D83">
        <v>23</v>
      </c>
      <c r="E83" t="s">
        <v>146</v>
      </c>
      <c r="F83" t="s">
        <v>198</v>
      </c>
      <c r="G83" s="15" t="str">
        <f t="shared" si="67"/>
        <v>Unknown</v>
      </c>
      <c r="H83" s="15" t="str">
        <f t="shared" si="41"/>
        <v>Unknown</v>
      </c>
      <c r="I83" s="15" t="str">
        <f t="shared" si="42"/>
        <v>Unknown</v>
      </c>
      <c r="J83" s="10" t="str">
        <f>LEFT(Table22[[#This Row],[Date_of_Admission Cleaned 3]],10)</f>
        <v>Unknown</v>
      </c>
      <c r="K83" s="27" t="str">
        <f>RIGHT(Table22[[#This Row],[Date_of_Admission Cleaned 4]],4)</f>
        <v>nown</v>
      </c>
      <c r="L83" s="27" t="str">
        <f t="shared" si="43"/>
        <v>Unknown</v>
      </c>
      <c r="M83" t="s">
        <v>581</v>
      </c>
      <c r="N83" s="15" t="str">
        <f t="shared" si="44"/>
        <v>21/February/2023</v>
      </c>
      <c r="O83" s="15" t="str">
        <f t="shared" si="45"/>
        <v>21/February/2023</v>
      </c>
      <c r="P83" s="10" t="str">
        <f t="shared" si="68"/>
        <v>21/02/2023</v>
      </c>
      <c r="Q83" s="27" t="str">
        <f>RIGHT(Table22[[#This Row],[Date_of_Diagnosis Cleaned 3]],4)</f>
        <v>2023</v>
      </c>
      <c r="R83" s="27" t="str">
        <f t="shared" si="46"/>
        <v>2023</v>
      </c>
      <c r="S83" t="s">
        <v>582</v>
      </c>
      <c r="T83" s="21" t="str">
        <f t="shared" si="47"/>
        <v>30/June/2023</v>
      </c>
      <c r="U83" s="21" t="str">
        <f t="shared" si="69"/>
        <v>30/06/2023</v>
      </c>
      <c r="V83" s="21" t="str">
        <f t="shared" si="48"/>
        <v>30/06/2023</v>
      </c>
      <c r="W83" s="16" t="str">
        <f t="shared" si="49"/>
        <v>30/06/2023</v>
      </c>
      <c r="X83" s="28" t="str">
        <f>RIGHT(Table22[[#This Row],[Date_of_Treatment_Start Cleaned 4]],4)</f>
        <v>2023</v>
      </c>
      <c r="Y83" t="s">
        <v>430</v>
      </c>
      <c r="Z83" s="15" t="str">
        <f t="shared" si="50"/>
        <v>12/11/2019</v>
      </c>
      <c r="AA83" s="15" t="str">
        <f t="shared" si="51"/>
        <v>12/11/2019</v>
      </c>
      <c r="AB83" s="15" t="str">
        <f t="shared" si="52"/>
        <v>12/11/2019</v>
      </c>
      <c r="AC83" s="15" t="str">
        <f>LEFT(Table22[[#This Row],[Date_of_Surgery Cleaned 3]],10)</f>
        <v>12/11/2019</v>
      </c>
      <c r="AD83" s="15" t="str">
        <f t="shared" si="53"/>
        <v>11,12,2019</v>
      </c>
      <c r="AE83" s="10" t="str">
        <f t="shared" si="54"/>
        <v>11/12/2019</v>
      </c>
      <c r="AF83" s="27" t="str">
        <f>RIGHT(Table22[[#This Row],[Date_of_Surgery Cleaned 6]],4)</f>
        <v>2019</v>
      </c>
      <c r="AG83" s="27" t="str">
        <f t="shared" si="55"/>
        <v>2019</v>
      </c>
      <c r="AH83" s="12">
        <v>45316</v>
      </c>
      <c r="AI83" s="15">
        <f t="shared" si="56"/>
        <v>45316</v>
      </c>
      <c r="AJ83" s="15">
        <f t="shared" si="57"/>
        <v>45316</v>
      </c>
      <c r="AK83" s="15" t="str">
        <f t="shared" si="58"/>
        <v>25,01,2024</v>
      </c>
      <c r="AL83" s="10" t="str">
        <f t="shared" si="59"/>
        <v>25/01/2024</v>
      </c>
      <c r="AM83" s="27" t="str">
        <f>RIGHT(Table22[[#This Row],[Date_of_Discharge Cleaned 4]],4)</f>
        <v>2024</v>
      </c>
      <c r="AN83" s="27" t="str">
        <f t="shared" si="60"/>
        <v>2024</v>
      </c>
      <c r="AO83" t="s">
        <v>272</v>
      </c>
      <c r="AP83" s="15" t="str">
        <f t="shared" si="61"/>
        <v>Unknown</v>
      </c>
      <c r="AQ83" s="15" t="str">
        <f t="shared" si="62"/>
        <v>Unknown</v>
      </c>
      <c r="AR83" s="15" t="str">
        <f t="shared" si="63"/>
        <v>Unknown</v>
      </c>
      <c r="AS83" s="15" t="str">
        <f t="shared" si="64"/>
        <v>Unknown</v>
      </c>
      <c r="AT83" s="10" t="str">
        <f t="shared" si="65"/>
        <v>Unknown</v>
      </c>
      <c r="AU83" s="27" t="str">
        <f>RIGHT(Table22[[#This Row],[Follow_up_Visit Cleaned 5]],4)</f>
        <v>nown</v>
      </c>
      <c r="AV83" s="27" t="str">
        <f t="shared" si="66"/>
        <v>Unknown</v>
      </c>
    </row>
    <row r="84" spans="1:48" ht="14.25" customHeight="1" x14ac:dyDescent="0.2">
      <c r="A84" t="s">
        <v>583</v>
      </c>
      <c r="B84" t="s">
        <v>584</v>
      </c>
      <c r="C84" s="10" t="str">
        <f t="shared" si="40"/>
        <v>Patient_82</v>
      </c>
      <c r="D84">
        <v>73</v>
      </c>
      <c r="E84" t="s">
        <v>146</v>
      </c>
      <c r="F84" t="s">
        <v>585</v>
      </c>
      <c r="G84" s="15" t="str">
        <f t="shared" si="67"/>
        <v>04/October/2023</v>
      </c>
      <c r="H84" s="15" t="str">
        <f t="shared" si="41"/>
        <v>04/October/2023</v>
      </c>
      <c r="I84" s="15" t="str">
        <f t="shared" si="42"/>
        <v>04/10/2023</v>
      </c>
      <c r="J84" s="10" t="str">
        <f>LEFT(Table22[[#This Row],[Date_of_Admission Cleaned 3]],10)</f>
        <v>04/10/2023</v>
      </c>
      <c r="K84" s="27" t="str">
        <f>RIGHT(Table22[[#This Row],[Date_of_Admission Cleaned 4]],4)</f>
        <v>2023</v>
      </c>
      <c r="L84" s="27" t="str">
        <f t="shared" si="43"/>
        <v>2023</v>
      </c>
      <c r="M84" t="s">
        <v>526</v>
      </c>
      <c r="N84" s="15" t="str">
        <f t="shared" si="44"/>
        <v>18/10/2017</v>
      </c>
      <c r="O84" s="15" t="str">
        <f t="shared" si="45"/>
        <v>18/10/2017</v>
      </c>
      <c r="P84" s="10" t="str">
        <f t="shared" si="68"/>
        <v>18/10/2017</v>
      </c>
      <c r="Q84" s="27" t="str">
        <f>RIGHT(Table22[[#This Row],[Date_of_Diagnosis Cleaned 3]],4)</f>
        <v>2017</v>
      </c>
      <c r="R84" s="27" t="str">
        <f t="shared" si="46"/>
        <v>2017</v>
      </c>
      <c r="S84" t="s">
        <v>586</v>
      </c>
      <c r="T84" s="21" t="str">
        <f t="shared" si="47"/>
        <v>30/09/2024</v>
      </c>
      <c r="U84" s="21" t="str">
        <f t="shared" si="69"/>
        <v>30/09/2024</v>
      </c>
      <c r="V84" s="21" t="str">
        <f t="shared" si="48"/>
        <v>30/09/2024</v>
      </c>
      <c r="W84" s="16" t="str">
        <f t="shared" si="49"/>
        <v>30/09/2024</v>
      </c>
      <c r="X84" s="28" t="str">
        <f>RIGHT(Table22[[#This Row],[Date_of_Treatment_Start Cleaned 4]],4)</f>
        <v>2024</v>
      </c>
      <c r="Y84" t="s">
        <v>430</v>
      </c>
      <c r="Z84" s="15" t="str">
        <f t="shared" si="50"/>
        <v>12/11/2019</v>
      </c>
      <c r="AA84" s="15" t="str">
        <f t="shared" si="51"/>
        <v>12/11/2019</v>
      </c>
      <c r="AB84" s="15" t="str">
        <f t="shared" si="52"/>
        <v>12/11/2019</v>
      </c>
      <c r="AC84" s="15" t="str">
        <f>LEFT(Table22[[#This Row],[Date_of_Surgery Cleaned 3]],10)</f>
        <v>12/11/2019</v>
      </c>
      <c r="AD84" s="15" t="str">
        <f t="shared" si="53"/>
        <v>11,12,2019</v>
      </c>
      <c r="AE84" s="10" t="str">
        <f t="shared" si="54"/>
        <v>11/12/2019</v>
      </c>
      <c r="AF84" s="27" t="str">
        <f>RIGHT(Table22[[#This Row],[Date_of_Surgery Cleaned 6]],4)</f>
        <v>2019</v>
      </c>
      <c r="AG84" s="27" t="str">
        <f t="shared" si="55"/>
        <v>2019</v>
      </c>
      <c r="AH84" t="s">
        <v>587</v>
      </c>
      <c r="AI84" s="15" t="str">
        <f t="shared" si="56"/>
        <v>2024/03/29</v>
      </c>
      <c r="AJ84" s="15" t="str">
        <f t="shared" si="57"/>
        <v>2024/03/29</v>
      </c>
      <c r="AK84" s="15" t="str">
        <f t="shared" si="58"/>
        <v>29,03,2024</v>
      </c>
      <c r="AL84" s="10" t="str">
        <f t="shared" si="59"/>
        <v>29/03/2024</v>
      </c>
      <c r="AM84" s="27" t="str">
        <f>RIGHT(Table22[[#This Row],[Date_of_Discharge Cleaned 4]],4)</f>
        <v>2024</v>
      </c>
      <c r="AN84" s="27" t="str">
        <f t="shared" si="60"/>
        <v>2024</v>
      </c>
      <c r="AO84" s="12">
        <v>45147</v>
      </c>
      <c r="AP84" s="15">
        <f t="shared" si="61"/>
        <v>45147</v>
      </c>
      <c r="AQ84" s="15" t="str">
        <f t="shared" si="62"/>
        <v>45147</v>
      </c>
      <c r="AR84" s="15" t="str">
        <f t="shared" si="63"/>
        <v>09,08,2023</v>
      </c>
      <c r="AS84" s="15" t="str">
        <f t="shared" si="64"/>
        <v>09/08/2023</v>
      </c>
      <c r="AT84" s="10" t="str">
        <f t="shared" si="65"/>
        <v>09/08/2023</v>
      </c>
      <c r="AU84" s="27" t="str">
        <f>RIGHT(Table22[[#This Row],[Follow_up_Visit Cleaned 5]],4)</f>
        <v>2023</v>
      </c>
      <c r="AV84" s="27" t="str">
        <f t="shared" si="66"/>
        <v>2023</v>
      </c>
    </row>
    <row r="85" spans="1:48" ht="14.25" customHeight="1" x14ac:dyDescent="0.2">
      <c r="A85" t="s">
        <v>588</v>
      </c>
      <c r="B85" t="s">
        <v>589</v>
      </c>
      <c r="C85" s="10" t="str">
        <f t="shared" si="40"/>
        <v>Patient_83</v>
      </c>
      <c r="D85">
        <v>82</v>
      </c>
      <c r="E85" t="s">
        <v>160</v>
      </c>
      <c r="F85" t="s">
        <v>590</v>
      </c>
      <c r="G85" s="15" t="str">
        <f t="shared" si="67"/>
        <v>13/08/2023</v>
      </c>
      <c r="H85" s="15" t="str">
        <f t="shared" si="41"/>
        <v>13/08/2023</v>
      </c>
      <c r="I85" s="15" t="str">
        <f t="shared" si="42"/>
        <v>13/08/2023</v>
      </c>
      <c r="J85" s="10" t="str">
        <f>LEFT(Table22[[#This Row],[Date_of_Admission Cleaned 3]],10)</f>
        <v>13/08/2023</v>
      </c>
      <c r="K85" s="27" t="str">
        <f>RIGHT(Table22[[#This Row],[Date_of_Admission Cleaned 4]],4)</f>
        <v>2023</v>
      </c>
      <c r="L85" s="27" t="str">
        <f t="shared" si="43"/>
        <v>2023</v>
      </c>
      <c r="M85" t="s">
        <v>591</v>
      </c>
      <c r="N85" s="15" t="str">
        <f t="shared" si="44"/>
        <v>14/6/2016</v>
      </c>
      <c r="O85" s="15" t="str">
        <f t="shared" si="45"/>
        <v>14/06/2016</v>
      </c>
      <c r="P85" s="10" t="str">
        <f t="shared" si="68"/>
        <v>14/06/2016</v>
      </c>
      <c r="Q85" s="27" t="str">
        <f>RIGHT(Table22[[#This Row],[Date_of_Diagnosis Cleaned 3]],4)</f>
        <v>2016</v>
      </c>
      <c r="R85" s="27" t="str">
        <f t="shared" si="46"/>
        <v>2016</v>
      </c>
      <c r="S85" t="s">
        <v>592</v>
      </c>
      <c r="T85" s="21" t="str">
        <f t="shared" si="47"/>
        <v>Apr/11//2024</v>
      </c>
      <c r="U85" s="21" t="str">
        <f t="shared" si="69"/>
        <v>Apr/11//2024</v>
      </c>
      <c r="V85" s="21" t="str">
        <f t="shared" si="48"/>
        <v>Apr/11/2024</v>
      </c>
      <c r="W85" s="16" t="str">
        <f t="shared" si="49"/>
        <v>04/11/2024</v>
      </c>
      <c r="X85" s="28" t="str">
        <f>RIGHT(Table22[[#This Row],[Date_of_Treatment_Start Cleaned 4]],4)</f>
        <v>2024</v>
      </c>
      <c r="Y85" t="s">
        <v>507</v>
      </c>
      <c r="Z85" s="15" t="str">
        <f t="shared" si="50"/>
        <v>10/11/2018</v>
      </c>
      <c r="AA85" s="15" t="str">
        <f t="shared" si="51"/>
        <v>10/11/2018</v>
      </c>
      <c r="AB85" s="15" t="str">
        <f t="shared" si="52"/>
        <v>10/11/2018</v>
      </c>
      <c r="AC85" s="15" t="str">
        <f>LEFT(Table22[[#This Row],[Date_of_Surgery Cleaned 3]],10)</f>
        <v>10/11/2018</v>
      </c>
      <c r="AD85" s="15" t="str">
        <f t="shared" si="53"/>
        <v>11,10,2018</v>
      </c>
      <c r="AE85" s="10" t="str">
        <f t="shared" si="54"/>
        <v>11/10/2018</v>
      </c>
      <c r="AF85" s="27" t="str">
        <f>RIGHT(Table22[[#This Row],[Date_of_Surgery Cleaned 6]],4)</f>
        <v>2018</v>
      </c>
      <c r="AG85" s="27" t="str">
        <f t="shared" si="55"/>
        <v>2018</v>
      </c>
      <c r="AI85" s="15" t="str">
        <f t="shared" si="56"/>
        <v>Unknown</v>
      </c>
      <c r="AJ85" s="15" t="str">
        <f t="shared" si="57"/>
        <v>Unknown</v>
      </c>
      <c r="AK85" s="15" t="str">
        <f t="shared" si="58"/>
        <v>Unknown</v>
      </c>
      <c r="AL85" s="10" t="str">
        <f t="shared" si="59"/>
        <v>Unknown</v>
      </c>
      <c r="AM85" s="27" t="str">
        <f>RIGHT(Table22[[#This Row],[Date_of_Discharge Cleaned 4]],4)</f>
        <v>nown</v>
      </c>
      <c r="AN85" s="27" t="str">
        <f t="shared" si="60"/>
        <v>Unknown</v>
      </c>
      <c r="AO85">
        <v>45356</v>
      </c>
      <c r="AP85" s="15">
        <f t="shared" si="61"/>
        <v>45356</v>
      </c>
      <c r="AQ85" s="15" t="str">
        <f t="shared" si="62"/>
        <v>45356</v>
      </c>
      <c r="AR85" s="15" t="str">
        <f t="shared" si="63"/>
        <v>05,03,2024</v>
      </c>
      <c r="AS85" s="15" t="str">
        <f t="shared" si="64"/>
        <v>05/03/2024</v>
      </c>
      <c r="AT85" s="10" t="str">
        <f t="shared" si="65"/>
        <v>05/03/2024</v>
      </c>
      <c r="AU85" s="27" t="str">
        <f>RIGHT(Table22[[#This Row],[Follow_up_Visit Cleaned 5]],4)</f>
        <v>2024</v>
      </c>
      <c r="AV85" s="27" t="str">
        <f t="shared" si="66"/>
        <v>2024</v>
      </c>
    </row>
    <row r="86" spans="1:48" ht="14.25" customHeight="1" x14ac:dyDescent="0.2">
      <c r="A86" t="s">
        <v>593</v>
      </c>
      <c r="B86" t="s">
        <v>594</v>
      </c>
      <c r="C86" s="10" t="str">
        <f t="shared" si="40"/>
        <v>Patient_84</v>
      </c>
      <c r="D86">
        <v>37</v>
      </c>
      <c r="E86" t="s">
        <v>160</v>
      </c>
      <c r="F86" t="s">
        <v>147</v>
      </c>
      <c r="G86" s="15" t="str">
        <f t="shared" si="67"/>
        <v>12/13/2023</v>
      </c>
      <c r="H86" s="15" t="str">
        <f t="shared" si="41"/>
        <v>12/13/2023</v>
      </c>
      <c r="I86" s="15" t="str">
        <f t="shared" si="42"/>
        <v>13/12/2023</v>
      </c>
      <c r="J86" s="10" t="str">
        <f>LEFT(Table22[[#This Row],[Date_of_Admission Cleaned 3]],10)</f>
        <v>13/12/2023</v>
      </c>
      <c r="K86" s="27" t="str">
        <f>RIGHT(Table22[[#This Row],[Date_of_Admission Cleaned 4]],4)</f>
        <v>2023</v>
      </c>
      <c r="L86" s="27" t="str">
        <f t="shared" si="43"/>
        <v>2023</v>
      </c>
      <c r="M86" t="s">
        <v>595</v>
      </c>
      <c r="N86" s="15" t="str">
        <f t="shared" si="44"/>
        <v>16/01/2023</v>
      </c>
      <c r="O86" s="15" t="str">
        <f t="shared" si="45"/>
        <v>16/01/2023</v>
      </c>
      <c r="P86" s="10" t="str">
        <f t="shared" si="68"/>
        <v>16/01/2023</v>
      </c>
      <c r="Q86" s="27" t="str">
        <f>RIGHT(Table22[[#This Row],[Date_of_Diagnosis Cleaned 3]],4)</f>
        <v>2023</v>
      </c>
      <c r="R86" s="27" t="str">
        <f t="shared" si="46"/>
        <v>2023</v>
      </c>
      <c r="S86" t="s">
        <v>330</v>
      </c>
      <c r="T86" s="21" t="str">
        <f t="shared" si="47"/>
        <v>Apr/29//2023</v>
      </c>
      <c r="U86" s="21" t="str">
        <f t="shared" si="69"/>
        <v>Apr/29//2023</v>
      </c>
      <c r="V86" s="21" t="str">
        <f t="shared" si="48"/>
        <v>Apr/29/2023</v>
      </c>
      <c r="W86" s="16" t="str">
        <f t="shared" si="49"/>
        <v>04/29/2023</v>
      </c>
      <c r="X86" s="28" t="str">
        <f>RIGHT(Table22[[#This Row],[Date_of_Treatment_Start Cleaned 4]],4)</f>
        <v>2023</v>
      </c>
      <c r="Y86" t="s">
        <v>507</v>
      </c>
      <c r="Z86" s="15" t="str">
        <f t="shared" si="50"/>
        <v>10/11/2018</v>
      </c>
      <c r="AA86" s="15" t="str">
        <f t="shared" si="51"/>
        <v>10/11/2018</v>
      </c>
      <c r="AB86" s="15" t="str">
        <f t="shared" si="52"/>
        <v>10/11/2018</v>
      </c>
      <c r="AC86" s="15" t="str">
        <f>LEFT(Table22[[#This Row],[Date_of_Surgery Cleaned 3]],10)</f>
        <v>10/11/2018</v>
      </c>
      <c r="AD86" s="15" t="str">
        <f t="shared" si="53"/>
        <v>11,10,2018</v>
      </c>
      <c r="AE86" s="10" t="str">
        <f t="shared" si="54"/>
        <v>11/10/2018</v>
      </c>
      <c r="AF86" s="27" t="str">
        <f>RIGHT(Table22[[#This Row],[Date_of_Surgery Cleaned 6]],4)</f>
        <v>2018</v>
      </c>
      <c r="AG86" s="27" t="str">
        <f t="shared" si="55"/>
        <v>2018</v>
      </c>
      <c r="AH86" t="s">
        <v>596</v>
      </c>
      <c r="AI86" s="15" t="str">
        <f t="shared" si="56"/>
        <v>Aug 25, 2024</v>
      </c>
      <c r="AJ86" s="15" t="str">
        <f t="shared" si="57"/>
        <v>Aug 25, 2024</v>
      </c>
      <c r="AK86" s="15" t="str">
        <f t="shared" si="58"/>
        <v>25,08,2024</v>
      </c>
      <c r="AL86" s="10" t="str">
        <f t="shared" si="59"/>
        <v>25/08/2024</v>
      </c>
      <c r="AM86" s="27" t="str">
        <f>RIGHT(Table22[[#This Row],[Date_of_Discharge Cleaned 4]],4)</f>
        <v>2024</v>
      </c>
      <c r="AN86" s="27" t="str">
        <f t="shared" si="60"/>
        <v>2024</v>
      </c>
      <c r="AO86" t="s">
        <v>597</v>
      </c>
      <c r="AP86" s="15" t="str">
        <f t="shared" si="61"/>
        <v>16/12/2023</v>
      </c>
      <c r="AQ86" s="15" t="str">
        <f t="shared" si="62"/>
        <v>16/12/2023</v>
      </c>
      <c r="AR86" s="15" t="str">
        <f t="shared" si="63"/>
        <v>16/12/2023</v>
      </c>
      <c r="AS86" s="15" t="str">
        <f t="shared" si="64"/>
        <v>16/12/2023</v>
      </c>
      <c r="AT86" s="10" t="str">
        <f t="shared" si="65"/>
        <v>16/12/2023</v>
      </c>
      <c r="AU86" s="27" t="str">
        <f>RIGHT(Table22[[#This Row],[Follow_up_Visit Cleaned 5]],4)</f>
        <v>2023</v>
      </c>
      <c r="AV86" s="27" t="str">
        <f t="shared" si="66"/>
        <v>2023</v>
      </c>
    </row>
    <row r="87" spans="1:48" ht="14.25" customHeight="1" x14ac:dyDescent="0.2">
      <c r="A87" t="s">
        <v>598</v>
      </c>
      <c r="B87" t="s">
        <v>599</v>
      </c>
      <c r="C87" s="10" t="str">
        <f t="shared" si="40"/>
        <v>Patient_85</v>
      </c>
      <c r="D87">
        <v>63</v>
      </c>
      <c r="E87" t="s">
        <v>146</v>
      </c>
      <c r="F87" t="s">
        <v>147</v>
      </c>
      <c r="G87" s="15" t="str">
        <f t="shared" si="67"/>
        <v>12/13/2023</v>
      </c>
      <c r="H87" s="15" t="str">
        <f t="shared" si="41"/>
        <v>12/13/2023</v>
      </c>
      <c r="I87" s="15" t="str">
        <f t="shared" si="42"/>
        <v>13/12/2023</v>
      </c>
      <c r="J87" s="10" t="str">
        <f>LEFT(Table22[[#This Row],[Date_of_Admission Cleaned 3]],10)</f>
        <v>13/12/2023</v>
      </c>
      <c r="K87" s="27" t="str">
        <f>RIGHT(Table22[[#This Row],[Date_of_Admission Cleaned 4]],4)</f>
        <v>2023</v>
      </c>
      <c r="L87" s="27" t="str">
        <f t="shared" si="43"/>
        <v>2023</v>
      </c>
      <c r="M87" t="s">
        <v>260</v>
      </c>
      <c r="N87" s="15" t="str">
        <f t="shared" si="44"/>
        <v>08/31/2023</v>
      </c>
      <c r="O87" s="15" t="str">
        <f t="shared" si="45"/>
        <v>08/31/2023</v>
      </c>
      <c r="P87" s="10" t="str">
        <f t="shared" si="68"/>
        <v>31/08/2023</v>
      </c>
      <c r="Q87" s="27" t="str">
        <f>RIGHT(Table22[[#This Row],[Date_of_Diagnosis Cleaned 3]],4)</f>
        <v>2023</v>
      </c>
      <c r="R87" s="27" t="str">
        <f t="shared" si="46"/>
        <v>2023</v>
      </c>
      <c r="S87" t="s">
        <v>600</v>
      </c>
      <c r="T87" s="21" t="str">
        <f t="shared" si="47"/>
        <v>Dec/01//2023</v>
      </c>
      <c r="U87" s="21" t="str">
        <f t="shared" si="69"/>
        <v>Dec/01//2023</v>
      </c>
      <c r="V87" s="21" t="str">
        <f t="shared" si="48"/>
        <v>Dec/01/2023</v>
      </c>
      <c r="W87" s="16" t="str">
        <f t="shared" si="49"/>
        <v>12/01/2023</v>
      </c>
      <c r="X87" s="28" t="str">
        <f>RIGHT(Table22[[#This Row],[Date_of_Treatment_Start Cleaned 4]],4)</f>
        <v>2023</v>
      </c>
      <c r="Y87" s="12">
        <v>43587</v>
      </c>
      <c r="Z87" s="15" t="str">
        <f t="shared" si="50"/>
        <v>43587</v>
      </c>
      <c r="AA87" s="15" t="str">
        <f t="shared" si="51"/>
        <v>43587</v>
      </c>
      <c r="AB87" s="15" t="str">
        <f t="shared" si="52"/>
        <v>43587</v>
      </c>
      <c r="AC87" s="15" t="str">
        <f>LEFT(Table22[[#This Row],[Date_of_Surgery Cleaned 3]],10)</f>
        <v>43587</v>
      </c>
      <c r="AD87" s="15" t="str">
        <f t="shared" si="53"/>
        <v>02,05,2019</v>
      </c>
      <c r="AE87" s="10" t="str">
        <f t="shared" si="54"/>
        <v>02/05/2019</v>
      </c>
      <c r="AF87" s="27" t="str">
        <f>RIGHT(Table22[[#This Row],[Date_of_Surgery Cleaned 6]],4)</f>
        <v>2019</v>
      </c>
      <c r="AG87" s="27" t="str">
        <f t="shared" si="55"/>
        <v>2019</v>
      </c>
      <c r="AH87" t="s">
        <v>601</v>
      </c>
      <c r="AI87" s="15" t="str">
        <f t="shared" si="56"/>
        <v>2023-11-09</v>
      </c>
      <c r="AJ87" s="15" t="str">
        <f t="shared" si="57"/>
        <v>2023-11-09</v>
      </c>
      <c r="AK87" s="15" t="str">
        <f t="shared" si="58"/>
        <v>09,11,2023</v>
      </c>
      <c r="AL87" s="10" t="str">
        <f t="shared" si="59"/>
        <v>09/11/2023</v>
      </c>
      <c r="AM87" s="27" t="str">
        <f>RIGHT(Table22[[#This Row],[Date_of_Discharge Cleaned 4]],4)</f>
        <v>2023</v>
      </c>
      <c r="AN87" s="27" t="str">
        <f t="shared" si="60"/>
        <v>2023</v>
      </c>
      <c r="AO87" t="s">
        <v>514</v>
      </c>
      <c r="AP87" s="15" t="str">
        <f t="shared" si="61"/>
        <v>None</v>
      </c>
      <c r="AQ87" s="15" t="str">
        <f t="shared" si="62"/>
        <v>Unknown</v>
      </c>
      <c r="AR87" s="15" t="str">
        <f t="shared" si="63"/>
        <v>Unknown</v>
      </c>
      <c r="AS87" s="15" t="str">
        <f t="shared" si="64"/>
        <v>Unknown</v>
      </c>
      <c r="AT87" s="10" t="str">
        <f t="shared" si="65"/>
        <v>Unknown</v>
      </c>
      <c r="AU87" s="27" t="str">
        <f>RIGHT(Table22[[#This Row],[Follow_up_Visit Cleaned 5]],4)</f>
        <v>nown</v>
      </c>
      <c r="AV87" s="27" t="str">
        <f t="shared" si="66"/>
        <v>Unknown</v>
      </c>
    </row>
    <row r="88" spans="1:48" ht="14.25" customHeight="1" x14ac:dyDescent="0.2">
      <c r="A88" t="s">
        <v>602</v>
      </c>
      <c r="B88" t="s">
        <v>603</v>
      </c>
      <c r="C88" s="10" t="str">
        <f t="shared" si="40"/>
        <v>Patient_86</v>
      </c>
      <c r="D88">
        <v>53</v>
      </c>
      <c r="E88" t="s">
        <v>160</v>
      </c>
      <c r="F88" t="s">
        <v>604</v>
      </c>
      <c r="G88" s="15" t="str">
        <f t="shared" si="67"/>
        <v>27/Feb/2023</v>
      </c>
      <c r="H88" s="15" t="str">
        <f t="shared" si="41"/>
        <v>27/Feb/2023</v>
      </c>
      <c r="I88" s="15" t="str">
        <f t="shared" si="42"/>
        <v>27/02/2023</v>
      </c>
      <c r="J88" s="10" t="str">
        <f>LEFT(Table22[[#This Row],[Date_of_Admission Cleaned 3]],10)</f>
        <v>27/02/2023</v>
      </c>
      <c r="K88" s="27" t="str">
        <f>RIGHT(Table22[[#This Row],[Date_of_Admission Cleaned 4]],4)</f>
        <v>2023</v>
      </c>
      <c r="L88" s="27" t="str">
        <f t="shared" si="43"/>
        <v>2023</v>
      </c>
      <c r="M88" s="12">
        <v>45343</v>
      </c>
      <c r="N88" s="15" t="str">
        <f t="shared" si="44"/>
        <v>45343</v>
      </c>
      <c r="O88" s="15" t="str">
        <f t="shared" si="45"/>
        <v>45343</v>
      </c>
      <c r="P88" s="10" t="str">
        <f t="shared" si="68"/>
        <v>21/02/2024</v>
      </c>
      <c r="Q88" s="27" t="str">
        <f>RIGHT(Table22[[#This Row],[Date_of_Diagnosis Cleaned 3]],4)</f>
        <v>2024</v>
      </c>
      <c r="R88" s="27" t="str">
        <f t="shared" si="46"/>
        <v>2024</v>
      </c>
      <c r="S88" t="s">
        <v>605</v>
      </c>
      <c r="T88" s="21" t="str">
        <f t="shared" si="47"/>
        <v>Dec/07//2023</v>
      </c>
      <c r="U88" s="21" t="str">
        <f t="shared" si="69"/>
        <v>Dec/07//2023</v>
      </c>
      <c r="V88" s="21" t="str">
        <f t="shared" si="48"/>
        <v>Dec/07/2023</v>
      </c>
      <c r="W88" s="16" t="str">
        <f t="shared" si="49"/>
        <v>12/07/2023</v>
      </c>
      <c r="X88" s="28" t="str">
        <f>RIGHT(Table22[[#This Row],[Date_of_Treatment_Start Cleaned 4]],4)</f>
        <v>2023</v>
      </c>
      <c r="Y88" s="12">
        <v>43587</v>
      </c>
      <c r="Z88" s="15" t="str">
        <f t="shared" si="50"/>
        <v>43587</v>
      </c>
      <c r="AA88" s="15" t="str">
        <f t="shared" si="51"/>
        <v>43587</v>
      </c>
      <c r="AB88" s="15" t="str">
        <f t="shared" si="52"/>
        <v>43587</v>
      </c>
      <c r="AC88" s="15" t="str">
        <f>LEFT(Table22[[#This Row],[Date_of_Surgery Cleaned 3]],10)</f>
        <v>43587</v>
      </c>
      <c r="AD88" s="15" t="str">
        <f t="shared" si="53"/>
        <v>02,05,2019</v>
      </c>
      <c r="AE88" s="10" t="str">
        <f t="shared" si="54"/>
        <v>02/05/2019</v>
      </c>
      <c r="AF88" s="27" t="str">
        <f>RIGHT(Table22[[#This Row],[Date_of_Surgery Cleaned 6]],4)</f>
        <v>2019</v>
      </c>
      <c r="AG88" s="27" t="str">
        <f t="shared" si="55"/>
        <v>2019</v>
      </c>
      <c r="AH88" t="s">
        <v>606</v>
      </c>
      <c r="AI88" s="15" t="str">
        <f t="shared" si="56"/>
        <v>16-09-2024</v>
      </c>
      <c r="AJ88" s="15" t="str">
        <f t="shared" si="57"/>
        <v>16-09-2024</v>
      </c>
      <c r="AK88" s="15" t="str">
        <f t="shared" si="58"/>
        <v>16-09-2024</v>
      </c>
      <c r="AL88" s="10" t="str">
        <f t="shared" si="59"/>
        <v>16/09/2024</v>
      </c>
      <c r="AM88" s="27" t="str">
        <f>RIGHT(Table22[[#This Row],[Date_of_Discharge Cleaned 4]],4)</f>
        <v>2024</v>
      </c>
      <c r="AN88" s="27" t="str">
        <f t="shared" si="60"/>
        <v>2024</v>
      </c>
      <c r="AO88" s="6" t="s">
        <v>951</v>
      </c>
      <c r="AP88" s="15" t="str">
        <f t="shared" si="61"/>
        <v>11-01-2022abc</v>
      </c>
      <c r="AQ88" s="15" t="str">
        <f t="shared" si="62"/>
        <v>11-01-2022abc</v>
      </c>
      <c r="AR88" s="15" t="str">
        <f t="shared" si="63"/>
        <v>11-01-2022abc</v>
      </c>
      <c r="AS88" s="15" t="str">
        <f t="shared" si="64"/>
        <v>11/01/2022abc</v>
      </c>
      <c r="AT88" s="10" t="str">
        <f t="shared" si="65"/>
        <v>11/01/2022</v>
      </c>
      <c r="AU88" s="27" t="str">
        <f>RIGHT(Table22[[#This Row],[Follow_up_Visit Cleaned 5]],4)</f>
        <v>2022</v>
      </c>
      <c r="AV88" s="27" t="str">
        <f t="shared" si="66"/>
        <v>2022</v>
      </c>
    </row>
    <row r="89" spans="1:48" ht="14.25" customHeight="1" x14ac:dyDescent="0.2">
      <c r="A89" t="s">
        <v>607</v>
      </c>
      <c r="B89" t="s">
        <v>608</v>
      </c>
      <c r="C89" s="10" t="str">
        <f t="shared" si="40"/>
        <v>Patient_87</v>
      </c>
      <c r="D89">
        <v>81</v>
      </c>
      <c r="E89" t="s">
        <v>160</v>
      </c>
      <c r="F89" t="s">
        <v>147</v>
      </c>
      <c r="G89" s="15" t="str">
        <f t="shared" si="67"/>
        <v>12/13/2023</v>
      </c>
      <c r="H89" s="15" t="str">
        <f t="shared" si="41"/>
        <v>12/13/2023</v>
      </c>
      <c r="I89" s="15" t="str">
        <f t="shared" si="42"/>
        <v>13/12/2023</v>
      </c>
      <c r="J89" s="10" t="str">
        <f>LEFT(Table22[[#This Row],[Date_of_Admission Cleaned 3]],10)</f>
        <v>13/12/2023</v>
      </c>
      <c r="K89" s="27" t="str">
        <f>RIGHT(Table22[[#This Row],[Date_of_Admission Cleaned 4]],4)</f>
        <v>2023</v>
      </c>
      <c r="L89" s="27" t="str">
        <f t="shared" si="43"/>
        <v>2023</v>
      </c>
      <c r="M89" t="s">
        <v>609</v>
      </c>
      <c r="N89" s="15" t="str">
        <f t="shared" si="44"/>
        <v>07/May/2024</v>
      </c>
      <c r="O89" s="15" t="str">
        <f t="shared" si="45"/>
        <v>07/05/2024</v>
      </c>
      <c r="P89" s="10" t="str">
        <f t="shared" si="68"/>
        <v>05/07/2024</v>
      </c>
      <c r="Q89" s="27" t="str">
        <f>RIGHT(Table22[[#This Row],[Date_of_Diagnosis Cleaned 3]],4)</f>
        <v>2024</v>
      </c>
      <c r="R89" s="27" t="str">
        <f t="shared" si="46"/>
        <v>2024</v>
      </c>
      <c r="S89" t="s">
        <v>610</v>
      </c>
      <c r="T89" s="21" t="str">
        <f t="shared" si="47"/>
        <v>Dec/14//2024</v>
      </c>
      <c r="U89" s="21" t="str">
        <f t="shared" si="69"/>
        <v>Dec/14//2024</v>
      </c>
      <c r="V89" s="21" t="str">
        <f t="shared" si="48"/>
        <v>Dec/14/2024</v>
      </c>
      <c r="W89" s="16" t="str">
        <f t="shared" si="49"/>
        <v>12/14/2024</v>
      </c>
      <c r="X89" s="28" t="str">
        <f>RIGHT(Table22[[#This Row],[Date_of_Treatment_Start Cleaned 4]],4)</f>
        <v>2024</v>
      </c>
      <c r="Y89" s="12">
        <v>43587</v>
      </c>
      <c r="Z89" s="15" t="str">
        <f t="shared" si="50"/>
        <v>43587</v>
      </c>
      <c r="AA89" s="15" t="str">
        <f t="shared" si="51"/>
        <v>43587</v>
      </c>
      <c r="AB89" s="15" t="str">
        <f t="shared" si="52"/>
        <v>43587</v>
      </c>
      <c r="AC89" s="15" t="str">
        <f>LEFT(Table22[[#This Row],[Date_of_Surgery Cleaned 3]],10)</f>
        <v>43587</v>
      </c>
      <c r="AD89" s="15" t="str">
        <f t="shared" si="53"/>
        <v>02,05,2019</v>
      </c>
      <c r="AE89" s="10" t="str">
        <f t="shared" si="54"/>
        <v>02/05/2019</v>
      </c>
      <c r="AF89" s="27" t="str">
        <f>RIGHT(Table22[[#This Row],[Date_of_Surgery Cleaned 6]],4)</f>
        <v>2019</v>
      </c>
      <c r="AG89" s="27" t="str">
        <f t="shared" si="55"/>
        <v>2019</v>
      </c>
      <c r="AH89" t="s">
        <v>611</v>
      </c>
      <c r="AI89" s="15" t="str">
        <f t="shared" si="56"/>
        <v>01/Aug/2023</v>
      </c>
      <c r="AJ89" s="15" t="str">
        <f t="shared" si="57"/>
        <v>01/Aug/2023</v>
      </c>
      <c r="AK89" s="15" t="str">
        <f t="shared" si="58"/>
        <v>01,08,2023</v>
      </c>
      <c r="AL89" s="10" t="str">
        <f t="shared" si="59"/>
        <v>01/08/2023</v>
      </c>
      <c r="AM89" s="27" t="str">
        <f>RIGHT(Table22[[#This Row],[Date_of_Discharge Cleaned 4]],4)</f>
        <v>2023</v>
      </c>
      <c r="AN89" s="27" t="str">
        <f t="shared" si="60"/>
        <v>2023</v>
      </c>
      <c r="AO89" s="12">
        <v>44927</v>
      </c>
      <c r="AP89" s="15">
        <f t="shared" si="61"/>
        <v>44927</v>
      </c>
      <c r="AQ89" s="15" t="str">
        <f t="shared" si="62"/>
        <v>44927</v>
      </c>
      <c r="AR89" s="15" t="str">
        <f t="shared" si="63"/>
        <v>01,01,2023</v>
      </c>
      <c r="AS89" s="15" t="str">
        <f t="shared" si="64"/>
        <v>01/01/2023</v>
      </c>
      <c r="AT89" s="10" t="str">
        <f t="shared" si="65"/>
        <v>01/01/2023</v>
      </c>
      <c r="AU89" s="27" t="str">
        <f>RIGHT(Table22[[#This Row],[Follow_up_Visit Cleaned 5]],4)</f>
        <v>2023</v>
      </c>
      <c r="AV89" s="27" t="str">
        <f t="shared" si="66"/>
        <v>2023</v>
      </c>
    </row>
    <row r="90" spans="1:48" ht="14.25" customHeight="1" x14ac:dyDescent="0.2">
      <c r="A90" t="s">
        <v>612</v>
      </c>
      <c r="B90" t="s">
        <v>848</v>
      </c>
      <c r="C90" s="10" t="str">
        <f t="shared" si="40"/>
        <v>Patient_88</v>
      </c>
      <c r="D90">
        <v>41</v>
      </c>
      <c r="E90" t="s">
        <v>146</v>
      </c>
      <c r="F90" t="s">
        <v>613</v>
      </c>
      <c r="G90" s="15" t="str">
        <f t="shared" si="67"/>
        <v>01/20/2023</v>
      </c>
      <c r="H90" s="15" t="str">
        <f t="shared" si="41"/>
        <v>01/20/2023</v>
      </c>
      <c r="I90" s="15" t="str">
        <f t="shared" si="42"/>
        <v>20/01/2023</v>
      </c>
      <c r="J90" s="10" t="str">
        <f>LEFT(Table22[[#This Row],[Date_of_Admission Cleaned 3]],10)</f>
        <v>20/01/2023</v>
      </c>
      <c r="K90" s="27" t="str">
        <f>RIGHT(Table22[[#This Row],[Date_of_Admission Cleaned 4]],4)</f>
        <v>2023</v>
      </c>
      <c r="L90" s="27" t="str">
        <f t="shared" si="43"/>
        <v>2023</v>
      </c>
      <c r="M90" t="s">
        <v>397</v>
      </c>
      <c r="N90" s="15" t="str">
        <f t="shared" si="44"/>
        <v>11/11/2018</v>
      </c>
      <c r="O90" s="15" t="str">
        <f t="shared" si="45"/>
        <v>11/11/2018</v>
      </c>
      <c r="P90" s="10" t="str">
        <f t="shared" si="68"/>
        <v>11/11/2018</v>
      </c>
      <c r="Q90" s="27" t="str">
        <f>RIGHT(Table22[[#This Row],[Date_of_Diagnosis Cleaned 3]],4)</f>
        <v>2018</v>
      </c>
      <c r="R90" s="27" t="str">
        <f t="shared" si="46"/>
        <v>2018</v>
      </c>
      <c r="S90" t="s">
        <v>614</v>
      </c>
      <c r="T90" s="21" t="str">
        <f t="shared" si="47"/>
        <v>Dec/26//2024</v>
      </c>
      <c r="U90" s="21" t="str">
        <f t="shared" si="69"/>
        <v>Dec/26//2024</v>
      </c>
      <c r="V90" s="21" t="str">
        <f t="shared" si="48"/>
        <v>Dec/26/2024</v>
      </c>
      <c r="W90" s="16" t="str">
        <f t="shared" si="49"/>
        <v>12/26/2024</v>
      </c>
      <c r="X90" s="28" t="str">
        <f>RIGHT(Table22[[#This Row],[Date_of_Treatment_Start Cleaned 4]],4)</f>
        <v>2024</v>
      </c>
      <c r="Y90" t="s">
        <v>615</v>
      </c>
      <c r="Z90" s="15" t="str">
        <f t="shared" si="50"/>
        <v>19/10/2018</v>
      </c>
      <c r="AA90" s="15" t="str">
        <f t="shared" si="51"/>
        <v>19/10/2018</v>
      </c>
      <c r="AB90" s="15" t="str">
        <f t="shared" si="52"/>
        <v>19/10/2018</v>
      </c>
      <c r="AC90" s="15" t="str">
        <f>LEFT(Table22[[#This Row],[Date_of_Surgery Cleaned 3]],10)</f>
        <v>19/10/2018</v>
      </c>
      <c r="AD90" s="15" t="str">
        <f t="shared" si="53"/>
        <v>19/10/2018</v>
      </c>
      <c r="AE90" s="10" t="str">
        <f t="shared" si="54"/>
        <v>19/10/2018</v>
      </c>
      <c r="AF90" s="27" t="str">
        <f>RIGHT(Table22[[#This Row],[Date_of_Surgery Cleaned 6]],4)</f>
        <v>2018</v>
      </c>
      <c r="AG90" s="27" t="str">
        <f t="shared" si="55"/>
        <v>2018</v>
      </c>
      <c r="AH90" s="12">
        <v>45287</v>
      </c>
      <c r="AI90" s="15">
        <f t="shared" si="56"/>
        <v>45287</v>
      </c>
      <c r="AJ90" s="15">
        <f t="shared" si="57"/>
        <v>45287</v>
      </c>
      <c r="AK90" s="15" t="str">
        <f t="shared" si="58"/>
        <v>27,12,2023</v>
      </c>
      <c r="AL90" s="10" t="str">
        <f t="shared" si="59"/>
        <v>27/12/2023</v>
      </c>
      <c r="AM90" s="27" t="str">
        <f>RIGHT(Table22[[#This Row],[Date_of_Discharge Cleaned 4]],4)</f>
        <v>2023</v>
      </c>
      <c r="AN90" s="27" t="str">
        <f t="shared" si="60"/>
        <v>2023</v>
      </c>
      <c r="AO90" s="6" t="s">
        <v>939</v>
      </c>
      <c r="AP90" s="15" t="str">
        <f t="shared" si="61"/>
        <v>13-01-2020</v>
      </c>
      <c r="AQ90" s="15" t="str">
        <f t="shared" si="62"/>
        <v>13-01-2020</v>
      </c>
      <c r="AR90" s="15" t="str">
        <f t="shared" si="63"/>
        <v>13-01-2020</v>
      </c>
      <c r="AS90" s="15" t="str">
        <f t="shared" si="64"/>
        <v>13/01/2020</v>
      </c>
      <c r="AT90" s="10" t="str">
        <f t="shared" si="65"/>
        <v>13/01/2020</v>
      </c>
      <c r="AU90" s="27" t="str">
        <f>RIGHT(Table22[[#This Row],[Follow_up_Visit Cleaned 5]],4)</f>
        <v>2020</v>
      </c>
      <c r="AV90" s="27" t="str">
        <f t="shared" si="66"/>
        <v>2020</v>
      </c>
    </row>
    <row r="91" spans="1:48" ht="14.25" customHeight="1" x14ac:dyDescent="0.2">
      <c r="A91" t="s">
        <v>616</v>
      </c>
      <c r="B91" t="s">
        <v>617</v>
      </c>
      <c r="C91" s="10" t="str">
        <f t="shared" si="40"/>
        <v>Patient_89</v>
      </c>
      <c r="D91">
        <v>33</v>
      </c>
      <c r="E91" t="s">
        <v>160</v>
      </c>
      <c r="F91" t="s">
        <v>618</v>
      </c>
      <c r="G91" s="15" t="str">
        <f t="shared" si="67"/>
        <v>02/02/2023</v>
      </c>
      <c r="H91" s="15" t="str">
        <f t="shared" si="41"/>
        <v>02/02/2023</v>
      </c>
      <c r="I91" s="15" t="str">
        <f t="shared" si="42"/>
        <v>02/02/2023</v>
      </c>
      <c r="J91" s="10" t="str">
        <f>LEFT(Table22[[#This Row],[Date_of_Admission Cleaned 3]],10)</f>
        <v>02/02/2023</v>
      </c>
      <c r="K91" s="27" t="str">
        <f>RIGHT(Table22[[#This Row],[Date_of_Admission Cleaned 4]],4)</f>
        <v>2023</v>
      </c>
      <c r="L91" s="27" t="str">
        <f t="shared" si="43"/>
        <v>2023</v>
      </c>
      <c r="M91" t="s">
        <v>619</v>
      </c>
      <c r="N91" s="15" t="str">
        <f t="shared" si="44"/>
        <v>2024/02/15</v>
      </c>
      <c r="O91" s="15" t="str">
        <f t="shared" si="45"/>
        <v>2024/02/15</v>
      </c>
      <c r="P91" s="10" t="str">
        <f t="shared" si="68"/>
        <v>15/02/2024</v>
      </c>
      <c r="Q91" s="27" t="str">
        <f>RIGHT(Table22[[#This Row],[Date_of_Diagnosis Cleaned 3]],4)</f>
        <v>2024</v>
      </c>
      <c r="R91" s="27" t="str">
        <f t="shared" si="46"/>
        <v>2024</v>
      </c>
      <c r="S91" t="s">
        <v>620</v>
      </c>
      <c r="T91" s="21" t="str">
        <f t="shared" si="47"/>
        <v>Jan/08//2024</v>
      </c>
      <c r="U91" s="21" t="str">
        <f t="shared" si="69"/>
        <v>Jan/08//2024</v>
      </c>
      <c r="V91" s="21" t="str">
        <f t="shared" si="48"/>
        <v>Jan/08/2024</v>
      </c>
      <c r="W91" s="16" t="str">
        <f t="shared" si="49"/>
        <v>01/08/2024</v>
      </c>
      <c r="X91" s="28" t="str">
        <f>RIGHT(Table22[[#This Row],[Date_of_Treatment_Start Cleaned 4]],4)</f>
        <v>2024</v>
      </c>
      <c r="Y91" t="s">
        <v>615</v>
      </c>
      <c r="Z91" s="15" t="str">
        <f t="shared" si="50"/>
        <v>19/10/2018</v>
      </c>
      <c r="AA91" s="15" t="str">
        <f t="shared" si="51"/>
        <v>19/10/2018</v>
      </c>
      <c r="AB91" s="15" t="str">
        <f t="shared" si="52"/>
        <v>19/10/2018</v>
      </c>
      <c r="AC91" s="15" t="str">
        <f>LEFT(Table22[[#This Row],[Date_of_Surgery Cleaned 3]],10)</f>
        <v>19/10/2018</v>
      </c>
      <c r="AD91" s="15" t="str">
        <f t="shared" si="53"/>
        <v>19/10/2018</v>
      </c>
      <c r="AE91" s="10" t="str">
        <f t="shared" si="54"/>
        <v>19/10/2018</v>
      </c>
      <c r="AF91" s="27" t="str">
        <f>RIGHT(Table22[[#This Row],[Date_of_Surgery Cleaned 6]],4)</f>
        <v>2018</v>
      </c>
      <c r="AG91" s="27" t="str">
        <f t="shared" si="55"/>
        <v>2018</v>
      </c>
      <c r="AH91" t="s">
        <v>621</v>
      </c>
      <c r="AI91" s="15" t="str">
        <f t="shared" si="56"/>
        <v>28-09-2023</v>
      </c>
      <c r="AJ91" s="15" t="str">
        <f t="shared" si="57"/>
        <v>28-09-2023</v>
      </c>
      <c r="AK91" s="15" t="str">
        <f t="shared" si="58"/>
        <v>28-09-2023</v>
      </c>
      <c r="AL91" s="10" t="str">
        <f t="shared" si="59"/>
        <v>28/09/2023</v>
      </c>
      <c r="AM91" s="27" t="str">
        <f>RIGHT(Table22[[#This Row],[Date_of_Discharge Cleaned 4]],4)</f>
        <v>2023</v>
      </c>
      <c r="AN91" s="27" t="str">
        <f t="shared" si="60"/>
        <v>2023</v>
      </c>
      <c r="AO91" t="s">
        <v>187</v>
      </c>
      <c r="AP91" s="15" t="str">
        <f t="shared" si="61"/>
        <v>03/04/2023</v>
      </c>
      <c r="AQ91" s="15" t="str">
        <f t="shared" si="62"/>
        <v>03/04/2023</v>
      </c>
      <c r="AR91" s="15" t="str">
        <f t="shared" si="63"/>
        <v>04,03,2023</v>
      </c>
      <c r="AS91" s="15" t="str">
        <f t="shared" si="64"/>
        <v>04/03/2023</v>
      </c>
      <c r="AT91" s="10" t="str">
        <f t="shared" si="65"/>
        <v>04/03/2023</v>
      </c>
      <c r="AU91" s="27" t="str">
        <f>RIGHT(Table22[[#This Row],[Follow_up_Visit Cleaned 5]],4)</f>
        <v>2023</v>
      </c>
      <c r="AV91" s="27" t="str">
        <f t="shared" si="66"/>
        <v>2023</v>
      </c>
    </row>
    <row r="92" spans="1:48" ht="14.25" customHeight="1" x14ac:dyDescent="0.2">
      <c r="A92" t="s">
        <v>622</v>
      </c>
      <c r="B92" t="s">
        <v>623</v>
      </c>
      <c r="C92" s="10" t="str">
        <f t="shared" si="40"/>
        <v>Patient_90</v>
      </c>
      <c r="D92">
        <v>67</v>
      </c>
      <c r="E92" t="s">
        <v>160</v>
      </c>
      <c r="F92" t="s">
        <v>624</v>
      </c>
      <c r="G92" s="15" t="str">
        <f t="shared" si="67"/>
        <v>2024/02/15</v>
      </c>
      <c r="H92" s="15" t="str">
        <f t="shared" si="41"/>
        <v>2024/02/15</v>
      </c>
      <c r="I92" s="15" t="str">
        <f t="shared" si="42"/>
        <v>15/02/2024</v>
      </c>
      <c r="J92" s="10" t="str">
        <f>LEFT(Table22[[#This Row],[Date_of_Admission Cleaned 3]],10)</f>
        <v>15/02/2024</v>
      </c>
      <c r="K92" s="27" t="str">
        <f>RIGHT(Table22[[#This Row],[Date_of_Admission Cleaned 4]],4)</f>
        <v>2024</v>
      </c>
      <c r="L92" s="27" t="str">
        <f t="shared" si="43"/>
        <v>2024</v>
      </c>
      <c r="M92" t="s">
        <v>625</v>
      </c>
      <c r="N92" s="15" t="str">
        <f t="shared" si="44"/>
        <v>Jun/18//2023</v>
      </c>
      <c r="O92" s="15" t="str">
        <f t="shared" si="45"/>
        <v>06/18/2023</v>
      </c>
      <c r="P92" s="10" t="str">
        <f t="shared" si="68"/>
        <v>18/06/2023</v>
      </c>
      <c r="Q92" s="27" t="str">
        <f>RIGHT(Table22[[#This Row],[Date_of_Diagnosis Cleaned 3]],4)</f>
        <v>2023</v>
      </c>
      <c r="R92" s="27" t="str">
        <f t="shared" si="46"/>
        <v>2023</v>
      </c>
      <c r="S92" t="s">
        <v>626</v>
      </c>
      <c r="T92" s="21" t="str">
        <f t="shared" si="47"/>
        <v>Jul/01//2023</v>
      </c>
      <c r="U92" s="21" t="str">
        <f t="shared" si="69"/>
        <v>Jul/01//2023</v>
      </c>
      <c r="V92" s="21" t="str">
        <f t="shared" si="48"/>
        <v>Jul/01/2023</v>
      </c>
      <c r="W92" s="16" t="str">
        <f t="shared" si="49"/>
        <v>07/01/2023</v>
      </c>
      <c r="X92" s="28" t="str">
        <f>RIGHT(Table22[[#This Row],[Date_of_Treatment_Start Cleaned 4]],4)</f>
        <v>2023</v>
      </c>
      <c r="Y92" t="s">
        <v>615</v>
      </c>
      <c r="Z92" s="15" t="str">
        <f t="shared" si="50"/>
        <v>19/10/2018</v>
      </c>
      <c r="AA92" s="15" t="str">
        <f t="shared" si="51"/>
        <v>19/10/2018</v>
      </c>
      <c r="AB92" s="15" t="str">
        <f t="shared" si="52"/>
        <v>19/10/2018</v>
      </c>
      <c r="AC92" s="15" t="str">
        <f>LEFT(Table22[[#This Row],[Date_of_Surgery Cleaned 3]],10)</f>
        <v>19/10/2018</v>
      </c>
      <c r="AD92" s="15" t="str">
        <f t="shared" si="53"/>
        <v>19/10/2018</v>
      </c>
      <c r="AE92" s="10" t="str">
        <f t="shared" si="54"/>
        <v>19/10/2018</v>
      </c>
      <c r="AF92" s="27" t="str">
        <f>RIGHT(Table22[[#This Row],[Date_of_Surgery Cleaned 6]],4)</f>
        <v>2018</v>
      </c>
      <c r="AG92" s="27" t="str">
        <f t="shared" si="55"/>
        <v>2018</v>
      </c>
      <c r="AH92" t="s">
        <v>198</v>
      </c>
      <c r="AI92" s="15" t="str">
        <f t="shared" si="56"/>
        <v>N/A</v>
      </c>
      <c r="AJ92" s="15" t="str">
        <f t="shared" si="57"/>
        <v>Unknown</v>
      </c>
      <c r="AK92" s="15" t="str">
        <f t="shared" si="58"/>
        <v>Unknown</v>
      </c>
      <c r="AL92" s="10" t="str">
        <f t="shared" si="59"/>
        <v>Unknown</v>
      </c>
      <c r="AM92" s="27" t="str">
        <f>RIGHT(Table22[[#This Row],[Date_of_Discharge Cleaned 4]],4)</f>
        <v>nown</v>
      </c>
      <c r="AN92" s="27" t="str">
        <f t="shared" si="60"/>
        <v>Unknown</v>
      </c>
      <c r="AO92" t="s">
        <v>165</v>
      </c>
      <c r="AP92" s="15" t="str">
        <f t="shared" si="61"/>
        <v>01/02/03</v>
      </c>
      <c r="AQ92" s="15" t="str">
        <f t="shared" si="62"/>
        <v>01/02/03</v>
      </c>
      <c r="AR92" s="15" t="str">
        <f t="shared" si="63"/>
        <v>02,01,2003</v>
      </c>
      <c r="AS92" s="15" t="str">
        <f t="shared" si="64"/>
        <v>02/01/2003</v>
      </c>
      <c r="AT92" s="10" t="str">
        <f t="shared" si="65"/>
        <v>02/01/2003</v>
      </c>
      <c r="AU92" s="27" t="str">
        <f>RIGHT(Table22[[#This Row],[Follow_up_Visit Cleaned 5]],4)</f>
        <v>2003</v>
      </c>
      <c r="AV92" s="27" t="str">
        <f t="shared" si="66"/>
        <v>2003</v>
      </c>
    </row>
    <row r="93" spans="1:48" ht="14.25" customHeight="1" x14ac:dyDescent="0.2">
      <c r="A93" t="s">
        <v>627</v>
      </c>
      <c r="B93" t="s">
        <v>628</v>
      </c>
      <c r="C93" s="10" t="str">
        <f t="shared" si="40"/>
        <v>Patient_91</v>
      </c>
      <c r="D93">
        <v>34</v>
      </c>
      <c r="E93" t="s">
        <v>160</v>
      </c>
      <c r="F93" t="s">
        <v>147</v>
      </c>
      <c r="G93" s="15" t="str">
        <f t="shared" si="67"/>
        <v>12/13/2023</v>
      </c>
      <c r="H93" s="15" t="str">
        <f t="shared" si="41"/>
        <v>12/13/2023</v>
      </c>
      <c r="I93" s="15" t="str">
        <f t="shared" si="42"/>
        <v>13/12/2023</v>
      </c>
      <c r="J93" s="10" t="str">
        <f>LEFT(Table22[[#This Row],[Date_of_Admission Cleaned 3]],10)</f>
        <v>13/12/2023</v>
      </c>
      <c r="K93" s="27" t="str">
        <f>RIGHT(Table22[[#This Row],[Date_of_Admission Cleaned 4]],4)</f>
        <v>2023</v>
      </c>
      <c r="L93" s="27" t="str">
        <f t="shared" si="43"/>
        <v>2023</v>
      </c>
      <c r="M93" t="s">
        <v>591</v>
      </c>
      <c r="N93" s="15" t="str">
        <f t="shared" si="44"/>
        <v>14/6/2016</v>
      </c>
      <c r="O93" s="15" t="str">
        <f t="shared" si="45"/>
        <v>14/06/2016</v>
      </c>
      <c r="P93" s="10" t="str">
        <f t="shared" si="68"/>
        <v>14/06/2016</v>
      </c>
      <c r="Q93" s="27" t="str">
        <f>RIGHT(Table22[[#This Row],[Date_of_Diagnosis Cleaned 3]],4)</f>
        <v>2016</v>
      </c>
      <c r="R93" s="27" t="str">
        <f t="shared" si="46"/>
        <v>2016</v>
      </c>
      <c r="S93" t="s">
        <v>629</v>
      </c>
      <c r="T93" s="21" t="str">
        <f t="shared" si="47"/>
        <v>Jul/16//2023</v>
      </c>
      <c r="U93" s="21" t="str">
        <f t="shared" si="69"/>
        <v>Jul/16//2023</v>
      </c>
      <c r="V93" s="21" t="str">
        <f t="shared" si="48"/>
        <v>Jul/16/2023</v>
      </c>
      <c r="W93" s="16" t="str">
        <f t="shared" si="49"/>
        <v>07/16/2023</v>
      </c>
      <c r="X93" s="28" t="str">
        <f>RIGHT(Table22[[#This Row],[Date_of_Treatment_Start Cleaned 4]],4)</f>
        <v>2023</v>
      </c>
      <c r="Y93" t="s">
        <v>615</v>
      </c>
      <c r="Z93" s="15" t="str">
        <f t="shared" si="50"/>
        <v>19/10/2018</v>
      </c>
      <c r="AA93" s="15" t="str">
        <f t="shared" si="51"/>
        <v>19/10/2018</v>
      </c>
      <c r="AB93" s="15" t="str">
        <f t="shared" si="52"/>
        <v>19/10/2018</v>
      </c>
      <c r="AC93" s="15" t="str">
        <f>LEFT(Table22[[#This Row],[Date_of_Surgery Cleaned 3]],10)</f>
        <v>19/10/2018</v>
      </c>
      <c r="AD93" s="15" t="str">
        <f t="shared" si="53"/>
        <v>19/10/2018</v>
      </c>
      <c r="AE93" s="10" t="str">
        <f t="shared" si="54"/>
        <v>19/10/2018</v>
      </c>
      <c r="AF93" s="27" t="str">
        <f>RIGHT(Table22[[#This Row],[Date_of_Surgery Cleaned 6]],4)</f>
        <v>2018</v>
      </c>
      <c r="AG93" s="27" t="str">
        <f t="shared" si="55"/>
        <v>2018</v>
      </c>
      <c r="AH93" t="s">
        <v>630</v>
      </c>
      <c r="AI93" s="15" t="str">
        <f t="shared" si="56"/>
        <v>09/03/2023</v>
      </c>
      <c r="AJ93" s="15" t="str">
        <f t="shared" si="57"/>
        <v>09/03/2023</v>
      </c>
      <c r="AK93" s="15" t="str">
        <f t="shared" si="58"/>
        <v>03,09,2023</v>
      </c>
      <c r="AL93" s="10" t="str">
        <f t="shared" si="59"/>
        <v>03/09/2023</v>
      </c>
      <c r="AM93" s="27" t="str">
        <f>RIGHT(Table22[[#This Row],[Date_of_Discharge Cleaned 4]],4)</f>
        <v>2023</v>
      </c>
      <c r="AN93" s="27" t="str">
        <f t="shared" si="60"/>
        <v>2023</v>
      </c>
      <c r="AO93" t="s">
        <v>272</v>
      </c>
      <c r="AP93" s="15" t="str">
        <f t="shared" si="61"/>
        <v>Unknown</v>
      </c>
      <c r="AQ93" s="15" t="str">
        <f t="shared" si="62"/>
        <v>Unknown</v>
      </c>
      <c r="AR93" s="15" t="str">
        <f t="shared" si="63"/>
        <v>Unknown</v>
      </c>
      <c r="AS93" s="15" t="str">
        <f t="shared" si="64"/>
        <v>Unknown</v>
      </c>
      <c r="AT93" s="10" t="str">
        <f t="shared" si="65"/>
        <v>Unknown</v>
      </c>
      <c r="AU93" s="27" t="str">
        <f>RIGHT(Table22[[#This Row],[Follow_up_Visit Cleaned 5]],4)</f>
        <v>nown</v>
      </c>
      <c r="AV93" s="27" t="str">
        <f t="shared" si="66"/>
        <v>Unknown</v>
      </c>
    </row>
    <row r="94" spans="1:48" ht="14.25" customHeight="1" x14ac:dyDescent="0.2">
      <c r="A94" t="s">
        <v>631</v>
      </c>
      <c r="B94" t="s">
        <v>632</v>
      </c>
      <c r="C94" s="10" t="str">
        <f t="shared" si="40"/>
        <v>Patient_92</v>
      </c>
      <c r="D94">
        <v>81</v>
      </c>
      <c r="E94" t="s">
        <v>146</v>
      </c>
      <c r="F94" t="s">
        <v>147</v>
      </c>
      <c r="G94" s="15" t="str">
        <f t="shared" si="67"/>
        <v>12/13/2023</v>
      </c>
      <c r="H94" s="15" t="str">
        <f t="shared" si="41"/>
        <v>12/13/2023</v>
      </c>
      <c r="I94" s="15" t="str">
        <f t="shared" si="42"/>
        <v>13/12/2023</v>
      </c>
      <c r="J94" s="10" t="str">
        <f>LEFT(Table22[[#This Row],[Date_of_Admission Cleaned 3]],10)</f>
        <v>13/12/2023</v>
      </c>
      <c r="K94" s="27" t="str">
        <f>RIGHT(Table22[[#This Row],[Date_of_Admission Cleaned 4]],4)</f>
        <v>2023</v>
      </c>
      <c r="L94" s="27" t="str">
        <f t="shared" si="43"/>
        <v>2023</v>
      </c>
      <c r="M94" t="s">
        <v>633</v>
      </c>
      <c r="N94" s="15" t="str">
        <f t="shared" si="44"/>
        <v>Jan/03//2023</v>
      </c>
      <c r="O94" s="15" t="str">
        <f t="shared" si="45"/>
        <v>01/03/2023</v>
      </c>
      <c r="P94" s="10" t="str">
        <f t="shared" si="68"/>
        <v>03/01/2023</v>
      </c>
      <c r="Q94" s="27" t="str">
        <f>RIGHT(Table22[[#This Row],[Date_of_Diagnosis Cleaned 3]],4)</f>
        <v>2023</v>
      </c>
      <c r="R94" s="27" t="str">
        <f t="shared" si="46"/>
        <v>2023</v>
      </c>
      <c r="S94" t="s">
        <v>634</v>
      </c>
      <c r="T94" s="21" t="str">
        <f t="shared" si="47"/>
        <v>Jul/18//2024</v>
      </c>
      <c r="U94" s="21" t="str">
        <f t="shared" si="69"/>
        <v>Jul/18//2024</v>
      </c>
      <c r="V94" s="21" t="str">
        <f t="shared" si="48"/>
        <v>Jul/18/2024</v>
      </c>
      <c r="W94" s="16" t="str">
        <f t="shared" si="49"/>
        <v>07/18/2024</v>
      </c>
      <c r="X94" s="28" t="str">
        <f>RIGHT(Table22[[#This Row],[Date_of_Treatment_Start Cleaned 4]],4)</f>
        <v>2024</v>
      </c>
      <c r="Y94" t="s">
        <v>615</v>
      </c>
      <c r="Z94" s="15" t="str">
        <f t="shared" si="50"/>
        <v>19/10/2018</v>
      </c>
      <c r="AA94" s="15" t="str">
        <f t="shared" si="51"/>
        <v>19/10/2018</v>
      </c>
      <c r="AB94" s="15" t="str">
        <f t="shared" si="52"/>
        <v>19/10/2018</v>
      </c>
      <c r="AC94" s="15" t="str">
        <f>LEFT(Table22[[#This Row],[Date_of_Surgery Cleaned 3]],10)</f>
        <v>19/10/2018</v>
      </c>
      <c r="AD94" s="15" t="str">
        <f t="shared" si="53"/>
        <v>19/10/2018</v>
      </c>
      <c r="AE94" s="10" t="str">
        <f t="shared" si="54"/>
        <v>19/10/2018</v>
      </c>
      <c r="AF94" s="27" t="str">
        <f>RIGHT(Table22[[#This Row],[Date_of_Surgery Cleaned 6]],4)</f>
        <v>2018</v>
      </c>
      <c r="AG94" s="27" t="str">
        <f t="shared" si="55"/>
        <v>2018</v>
      </c>
      <c r="AH94" t="s">
        <v>635</v>
      </c>
      <c r="AI94" s="15" t="str">
        <f t="shared" si="56"/>
        <v>19-07-2024</v>
      </c>
      <c r="AJ94" s="15" t="str">
        <f t="shared" si="57"/>
        <v>19-07-2024</v>
      </c>
      <c r="AK94" s="15" t="str">
        <f t="shared" si="58"/>
        <v>19-07-2024</v>
      </c>
      <c r="AL94" s="10" t="str">
        <f t="shared" si="59"/>
        <v>19/07/2024</v>
      </c>
      <c r="AM94" s="27" t="str">
        <f>RIGHT(Table22[[#This Row],[Date_of_Discharge Cleaned 4]],4)</f>
        <v>2024</v>
      </c>
      <c r="AN94" s="27" t="str">
        <f t="shared" si="60"/>
        <v>2024</v>
      </c>
      <c r="AO94" t="s">
        <v>198</v>
      </c>
      <c r="AP94" s="15" t="str">
        <f t="shared" si="61"/>
        <v>N/A</v>
      </c>
      <c r="AQ94" s="15" t="str">
        <f t="shared" si="62"/>
        <v>Unknown</v>
      </c>
      <c r="AR94" s="15" t="str">
        <f t="shared" si="63"/>
        <v>Unknown</v>
      </c>
      <c r="AS94" s="15" t="str">
        <f t="shared" si="64"/>
        <v>Unknown</v>
      </c>
      <c r="AT94" s="10" t="str">
        <f t="shared" si="65"/>
        <v>Unknown</v>
      </c>
      <c r="AU94" s="27" t="str">
        <f>RIGHT(Table22[[#This Row],[Follow_up_Visit Cleaned 5]],4)</f>
        <v>nown</v>
      </c>
      <c r="AV94" s="27" t="str">
        <f t="shared" si="66"/>
        <v>Unknown</v>
      </c>
    </row>
    <row r="95" spans="1:48" ht="14.25" customHeight="1" x14ac:dyDescent="0.2">
      <c r="A95" t="s">
        <v>636</v>
      </c>
      <c r="B95" t="s">
        <v>637</v>
      </c>
      <c r="C95" s="10" t="str">
        <f t="shared" si="40"/>
        <v>Patient_93</v>
      </c>
      <c r="D95">
        <v>59</v>
      </c>
      <c r="E95" t="s">
        <v>160</v>
      </c>
      <c r="F95" t="s">
        <v>638</v>
      </c>
      <c r="G95" s="15" t="str">
        <f t="shared" si="67"/>
        <v>09/Mar/2023</v>
      </c>
      <c r="H95" s="15" t="str">
        <f t="shared" si="41"/>
        <v>09/03/2023</v>
      </c>
      <c r="I95" s="15" t="str">
        <f t="shared" si="42"/>
        <v>03/09/2023</v>
      </c>
      <c r="J95" s="10" t="str">
        <f>LEFT(Table22[[#This Row],[Date_of_Admission Cleaned 3]],10)</f>
        <v>03/09/2023</v>
      </c>
      <c r="K95" s="27" t="str">
        <f>RIGHT(Table22[[#This Row],[Date_of_Admission Cleaned 4]],4)</f>
        <v>2023</v>
      </c>
      <c r="L95" s="27" t="str">
        <f t="shared" si="43"/>
        <v>2023</v>
      </c>
      <c r="M95" s="12">
        <v>45198</v>
      </c>
      <c r="N95" s="15" t="str">
        <f t="shared" si="44"/>
        <v>45198</v>
      </c>
      <c r="O95" s="15" t="str">
        <f t="shared" si="45"/>
        <v>45198</v>
      </c>
      <c r="P95" s="10" t="str">
        <f t="shared" si="68"/>
        <v>29/09/2023</v>
      </c>
      <c r="Q95" s="27" t="str">
        <f>RIGHT(Table22[[#This Row],[Date_of_Diagnosis Cleaned 3]],4)</f>
        <v>2023</v>
      </c>
      <c r="R95" s="27" t="str">
        <f t="shared" si="46"/>
        <v>2023</v>
      </c>
      <c r="S95" t="s">
        <v>639</v>
      </c>
      <c r="T95" s="21" t="str">
        <f t="shared" si="47"/>
        <v>May/21//2024</v>
      </c>
      <c r="U95" s="21" t="str">
        <f t="shared" si="69"/>
        <v>May/21//2024</v>
      </c>
      <c r="V95" s="21" t="str">
        <f t="shared" si="48"/>
        <v>May/21/2024</v>
      </c>
      <c r="W95" s="16" t="str">
        <f t="shared" si="49"/>
        <v>05/21/2024</v>
      </c>
      <c r="X95" s="28" t="str">
        <f>RIGHT(Table22[[#This Row],[Date_of_Treatment_Start Cleaned 4]],4)</f>
        <v>2024</v>
      </c>
      <c r="Y95" t="s">
        <v>615</v>
      </c>
      <c r="Z95" s="15" t="str">
        <f t="shared" si="50"/>
        <v>19/10/2018</v>
      </c>
      <c r="AA95" s="15" t="str">
        <f t="shared" si="51"/>
        <v>19/10/2018</v>
      </c>
      <c r="AB95" s="15" t="str">
        <f t="shared" si="52"/>
        <v>19/10/2018</v>
      </c>
      <c r="AC95" s="15" t="str">
        <f>LEFT(Table22[[#This Row],[Date_of_Surgery Cleaned 3]],10)</f>
        <v>19/10/2018</v>
      </c>
      <c r="AD95" s="15" t="str">
        <f t="shared" si="53"/>
        <v>19/10/2018</v>
      </c>
      <c r="AE95" s="10" t="str">
        <f t="shared" si="54"/>
        <v>19/10/2018</v>
      </c>
      <c r="AF95" s="27" t="str">
        <f>RIGHT(Table22[[#This Row],[Date_of_Surgery Cleaned 6]],4)</f>
        <v>2018</v>
      </c>
      <c r="AG95" s="27" t="str">
        <f t="shared" si="55"/>
        <v>2018</v>
      </c>
      <c r="AH95" t="s">
        <v>640</v>
      </c>
      <c r="AI95" s="15" t="str">
        <f t="shared" si="56"/>
        <v>2023-06-10</v>
      </c>
      <c r="AJ95" s="15" t="str">
        <f t="shared" si="57"/>
        <v>2023-06-10</v>
      </c>
      <c r="AK95" s="15" t="str">
        <f t="shared" si="58"/>
        <v>10,06,2023</v>
      </c>
      <c r="AL95" s="10" t="str">
        <f t="shared" si="59"/>
        <v>10/06/2023</v>
      </c>
      <c r="AM95" s="27" t="str">
        <f>RIGHT(Table22[[#This Row],[Date_of_Discharge Cleaned 4]],4)</f>
        <v>2023</v>
      </c>
      <c r="AN95" s="27" t="str">
        <f t="shared" si="60"/>
        <v>2023</v>
      </c>
      <c r="AO95">
        <v>44362</v>
      </c>
      <c r="AP95" s="15">
        <f t="shared" si="61"/>
        <v>44362</v>
      </c>
      <c r="AQ95" s="15" t="str">
        <f t="shared" si="62"/>
        <v>44362</v>
      </c>
      <c r="AR95" s="15" t="str">
        <f t="shared" si="63"/>
        <v>15,06,2021</v>
      </c>
      <c r="AS95" s="15" t="str">
        <f t="shared" si="64"/>
        <v>15/06/2021</v>
      </c>
      <c r="AT95" s="10" t="str">
        <f t="shared" si="65"/>
        <v>15/06/2021</v>
      </c>
      <c r="AU95" s="27" t="str">
        <f>RIGHT(Table22[[#This Row],[Follow_up_Visit Cleaned 5]],4)</f>
        <v>2021</v>
      </c>
      <c r="AV95" s="27" t="str">
        <f t="shared" si="66"/>
        <v>2021</v>
      </c>
    </row>
    <row r="96" spans="1:48" ht="14.25" customHeight="1" x14ac:dyDescent="0.2">
      <c r="A96" t="s">
        <v>641</v>
      </c>
      <c r="B96" t="s">
        <v>642</v>
      </c>
      <c r="C96" s="10" t="str">
        <f t="shared" si="40"/>
        <v>Patient_94</v>
      </c>
      <c r="D96">
        <v>72</v>
      </c>
      <c r="E96" t="s">
        <v>146</v>
      </c>
      <c r="F96" t="s">
        <v>643</v>
      </c>
      <c r="G96" s="15" t="str">
        <f t="shared" si="67"/>
        <v>03/08/2024</v>
      </c>
      <c r="H96" s="15" t="str">
        <f t="shared" si="41"/>
        <v>03/08/2024</v>
      </c>
      <c r="I96" s="15" t="str">
        <f t="shared" si="42"/>
        <v>08/03/2024</v>
      </c>
      <c r="J96" s="10" t="str">
        <f>LEFT(Table22[[#This Row],[Date_of_Admission Cleaned 3]],10)</f>
        <v>08/03/2024</v>
      </c>
      <c r="K96" s="27" t="str">
        <f>RIGHT(Table22[[#This Row],[Date_of_Admission Cleaned 4]],4)</f>
        <v>2024</v>
      </c>
      <c r="L96" s="27" t="str">
        <f t="shared" si="43"/>
        <v>2024</v>
      </c>
      <c r="M96" t="s">
        <v>644</v>
      </c>
      <c r="N96" s="15" t="str">
        <f t="shared" si="44"/>
        <v>Oct/20//2023</v>
      </c>
      <c r="O96" s="15" t="str">
        <f t="shared" si="45"/>
        <v>10/20/2023</v>
      </c>
      <c r="P96" s="10" t="str">
        <f t="shared" si="68"/>
        <v>20/10/2023</v>
      </c>
      <c r="Q96" s="27" t="str">
        <f>RIGHT(Table22[[#This Row],[Date_of_Diagnosis Cleaned 3]],4)</f>
        <v>2023</v>
      </c>
      <c r="R96" s="27" t="str">
        <f t="shared" si="46"/>
        <v>2023</v>
      </c>
      <c r="S96" t="s">
        <v>645</v>
      </c>
      <c r="T96" s="21" t="str">
        <f t="shared" si="47"/>
        <v>9/6/2016</v>
      </c>
      <c r="U96" s="21" t="str">
        <f t="shared" si="69"/>
        <v>06/09/2016</v>
      </c>
      <c r="V96" s="21" t="str">
        <f t="shared" si="48"/>
        <v>06/09/2016</v>
      </c>
      <c r="W96" s="16" t="str">
        <f t="shared" si="49"/>
        <v>06/09/2016</v>
      </c>
      <c r="X96" s="28" t="str">
        <f>RIGHT(Table22[[#This Row],[Date_of_Treatment_Start Cleaned 4]],4)</f>
        <v>2016</v>
      </c>
      <c r="Y96" t="s">
        <v>615</v>
      </c>
      <c r="Z96" s="15" t="str">
        <f t="shared" si="50"/>
        <v>19/10/2018</v>
      </c>
      <c r="AA96" s="15" t="str">
        <f t="shared" si="51"/>
        <v>19/10/2018</v>
      </c>
      <c r="AB96" s="15" t="str">
        <f t="shared" si="52"/>
        <v>19/10/2018</v>
      </c>
      <c r="AC96" s="15" t="str">
        <f>LEFT(Table22[[#This Row],[Date_of_Surgery Cleaned 3]],10)</f>
        <v>19/10/2018</v>
      </c>
      <c r="AD96" s="15" t="str">
        <f t="shared" si="53"/>
        <v>19/10/2018</v>
      </c>
      <c r="AE96" s="10" t="str">
        <f t="shared" si="54"/>
        <v>19/10/2018</v>
      </c>
      <c r="AF96" s="27" t="str">
        <f>RIGHT(Table22[[#This Row],[Date_of_Surgery Cleaned 6]],4)</f>
        <v>2018</v>
      </c>
      <c r="AG96" s="27" t="str">
        <f t="shared" si="55"/>
        <v>2018</v>
      </c>
      <c r="AH96" s="12">
        <v>45345</v>
      </c>
      <c r="AI96" s="15">
        <f t="shared" si="56"/>
        <v>45345</v>
      </c>
      <c r="AJ96" s="15">
        <f t="shared" si="57"/>
        <v>45345</v>
      </c>
      <c r="AK96" s="15" t="str">
        <f t="shared" si="58"/>
        <v>23,02,2024</v>
      </c>
      <c r="AL96" s="10" t="str">
        <f t="shared" si="59"/>
        <v>23/02/2024</v>
      </c>
      <c r="AM96" s="27" t="str">
        <f>RIGHT(Table22[[#This Row],[Date_of_Discharge Cleaned 4]],4)</f>
        <v>2024</v>
      </c>
      <c r="AN96" s="27" t="str">
        <f t="shared" si="60"/>
        <v>2024</v>
      </c>
      <c r="AO96" t="s">
        <v>514</v>
      </c>
      <c r="AP96" s="15" t="str">
        <f t="shared" si="61"/>
        <v>None</v>
      </c>
      <c r="AQ96" s="15" t="str">
        <f t="shared" si="62"/>
        <v>Unknown</v>
      </c>
      <c r="AR96" s="15" t="str">
        <f t="shared" si="63"/>
        <v>Unknown</v>
      </c>
      <c r="AS96" s="15" t="str">
        <f t="shared" si="64"/>
        <v>Unknown</v>
      </c>
      <c r="AT96" s="10" t="str">
        <f t="shared" si="65"/>
        <v>Unknown</v>
      </c>
      <c r="AU96" s="27" t="str">
        <f>RIGHT(Table22[[#This Row],[Follow_up_Visit Cleaned 5]],4)</f>
        <v>nown</v>
      </c>
      <c r="AV96" s="27" t="str">
        <f t="shared" si="66"/>
        <v>Unknown</v>
      </c>
    </row>
    <row r="97" spans="1:48" ht="14.25" customHeight="1" x14ac:dyDescent="0.2">
      <c r="A97" t="s">
        <v>646</v>
      </c>
      <c r="B97" t="s">
        <v>647</v>
      </c>
      <c r="C97" s="10" t="str">
        <f t="shared" si="40"/>
        <v>Patient_95</v>
      </c>
      <c r="D97">
        <v>43</v>
      </c>
      <c r="E97" t="s">
        <v>146</v>
      </c>
      <c r="F97" s="12">
        <v>45144</v>
      </c>
      <c r="G97" s="15" t="str">
        <f t="shared" si="67"/>
        <v>45144</v>
      </c>
      <c r="H97" s="15" t="str">
        <f t="shared" si="41"/>
        <v>45144</v>
      </c>
      <c r="I97" s="15" t="str">
        <f t="shared" si="42"/>
        <v>06/08/2023</v>
      </c>
      <c r="J97" s="10" t="str">
        <f>LEFT(Table22[[#This Row],[Date_of_Admission Cleaned 3]],10)</f>
        <v>06/08/2023</v>
      </c>
      <c r="K97" s="27" t="str">
        <f>RIGHT(Table22[[#This Row],[Date_of_Admission Cleaned 4]],4)</f>
        <v>2023</v>
      </c>
      <c r="L97" s="27" t="str">
        <f t="shared" si="43"/>
        <v>2023</v>
      </c>
      <c r="M97" t="s">
        <v>648</v>
      </c>
      <c r="N97" s="15" t="str">
        <f t="shared" si="44"/>
        <v>14/December/2024</v>
      </c>
      <c r="O97" s="15" t="str">
        <f t="shared" si="45"/>
        <v>14/12/2024</v>
      </c>
      <c r="P97" s="10" t="str">
        <f t="shared" si="68"/>
        <v>14/12/2024</v>
      </c>
      <c r="Q97" s="27" t="str">
        <f>RIGHT(Table22[[#This Row],[Date_of_Diagnosis Cleaned 3]],4)</f>
        <v>2024</v>
      </c>
      <c r="R97" s="27" t="str">
        <f t="shared" si="46"/>
        <v>2024</v>
      </c>
      <c r="S97" t="s">
        <v>649</v>
      </c>
      <c r="T97" s="21" t="str">
        <f t="shared" si="47"/>
        <v>9/7/2016</v>
      </c>
      <c r="U97" s="21" t="str">
        <f t="shared" si="69"/>
        <v>07/09/2016</v>
      </c>
      <c r="V97" s="21" t="str">
        <f t="shared" si="48"/>
        <v>07/09/2016</v>
      </c>
      <c r="W97" s="16" t="str">
        <f t="shared" si="49"/>
        <v>07/09/2016</v>
      </c>
      <c r="X97" s="28" t="str">
        <f>RIGHT(Table22[[#This Row],[Date_of_Treatment_Start Cleaned 4]],4)</f>
        <v>2016</v>
      </c>
      <c r="Y97" s="12">
        <v>43290</v>
      </c>
      <c r="Z97" s="15" t="str">
        <f t="shared" si="50"/>
        <v>43290</v>
      </c>
      <c r="AA97" s="15" t="str">
        <f t="shared" si="51"/>
        <v>43290</v>
      </c>
      <c r="AB97" s="15" t="str">
        <f t="shared" si="52"/>
        <v>43290</v>
      </c>
      <c r="AC97" s="15" t="str">
        <f>LEFT(Table22[[#This Row],[Date_of_Surgery Cleaned 3]],10)</f>
        <v>43290</v>
      </c>
      <c r="AD97" s="15" t="str">
        <f t="shared" si="53"/>
        <v>09,07,2018</v>
      </c>
      <c r="AE97" s="10" t="str">
        <f t="shared" si="54"/>
        <v>09/07/2018</v>
      </c>
      <c r="AF97" s="27" t="str">
        <f>RIGHT(Table22[[#This Row],[Date_of_Surgery Cleaned 6]],4)</f>
        <v>2018</v>
      </c>
      <c r="AG97" s="27" t="str">
        <f t="shared" si="55"/>
        <v>2018</v>
      </c>
      <c r="AH97" s="12">
        <v>45632</v>
      </c>
      <c r="AI97" s="15">
        <f t="shared" si="56"/>
        <v>45632</v>
      </c>
      <c r="AJ97" s="15">
        <f t="shared" si="57"/>
        <v>45632</v>
      </c>
      <c r="AK97" s="15" t="str">
        <f t="shared" si="58"/>
        <v>06,12,2024</v>
      </c>
      <c r="AL97" s="10" t="str">
        <f t="shared" si="59"/>
        <v>06/12/2024</v>
      </c>
      <c r="AM97" s="27" t="str">
        <f>RIGHT(Table22[[#This Row],[Date_of_Discharge Cleaned 4]],4)</f>
        <v>2024</v>
      </c>
      <c r="AN97" s="27" t="str">
        <f t="shared" si="60"/>
        <v>2024</v>
      </c>
      <c r="AO97" t="s">
        <v>165</v>
      </c>
      <c r="AP97" s="15" t="str">
        <f t="shared" si="61"/>
        <v>01/02/03</v>
      </c>
      <c r="AQ97" s="15" t="str">
        <f t="shared" si="62"/>
        <v>01/02/03</v>
      </c>
      <c r="AR97" s="15" t="str">
        <f t="shared" si="63"/>
        <v>02,01,2003</v>
      </c>
      <c r="AS97" s="15" t="str">
        <f t="shared" si="64"/>
        <v>02/01/2003</v>
      </c>
      <c r="AT97" s="10" t="str">
        <f t="shared" si="65"/>
        <v>02/01/2003</v>
      </c>
      <c r="AU97" s="27" t="str">
        <f>RIGHT(Table22[[#This Row],[Follow_up_Visit Cleaned 5]],4)</f>
        <v>2003</v>
      </c>
      <c r="AV97" s="27" t="str">
        <f t="shared" si="66"/>
        <v>2003</v>
      </c>
    </row>
    <row r="98" spans="1:48" ht="14.25" customHeight="1" x14ac:dyDescent="0.2">
      <c r="A98" t="s">
        <v>650</v>
      </c>
      <c r="B98" t="s">
        <v>651</v>
      </c>
      <c r="C98" s="10" t="str">
        <f t="shared" si="40"/>
        <v>Patient_96</v>
      </c>
      <c r="D98">
        <v>45</v>
      </c>
      <c r="E98" t="s">
        <v>160</v>
      </c>
      <c r="F98" s="12">
        <v>45332</v>
      </c>
      <c r="G98" s="15" t="str">
        <f t="shared" si="67"/>
        <v>45332</v>
      </c>
      <c r="H98" s="15" t="str">
        <f t="shared" si="41"/>
        <v>45332</v>
      </c>
      <c r="I98" s="15" t="str">
        <f t="shared" si="42"/>
        <v>10/02/2024</v>
      </c>
      <c r="J98" s="10" t="str">
        <f>LEFT(Table22[[#This Row],[Date_of_Admission Cleaned 3]],10)</f>
        <v>10/02/2024</v>
      </c>
      <c r="K98" s="27" t="str">
        <f>RIGHT(Table22[[#This Row],[Date_of_Admission Cleaned 4]],4)</f>
        <v>2024</v>
      </c>
      <c r="L98" s="27" t="str">
        <f t="shared" si="43"/>
        <v>2024</v>
      </c>
      <c r="M98" s="12">
        <v>45604</v>
      </c>
      <c r="N98" s="15" t="str">
        <f t="shared" si="44"/>
        <v>45604</v>
      </c>
      <c r="O98" s="15" t="str">
        <f t="shared" si="45"/>
        <v>45604</v>
      </c>
      <c r="P98" s="10" t="str">
        <f t="shared" si="68"/>
        <v>08/11/2024</v>
      </c>
      <c r="Q98" s="27" t="str">
        <f>RIGHT(Table22[[#This Row],[Date_of_Diagnosis Cleaned 3]],4)</f>
        <v>2024</v>
      </c>
      <c r="R98" s="27" t="str">
        <f t="shared" ref="R98:R129" si="70">SUBSTITUTE(Q98,"nown","Unknown")</f>
        <v>2024</v>
      </c>
      <c r="S98" t="s">
        <v>652</v>
      </c>
      <c r="T98" s="21" t="str">
        <f t="shared" si="47"/>
        <v>9/8/2016</v>
      </c>
      <c r="U98" s="21" t="str">
        <f t="shared" si="69"/>
        <v>08/09/2016</v>
      </c>
      <c r="V98" s="21" t="str">
        <f t="shared" si="48"/>
        <v>08/09/2016</v>
      </c>
      <c r="W98" s="16" t="str">
        <f t="shared" si="49"/>
        <v>08/09/2016</v>
      </c>
      <c r="X98" s="28" t="str">
        <f>RIGHT(Table22[[#This Row],[Date_of_Treatment_Start Cleaned 4]],4)</f>
        <v>2016</v>
      </c>
      <c r="Y98" t="s">
        <v>653</v>
      </c>
      <c r="Z98" s="15" t="str">
        <f t="shared" si="50"/>
        <v>23/9/2019</v>
      </c>
      <c r="AA98" s="15" t="str">
        <f t="shared" si="51"/>
        <v>23/9/2019</v>
      </c>
      <c r="AB98" s="15" t="str">
        <f t="shared" ref="AB98:AB129" si="71">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98,"//","/"),"Dec/","12/"),"November","11"),"Oct/","10/"),"September/","09/"),"August/","08/"),"July","07"),"Jun/","06/"),"May","05"),"Apr/","04/"),"Mar/","03/"),"feb","02"),"January/","01/"),"Monday/",""),"Tuesday/",""),"Wednesday/",""),"Thursday/",""),"Friday/",""),"Saturday/",""),"Sunday/",""),"Sep/","09/"),"12th","12"),"of/",""),"December","12"),"Jan/","01/"),"/5/","/05/"),"/6/","/06/"),"/9/","/09/"),"/4/","/04/"),"/7/","/07/")</f>
        <v>23/09/2019</v>
      </c>
      <c r="AC98" s="15" t="str">
        <f>LEFT(Table22[[#This Row],[Date_of_Surgery Cleaned 3]],10)</f>
        <v>23/09/2019</v>
      </c>
      <c r="AD98" s="15" t="str">
        <f t="shared" ref="AD98:AD129" si="72">TEXT(AC98,"dd,mm,yyyy")</f>
        <v>23/09/2019</v>
      </c>
      <c r="AE98" s="10" t="str">
        <f t="shared" si="54"/>
        <v>23/09/2019</v>
      </c>
      <c r="AF98" s="27" t="str">
        <f>RIGHT(Table22[[#This Row],[Date_of_Surgery Cleaned 6]],4)</f>
        <v>2019</v>
      </c>
      <c r="AG98" s="27" t="str">
        <f t="shared" ref="AG98:AG129" si="73">SUBSTITUTE(AF98,"nown","Unknown")</f>
        <v>2019</v>
      </c>
      <c r="AH98" t="s">
        <v>654</v>
      </c>
      <c r="AI98" s="15" t="str">
        <f t="shared" si="56"/>
        <v>2023-10-26</v>
      </c>
      <c r="AJ98" s="15" t="str">
        <f t="shared" si="57"/>
        <v>2023-10-26</v>
      </c>
      <c r="AK98" s="15" t="str">
        <f t="shared" ref="AK98:AK129" si="74">TEXT(AJ98,"dd,mm,yyyy")</f>
        <v>26,10,2023</v>
      </c>
      <c r="AL98" s="10" t="str">
        <f t="shared" ref="AL98:AL129" si="75">SUBSTITUTE(SUBSTITUTE(SUBSTITUTE(AK98,",","/"),".","/"),"-","/")</f>
        <v>26/10/2023</v>
      </c>
      <c r="AM98" s="27" t="str">
        <f>RIGHT(Table22[[#This Row],[Date_of_Discharge Cleaned 4]],4)</f>
        <v>2023</v>
      </c>
      <c r="AN98" s="27" t="str">
        <f t="shared" ref="AN98:AN129" si="76">SUBSTITUTE(AM98,"nown","Unknown")</f>
        <v>2023</v>
      </c>
      <c r="AO98" t="s">
        <v>198</v>
      </c>
      <c r="AP98" s="15" t="str">
        <f t="shared" ref="AP98:AP129" si="77">IF(AO98="","Unknown",AO98)</f>
        <v>N/A</v>
      </c>
      <c r="AQ98" s="15" t="str">
        <f t="shared" si="62"/>
        <v>Unknown</v>
      </c>
      <c r="AR98" s="15" t="str">
        <f t="shared" ref="AR98:AR129" si="78">TEXT(AQ98,"dd,mm,yyyy")</f>
        <v>Unknown</v>
      </c>
      <c r="AS98" s="15" t="str">
        <f t="shared" si="64"/>
        <v>Unknown</v>
      </c>
      <c r="AT98" s="10" t="str">
        <f t="shared" si="65"/>
        <v>Unknown</v>
      </c>
      <c r="AU98" s="27" t="str">
        <f>RIGHT(Table22[[#This Row],[Follow_up_Visit Cleaned 5]],4)</f>
        <v>nown</v>
      </c>
      <c r="AV98" s="27" t="str">
        <f t="shared" ref="AV98:AV129" si="79">SUBSTITUTE(AU98,"nown","Unknown")</f>
        <v>Unknown</v>
      </c>
    </row>
    <row r="99" spans="1:48" ht="14.25" customHeight="1" x14ac:dyDescent="0.2">
      <c r="A99" t="s">
        <v>655</v>
      </c>
      <c r="B99" t="s">
        <v>656</v>
      </c>
      <c r="C99" s="10" t="str">
        <f t="shared" si="40"/>
        <v>Patient_97</v>
      </c>
      <c r="D99">
        <v>79</v>
      </c>
      <c r="E99" t="s">
        <v>146</v>
      </c>
      <c r="F99" t="s">
        <v>657</v>
      </c>
      <c r="G99" s="15" t="str">
        <f t="shared" si="67"/>
        <v>2023/05/27</v>
      </c>
      <c r="H99" s="15" t="str">
        <f t="shared" si="41"/>
        <v>2023/05/27</v>
      </c>
      <c r="I99" s="15" t="str">
        <f t="shared" si="42"/>
        <v>27/05/2023</v>
      </c>
      <c r="J99" s="10" t="str">
        <f>LEFT(Table22[[#This Row],[Date_of_Admission Cleaned 3]],10)</f>
        <v>27/05/2023</v>
      </c>
      <c r="K99" s="27" t="str">
        <f>RIGHT(Table22[[#This Row],[Date_of_Admission Cleaned 4]],4)</f>
        <v>2023</v>
      </c>
      <c r="L99" s="27" t="str">
        <f t="shared" si="43"/>
        <v>2023</v>
      </c>
      <c r="M99" t="s">
        <v>591</v>
      </c>
      <c r="N99" s="15" t="str">
        <f t="shared" si="44"/>
        <v>14/6/2016</v>
      </c>
      <c r="O99" s="15" t="str">
        <f t="shared" si="45"/>
        <v>14/06/2016</v>
      </c>
      <c r="P99" s="10" t="str">
        <f t="shared" si="68"/>
        <v>14/06/2016</v>
      </c>
      <c r="Q99" s="27" t="str">
        <f>RIGHT(Table22[[#This Row],[Date_of_Diagnosis Cleaned 3]],4)</f>
        <v>2016</v>
      </c>
      <c r="R99" s="27" t="str">
        <f t="shared" si="70"/>
        <v>2016</v>
      </c>
      <c r="S99" t="s">
        <v>658</v>
      </c>
      <c r="T99" s="21" t="str">
        <f t="shared" si="47"/>
        <v>9/9/2016</v>
      </c>
      <c r="U99" s="21" t="str">
        <f t="shared" si="69"/>
        <v>09/09/2016</v>
      </c>
      <c r="V99" s="21" t="str">
        <f t="shared" si="48"/>
        <v>09/09/2016</v>
      </c>
      <c r="W99" s="16" t="str">
        <f t="shared" si="49"/>
        <v>09/09/2016</v>
      </c>
      <c r="X99" s="28" t="str">
        <f>RIGHT(Table22[[#This Row],[Date_of_Treatment_Start Cleaned 4]],4)</f>
        <v>2016</v>
      </c>
      <c r="Y99" t="s">
        <v>653</v>
      </c>
      <c r="Z99" s="15" t="str">
        <f t="shared" si="50"/>
        <v>23/9/2019</v>
      </c>
      <c r="AA99" s="15" t="str">
        <f t="shared" si="51"/>
        <v>23/9/2019</v>
      </c>
      <c r="AB99" s="15" t="str">
        <f t="shared" si="71"/>
        <v>23/09/2019</v>
      </c>
      <c r="AC99" s="15" t="str">
        <f>LEFT(Table22[[#This Row],[Date_of_Surgery Cleaned 3]],10)</f>
        <v>23/09/2019</v>
      </c>
      <c r="AD99" s="15" t="str">
        <f t="shared" si="72"/>
        <v>23/09/2019</v>
      </c>
      <c r="AE99" s="10" t="str">
        <f t="shared" si="54"/>
        <v>23/09/2019</v>
      </c>
      <c r="AF99" s="27" t="str">
        <f>RIGHT(Table22[[#This Row],[Date_of_Surgery Cleaned 6]],4)</f>
        <v>2019</v>
      </c>
      <c r="AG99" s="27" t="str">
        <f t="shared" si="73"/>
        <v>2019</v>
      </c>
      <c r="AI99" s="15" t="str">
        <f t="shared" si="56"/>
        <v>Unknown</v>
      </c>
      <c r="AJ99" s="15" t="str">
        <f t="shared" si="57"/>
        <v>Unknown</v>
      </c>
      <c r="AK99" s="15" t="str">
        <f t="shared" si="74"/>
        <v>Unknown</v>
      </c>
      <c r="AL99" s="10" t="str">
        <f t="shared" si="75"/>
        <v>Unknown</v>
      </c>
      <c r="AM99" s="27" t="str">
        <f>RIGHT(Table22[[#This Row],[Date_of_Discharge Cleaned 4]],4)</f>
        <v>nown</v>
      </c>
      <c r="AN99" s="27" t="str">
        <f t="shared" si="76"/>
        <v>Unknown</v>
      </c>
      <c r="AO99" t="s">
        <v>234</v>
      </c>
      <c r="AP99" s="15" t="str">
        <f t="shared" si="77"/>
        <v>Late March 2023</v>
      </c>
      <c r="AQ99" s="15" t="str">
        <f t="shared" si="62"/>
        <v>Late 03/ 2023</v>
      </c>
      <c r="AR99" s="15" t="str">
        <f t="shared" si="78"/>
        <v>Late 03/ 2023</v>
      </c>
      <c r="AS99" s="15" t="str">
        <f t="shared" si="64"/>
        <v>30/03/2023</v>
      </c>
      <c r="AT99" s="10" t="str">
        <f t="shared" si="65"/>
        <v>30/03/2023</v>
      </c>
      <c r="AU99" s="27" t="str">
        <f>RIGHT(Table22[[#This Row],[Follow_up_Visit Cleaned 5]],4)</f>
        <v>2023</v>
      </c>
      <c r="AV99" s="27" t="str">
        <f t="shared" si="79"/>
        <v>2023</v>
      </c>
    </row>
    <row r="100" spans="1:48" ht="14.25" customHeight="1" x14ac:dyDescent="0.2">
      <c r="A100" t="s">
        <v>659</v>
      </c>
      <c r="B100" t="s">
        <v>660</v>
      </c>
      <c r="C100" s="10" t="str">
        <f t="shared" si="40"/>
        <v>Patient_98</v>
      </c>
      <c r="D100">
        <v>60</v>
      </c>
      <c r="E100" t="s">
        <v>146</v>
      </c>
      <c r="F100" t="s">
        <v>147</v>
      </c>
      <c r="G100" s="15" t="str">
        <f t="shared" si="67"/>
        <v>12/13/2023</v>
      </c>
      <c r="H100" s="15" t="str">
        <f t="shared" si="41"/>
        <v>12/13/2023</v>
      </c>
      <c r="I100" s="15" t="str">
        <f t="shared" si="42"/>
        <v>13/12/2023</v>
      </c>
      <c r="J100" s="10" t="str">
        <f>LEFT(Table22[[#This Row],[Date_of_Admission Cleaned 3]],10)</f>
        <v>13/12/2023</v>
      </c>
      <c r="K100" s="27" t="str">
        <f>RIGHT(Table22[[#This Row],[Date_of_Admission Cleaned 4]],4)</f>
        <v>2023</v>
      </c>
      <c r="L100" s="27" t="str">
        <f t="shared" si="43"/>
        <v>2023</v>
      </c>
      <c r="M100" t="s">
        <v>661</v>
      </c>
      <c r="N100" s="15" t="str">
        <f t="shared" si="44"/>
        <v>08/Jun/2023</v>
      </c>
      <c r="O100" s="15" t="str">
        <f t="shared" si="45"/>
        <v>08/06/2023</v>
      </c>
      <c r="P100" s="10" t="str">
        <f t="shared" si="68"/>
        <v>06/08/2023</v>
      </c>
      <c r="Q100" s="27" t="str">
        <f>RIGHT(Table22[[#This Row],[Date_of_Diagnosis Cleaned 3]],4)</f>
        <v>2023</v>
      </c>
      <c r="R100" s="27" t="str">
        <f t="shared" si="70"/>
        <v>2023</v>
      </c>
      <c r="S100" t="s">
        <v>662</v>
      </c>
      <c r="T100" s="21" t="str">
        <f t="shared" si="47"/>
        <v>9/10/2016</v>
      </c>
      <c r="U100" s="21" t="str">
        <f t="shared" si="69"/>
        <v>10/09/2016</v>
      </c>
      <c r="V100" s="21" t="str">
        <f t="shared" si="48"/>
        <v>10/09/2016</v>
      </c>
      <c r="W100" s="16" t="str">
        <f t="shared" si="49"/>
        <v>10/09/2016</v>
      </c>
      <c r="X100" s="28" t="str">
        <f>RIGHT(Table22[[#This Row],[Date_of_Treatment_Start Cleaned 4]],4)</f>
        <v>2016</v>
      </c>
      <c r="Y100" t="s">
        <v>653</v>
      </c>
      <c r="Z100" s="15" t="str">
        <f t="shared" si="50"/>
        <v>23/9/2019</v>
      </c>
      <c r="AA100" s="15" t="str">
        <f t="shared" si="51"/>
        <v>23/9/2019</v>
      </c>
      <c r="AB100" s="15" t="str">
        <f t="shared" si="71"/>
        <v>23/09/2019</v>
      </c>
      <c r="AC100" s="15" t="str">
        <f>LEFT(Table22[[#This Row],[Date_of_Surgery Cleaned 3]],10)</f>
        <v>23/09/2019</v>
      </c>
      <c r="AD100" s="15" t="str">
        <f t="shared" si="72"/>
        <v>23/09/2019</v>
      </c>
      <c r="AE100" s="10" t="str">
        <f t="shared" si="54"/>
        <v>23/09/2019</v>
      </c>
      <c r="AF100" s="27" t="str">
        <f>RIGHT(Table22[[#This Row],[Date_of_Surgery Cleaned 6]],4)</f>
        <v>2019</v>
      </c>
      <c r="AG100" s="27" t="str">
        <f t="shared" si="73"/>
        <v>2019</v>
      </c>
      <c r="AI100" s="15" t="str">
        <f t="shared" si="56"/>
        <v>Unknown</v>
      </c>
      <c r="AJ100" s="15" t="str">
        <f t="shared" si="57"/>
        <v>Unknown</v>
      </c>
      <c r="AK100" s="15" t="str">
        <f t="shared" si="74"/>
        <v>Unknown</v>
      </c>
      <c r="AL100" s="10" t="str">
        <f t="shared" si="75"/>
        <v>Unknown</v>
      </c>
      <c r="AM100" s="27" t="str">
        <f>RIGHT(Table22[[#This Row],[Date_of_Discharge Cleaned 4]],4)</f>
        <v>nown</v>
      </c>
      <c r="AN100" s="27" t="str">
        <f t="shared" si="76"/>
        <v>Unknown</v>
      </c>
      <c r="AO100" t="s">
        <v>272</v>
      </c>
      <c r="AP100" s="15" t="str">
        <f t="shared" si="77"/>
        <v>Unknown</v>
      </c>
      <c r="AQ100" s="15" t="str">
        <f t="shared" si="62"/>
        <v>Unknown</v>
      </c>
      <c r="AR100" s="15" t="str">
        <f t="shared" si="78"/>
        <v>Unknown</v>
      </c>
      <c r="AS100" s="15" t="str">
        <f t="shared" si="64"/>
        <v>Unknown</v>
      </c>
      <c r="AT100" s="10" t="str">
        <f t="shared" si="65"/>
        <v>Unknown</v>
      </c>
      <c r="AU100" s="27" t="str">
        <f>RIGHT(Table22[[#This Row],[Follow_up_Visit Cleaned 5]],4)</f>
        <v>nown</v>
      </c>
      <c r="AV100" s="27" t="str">
        <f t="shared" si="79"/>
        <v>Unknown</v>
      </c>
    </row>
    <row r="101" spans="1:48" ht="14.25" customHeight="1" x14ac:dyDescent="0.2">
      <c r="A101" t="s">
        <v>663</v>
      </c>
      <c r="B101" t="s">
        <v>664</v>
      </c>
      <c r="C101" s="10" t="str">
        <f t="shared" si="40"/>
        <v>Patient_99</v>
      </c>
      <c r="D101">
        <v>72</v>
      </c>
      <c r="E101" t="s">
        <v>146</v>
      </c>
      <c r="F101" t="s">
        <v>665</v>
      </c>
      <c r="G101" s="15" t="str">
        <f t="shared" si="67"/>
        <v>21/03/2023</v>
      </c>
      <c r="H101" s="15" t="str">
        <f t="shared" si="41"/>
        <v>21/03/2023</v>
      </c>
      <c r="I101" s="15" t="str">
        <f t="shared" si="42"/>
        <v>21/03/2023</v>
      </c>
      <c r="J101" s="10" t="str">
        <f>LEFT(Table22[[#This Row],[Date_of_Admission Cleaned 3]],10)</f>
        <v>21/03/2023</v>
      </c>
      <c r="K101" s="27" t="str">
        <f>RIGHT(Table22[[#This Row],[Date_of_Admission Cleaned 4]],4)</f>
        <v>2023</v>
      </c>
      <c r="L101" s="27" t="str">
        <f t="shared" si="43"/>
        <v>2023</v>
      </c>
      <c r="M101" t="s">
        <v>666</v>
      </c>
      <c r="N101" s="15" t="str">
        <f t="shared" si="44"/>
        <v>16/6/2018</v>
      </c>
      <c r="O101" s="15" t="str">
        <f t="shared" si="45"/>
        <v>16/06/2018</v>
      </c>
      <c r="P101" s="10" t="str">
        <f t="shared" si="68"/>
        <v>16/06/2018</v>
      </c>
      <c r="Q101" s="27" t="str">
        <f>RIGHT(Table22[[#This Row],[Date_of_Diagnosis Cleaned 3]],4)</f>
        <v>2018</v>
      </c>
      <c r="R101" s="27" t="str">
        <f t="shared" si="70"/>
        <v>2018</v>
      </c>
      <c r="S101" t="s">
        <v>667</v>
      </c>
      <c r="T101" s="21" t="str">
        <f t="shared" si="47"/>
        <v>9/11/2016</v>
      </c>
      <c r="U101" s="21" t="str">
        <f t="shared" si="69"/>
        <v>11/09/2016</v>
      </c>
      <c r="V101" s="21" t="str">
        <f t="shared" si="48"/>
        <v>11/09/2016</v>
      </c>
      <c r="W101" s="16" t="str">
        <f t="shared" si="49"/>
        <v>11/09/2016</v>
      </c>
      <c r="X101" s="28" t="str">
        <f>RIGHT(Table22[[#This Row],[Date_of_Treatment_Start Cleaned 4]],4)</f>
        <v>2016</v>
      </c>
      <c r="Y101" t="s">
        <v>668</v>
      </c>
      <c r="Z101" s="15" t="str">
        <f t="shared" si="50"/>
        <v>27/12/2019</v>
      </c>
      <c r="AA101" s="15" t="str">
        <f t="shared" si="51"/>
        <v>27/12/2019</v>
      </c>
      <c r="AB101" s="15" t="str">
        <f t="shared" si="71"/>
        <v>27/12/2019</v>
      </c>
      <c r="AC101" s="15" t="str">
        <f>LEFT(Table22[[#This Row],[Date_of_Surgery Cleaned 3]],10)</f>
        <v>27/12/2019</v>
      </c>
      <c r="AD101" s="15" t="str">
        <f t="shared" si="72"/>
        <v>27/12/2019</v>
      </c>
      <c r="AE101" s="10" t="str">
        <f t="shared" si="54"/>
        <v>27/12/2019</v>
      </c>
      <c r="AF101" s="27" t="str">
        <f>RIGHT(Table22[[#This Row],[Date_of_Surgery Cleaned 6]],4)</f>
        <v>2019</v>
      </c>
      <c r="AG101" s="27" t="str">
        <f t="shared" si="73"/>
        <v>2019</v>
      </c>
      <c r="AI101" s="15" t="str">
        <f t="shared" si="56"/>
        <v>Unknown</v>
      </c>
      <c r="AJ101" s="15" t="str">
        <f t="shared" si="57"/>
        <v>Unknown</v>
      </c>
      <c r="AK101" s="15" t="str">
        <f t="shared" si="74"/>
        <v>Unknown</v>
      </c>
      <c r="AL101" s="10" t="str">
        <f t="shared" si="75"/>
        <v>Unknown</v>
      </c>
      <c r="AM101" s="27" t="str">
        <f>RIGHT(Table22[[#This Row],[Date_of_Discharge Cleaned 4]],4)</f>
        <v>nown</v>
      </c>
      <c r="AN101" s="27" t="str">
        <f t="shared" si="76"/>
        <v>Unknown</v>
      </c>
      <c r="AO101" t="s">
        <v>161</v>
      </c>
      <c r="AP101" s="15" t="str">
        <f t="shared" si="77"/>
        <v>April 31, 2022</v>
      </c>
      <c r="AQ101" s="15" t="str">
        <f t="shared" si="62"/>
        <v>04/ 31, 2022</v>
      </c>
      <c r="AR101" s="15" t="str">
        <f t="shared" si="78"/>
        <v>04/ 31, 2022</v>
      </c>
      <c r="AS101" s="15" t="str">
        <f t="shared" si="64"/>
        <v>04/31/2022</v>
      </c>
      <c r="AT101" s="10" t="str">
        <f t="shared" si="65"/>
        <v>04/31/2022</v>
      </c>
      <c r="AU101" s="27" t="str">
        <f>RIGHT(Table22[[#This Row],[Follow_up_Visit Cleaned 5]],4)</f>
        <v>2022</v>
      </c>
      <c r="AV101" s="27" t="str">
        <f t="shared" si="79"/>
        <v>2022</v>
      </c>
    </row>
    <row r="102" spans="1:48" ht="14.25" customHeight="1" x14ac:dyDescent="0.2">
      <c r="A102" t="s">
        <v>669</v>
      </c>
      <c r="B102" t="s">
        <v>670</v>
      </c>
      <c r="C102" s="10" t="str">
        <f t="shared" si="40"/>
        <v>Patient_100</v>
      </c>
      <c r="D102">
        <v>48</v>
      </c>
      <c r="E102" t="s">
        <v>146</v>
      </c>
      <c r="F102" t="s">
        <v>147</v>
      </c>
      <c r="G102" s="15" t="str">
        <f t="shared" si="67"/>
        <v>12/13/2023</v>
      </c>
      <c r="H102" s="15" t="str">
        <f t="shared" si="41"/>
        <v>12/13/2023</v>
      </c>
      <c r="I102" s="15" t="str">
        <f t="shared" si="42"/>
        <v>13/12/2023</v>
      </c>
      <c r="J102" s="10" t="str">
        <f>LEFT(Table22[[#This Row],[Date_of_Admission Cleaned 3]],10)</f>
        <v>13/12/2023</v>
      </c>
      <c r="K102" s="27" t="str">
        <f>RIGHT(Table22[[#This Row],[Date_of_Admission Cleaned 4]],4)</f>
        <v>2023</v>
      </c>
      <c r="L102" s="27" t="str">
        <f t="shared" si="43"/>
        <v>2023</v>
      </c>
      <c r="M102" t="s">
        <v>393</v>
      </c>
      <c r="N102" s="15" t="str">
        <f t="shared" si="44"/>
        <v>31/Oct/2023</v>
      </c>
      <c r="O102" s="15" t="str">
        <f t="shared" si="45"/>
        <v>31/10/2023</v>
      </c>
      <c r="P102" s="10" t="str">
        <f t="shared" si="68"/>
        <v>31/10/2023</v>
      </c>
      <c r="Q102" s="27" t="str">
        <f>RIGHT(Table22[[#This Row],[Date_of_Diagnosis Cleaned 3]],4)</f>
        <v>2023</v>
      </c>
      <c r="R102" s="27" t="str">
        <f t="shared" si="70"/>
        <v>2023</v>
      </c>
      <c r="S102" t="s">
        <v>671</v>
      </c>
      <c r="T102" s="21" t="str">
        <f t="shared" si="47"/>
        <v>9/12/2016</v>
      </c>
      <c r="U102" s="21" t="str">
        <f t="shared" si="69"/>
        <v>12/09/2016</v>
      </c>
      <c r="V102" s="21" t="str">
        <f t="shared" si="48"/>
        <v>12/09/2016</v>
      </c>
      <c r="W102" s="16" t="str">
        <f t="shared" si="49"/>
        <v>12/09/2016</v>
      </c>
      <c r="X102" s="28" t="str">
        <f>RIGHT(Table22[[#This Row],[Date_of_Treatment_Start Cleaned 4]],4)</f>
        <v>2016</v>
      </c>
      <c r="Y102" t="s">
        <v>672</v>
      </c>
      <c r="Z102" s="15" t="str">
        <f t="shared" si="50"/>
        <v>12/9/2017</v>
      </c>
      <c r="AA102" s="15" t="str">
        <f t="shared" si="51"/>
        <v>12/9/2017</v>
      </c>
      <c r="AB102" s="15" t="str">
        <f t="shared" si="71"/>
        <v>12/09/2017</v>
      </c>
      <c r="AC102" s="15" t="str">
        <f>LEFT(Table22[[#This Row],[Date_of_Surgery Cleaned 3]],10)</f>
        <v>12/09/2017</v>
      </c>
      <c r="AD102" s="15" t="str">
        <f t="shared" si="72"/>
        <v>09,12,2017</v>
      </c>
      <c r="AE102" s="10" t="str">
        <f t="shared" si="54"/>
        <v>09/12/2017</v>
      </c>
      <c r="AF102" s="27" t="str">
        <f>RIGHT(Table22[[#This Row],[Date_of_Surgery Cleaned 6]],4)</f>
        <v>2017</v>
      </c>
      <c r="AG102" s="27" t="str">
        <f t="shared" si="73"/>
        <v>2017</v>
      </c>
      <c r="AH102" t="s">
        <v>673</v>
      </c>
      <c r="AI102" s="15" t="str">
        <f t="shared" si="56"/>
        <v>2023/08/26</v>
      </c>
      <c r="AJ102" s="15" t="str">
        <f t="shared" si="57"/>
        <v>2023/08/26</v>
      </c>
      <c r="AK102" s="15" t="str">
        <f t="shared" si="74"/>
        <v>26,08,2023</v>
      </c>
      <c r="AL102" s="10" t="str">
        <f t="shared" si="75"/>
        <v>26/08/2023</v>
      </c>
      <c r="AM102" s="27" t="str">
        <f>RIGHT(Table22[[#This Row],[Date_of_Discharge Cleaned 4]],4)</f>
        <v>2023</v>
      </c>
      <c r="AN102" s="27" t="str">
        <f t="shared" si="76"/>
        <v>2023</v>
      </c>
      <c r="AO102" t="s">
        <v>674</v>
      </c>
      <c r="AP102" s="15" t="str">
        <f t="shared" si="77"/>
        <v>08/11/2024</v>
      </c>
      <c r="AQ102" s="15" t="str">
        <f t="shared" si="62"/>
        <v>08/11/2024</v>
      </c>
      <c r="AR102" s="15" t="str">
        <f t="shared" si="78"/>
        <v>11,08,2024</v>
      </c>
      <c r="AS102" s="15" t="str">
        <f t="shared" si="64"/>
        <v>11/08/2024</v>
      </c>
      <c r="AT102" s="10" t="str">
        <f t="shared" si="65"/>
        <v>11/08/2024</v>
      </c>
      <c r="AU102" s="27" t="str">
        <f>RIGHT(Table22[[#This Row],[Follow_up_Visit Cleaned 5]],4)</f>
        <v>2024</v>
      </c>
      <c r="AV102" s="27" t="str">
        <f t="shared" si="79"/>
        <v>2024</v>
      </c>
    </row>
    <row r="103" spans="1:48" ht="14.25" customHeight="1" x14ac:dyDescent="0.2">
      <c r="A103" t="s">
        <v>675</v>
      </c>
      <c r="B103" t="s">
        <v>676</v>
      </c>
      <c r="C103" s="10" t="str">
        <f t="shared" si="40"/>
        <v>Patient_101</v>
      </c>
      <c r="D103">
        <v>34</v>
      </c>
      <c r="E103" t="s">
        <v>160</v>
      </c>
      <c r="F103" t="s">
        <v>677</v>
      </c>
      <c r="G103" s="15" t="str">
        <f t="shared" si="67"/>
        <v>23/May/2023</v>
      </c>
      <c r="H103" s="15" t="str">
        <f t="shared" si="41"/>
        <v>23/May/2023</v>
      </c>
      <c r="I103" s="15" t="str">
        <f t="shared" si="42"/>
        <v>23/05/2023</v>
      </c>
      <c r="J103" s="10" t="str">
        <f>LEFT(Table22[[#This Row],[Date_of_Admission Cleaned 3]],10)</f>
        <v>23/05/2023</v>
      </c>
      <c r="K103" s="27" t="str">
        <f>RIGHT(Table22[[#This Row],[Date_of_Admission Cleaned 4]],4)</f>
        <v>2023</v>
      </c>
      <c r="L103" s="27" t="str">
        <f t="shared" si="43"/>
        <v>2023</v>
      </c>
      <c r="M103" t="s">
        <v>678</v>
      </c>
      <c r="N103" s="15" t="str">
        <f t="shared" si="44"/>
        <v>01/March/2023</v>
      </c>
      <c r="O103" s="15" t="str">
        <f t="shared" si="45"/>
        <v>01/March/2023</v>
      </c>
      <c r="P103" s="10" t="str">
        <f t="shared" si="68"/>
        <v>01/03/2023</v>
      </c>
      <c r="Q103" s="27" t="str">
        <f>RIGHT(Table22[[#This Row],[Date_of_Diagnosis Cleaned 3]],4)</f>
        <v>2023</v>
      </c>
      <c r="R103" s="27" t="str">
        <f t="shared" si="70"/>
        <v>2023</v>
      </c>
      <c r="S103" t="s">
        <v>679</v>
      </c>
      <c r="T103" s="21" t="str">
        <f t="shared" si="47"/>
        <v>9/1/2017</v>
      </c>
      <c r="U103" s="21" t="str">
        <f t="shared" si="69"/>
        <v>01/09/2017</v>
      </c>
      <c r="V103" s="21" t="str">
        <f t="shared" si="48"/>
        <v>01/09/2017</v>
      </c>
      <c r="W103" s="16" t="str">
        <f t="shared" si="49"/>
        <v>01/09/2017</v>
      </c>
      <c r="X103" s="28" t="str">
        <f>RIGHT(Table22[[#This Row],[Date_of_Treatment_Start Cleaned 4]],4)</f>
        <v>2017</v>
      </c>
      <c r="Y103" t="s">
        <v>680</v>
      </c>
      <c r="Z103" s="15" t="str">
        <f t="shared" si="50"/>
        <v>28/10/2016</v>
      </c>
      <c r="AA103" s="15" t="str">
        <f t="shared" si="51"/>
        <v>28/10/2016</v>
      </c>
      <c r="AB103" s="15" t="str">
        <f t="shared" si="71"/>
        <v>28/10/2016</v>
      </c>
      <c r="AC103" s="15" t="str">
        <f>LEFT(Table22[[#This Row],[Date_of_Surgery Cleaned 3]],10)</f>
        <v>28/10/2016</v>
      </c>
      <c r="AD103" s="15" t="str">
        <f t="shared" si="72"/>
        <v>28/10/2016</v>
      </c>
      <c r="AE103" s="10" t="str">
        <f t="shared" si="54"/>
        <v>28/10/2016</v>
      </c>
      <c r="AF103" s="27" t="str">
        <f>RIGHT(Table22[[#This Row],[Date_of_Surgery Cleaned 6]],4)</f>
        <v>2016</v>
      </c>
      <c r="AG103" s="27" t="str">
        <f t="shared" si="73"/>
        <v>2016</v>
      </c>
      <c r="AH103" t="s">
        <v>681</v>
      </c>
      <c r="AI103" s="15" t="str">
        <f t="shared" si="56"/>
        <v>2024/12/24</v>
      </c>
      <c r="AJ103" s="15" t="str">
        <f t="shared" si="57"/>
        <v>2024/12/24</v>
      </c>
      <c r="AK103" s="15" t="str">
        <f t="shared" si="74"/>
        <v>24,12,2024</v>
      </c>
      <c r="AL103" s="10" t="str">
        <f t="shared" si="75"/>
        <v>24/12/2024</v>
      </c>
      <c r="AM103" s="27" t="str">
        <f>RIGHT(Table22[[#This Row],[Date_of_Discharge Cleaned 4]],4)</f>
        <v>2024</v>
      </c>
      <c r="AN103" s="27" t="str">
        <f t="shared" si="76"/>
        <v>2024</v>
      </c>
      <c r="AO103" t="s">
        <v>682</v>
      </c>
      <c r="AP103" s="15" t="str">
        <f t="shared" si="77"/>
        <v>05/12/2024</v>
      </c>
      <c r="AQ103" s="15" t="str">
        <f t="shared" si="62"/>
        <v>05/12/2024</v>
      </c>
      <c r="AR103" s="15" t="str">
        <f t="shared" si="78"/>
        <v>12,05,2024</v>
      </c>
      <c r="AS103" s="15" t="str">
        <f t="shared" si="64"/>
        <v>12/05/2024</v>
      </c>
      <c r="AT103" s="10" t="str">
        <f t="shared" si="65"/>
        <v>12/05/2024</v>
      </c>
      <c r="AU103" s="27" t="str">
        <f>RIGHT(Table22[[#This Row],[Follow_up_Visit Cleaned 5]],4)</f>
        <v>2024</v>
      </c>
      <c r="AV103" s="27" t="str">
        <f t="shared" si="79"/>
        <v>2024</v>
      </c>
    </row>
    <row r="104" spans="1:48" ht="14.25" customHeight="1" x14ac:dyDescent="0.2">
      <c r="A104" t="s">
        <v>683</v>
      </c>
      <c r="B104" t="s">
        <v>684</v>
      </c>
      <c r="C104" s="10" t="str">
        <f t="shared" si="40"/>
        <v>Patient_102</v>
      </c>
      <c r="D104">
        <v>64</v>
      </c>
      <c r="E104" t="s">
        <v>160</v>
      </c>
      <c r="F104" t="s">
        <v>685</v>
      </c>
      <c r="G104" s="15" t="str">
        <f t="shared" si="67"/>
        <v>28/July/2024</v>
      </c>
      <c r="H104" s="15" t="str">
        <f t="shared" si="41"/>
        <v>28/July/2024</v>
      </c>
      <c r="I104" s="15" t="str">
        <f t="shared" si="42"/>
        <v>28/07/2024</v>
      </c>
      <c r="J104" s="10" t="str">
        <f>LEFT(Table22[[#This Row],[Date_of_Admission Cleaned 3]],10)</f>
        <v>28/07/2024</v>
      </c>
      <c r="K104" s="27" t="str">
        <f>RIGHT(Table22[[#This Row],[Date_of_Admission Cleaned 4]],4)</f>
        <v>2024</v>
      </c>
      <c r="L104" s="27" t="str">
        <f t="shared" si="43"/>
        <v>2024</v>
      </c>
      <c r="M104" t="s">
        <v>591</v>
      </c>
      <c r="N104" s="15" t="str">
        <f t="shared" si="44"/>
        <v>14/6/2016</v>
      </c>
      <c r="O104" s="15" t="str">
        <f t="shared" si="45"/>
        <v>14/06/2016</v>
      </c>
      <c r="P104" s="10" t="str">
        <f t="shared" si="68"/>
        <v>14/06/2016</v>
      </c>
      <c r="Q104" s="27" t="str">
        <f>RIGHT(Table22[[#This Row],[Date_of_Diagnosis Cleaned 3]],4)</f>
        <v>2016</v>
      </c>
      <c r="R104" s="27" t="str">
        <f t="shared" si="70"/>
        <v>2016</v>
      </c>
      <c r="S104" t="s">
        <v>686</v>
      </c>
      <c r="T104" s="21" t="str">
        <f t="shared" si="47"/>
        <v>Nov/13//2023</v>
      </c>
      <c r="U104" s="21" t="str">
        <f t="shared" si="69"/>
        <v>Nov/13//2023</v>
      </c>
      <c r="V104" s="21" t="str">
        <f t="shared" si="48"/>
        <v>Nov/13/2023</v>
      </c>
      <c r="W104" s="16" t="str">
        <f t="shared" si="49"/>
        <v>11/13/2023</v>
      </c>
      <c r="X104" s="28" t="str">
        <f>RIGHT(Table22[[#This Row],[Date_of_Treatment_Start Cleaned 4]],4)</f>
        <v>2023</v>
      </c>
      <c r="Y104" s="12">
        <v>43355</v>
      </c>
      <c r="Z104" s="15" t="str">
        <f t="shared" si="50"/>
        <v>43355</v>
      </c>
      <c r="AA104" s="15" t="str">
        <f t="shared" si="51"/>
        <v>43355</v>
      </c>
      <c r="AB104" s="15" t="str">
        <f t="shared" si="71"/>
        <v>43355</v>
      </c>
      <c r="AC104" s="15" t="str">
        <f>LEFT(Table22[[#This Row],[Date_of_Surgery Cleaned 3]],10)</f>
        <v>43355</v>
      </c>
      <c r="AD104" s="15" t="str">
        <f t="shared" si="72"/>
        <v>12,09,2018</v>
      </c>
      <c r="AE104" s="10" t="str">
        <f t="shared" si="54"/>
        <v>12/09/2018</v>
      </c>
      <c r="AF104" s="27" t="str">
        <f>RIGHT(Table22[[#This Row],[Date_of_Surgery Cleaned 6]],4)</f>
        <v>2018</v>
      </c>
      <c r="AG104" s="27" t="str">
        <f t="shared" si="73"/>
        <v>2018</v>
      </c>
      <c r="AI104" s="15" t="str">
        <f t="shared" si="56"/>
        <v>Unknown</v>
      </c>
      <c r="AJ104" s="15" t="str">
        <f t="shared" si="57"/>
        <v>Unknown</v>
      </c>
      <c r="AK104" s="15" t="str">
        <f t="shared" si="74"/>
        <v>Unknown</v>
      </c>
      <c r="AL104" s="10" t="str">
        <f t="shared" si="75"/>
        <v>Unknown</v>
      </c>
      <c r="AM104" s="27" t="str">
        <f>RIGHT(Table22[[#This Row],[Date_of_Discharge Cleaned 4]],4)</f>
        <v>nown</v>
      </c>
      <c r="AN104" s="27" t="str">
        <f t="shared" si="76"/>
        <v>Unknown</v>
      </c>
      <c r="AO104" t="s">
        <v>165</v>
      </c>
      <c r="AP104" s="15" t="str">
        <f t="shared" si="77"/>
        <v>01/02/03</v>
      </c>
      <c r="AQ104" s="15" t="str">
        <f t="shared" si="62"/>
        <v>01/02/03</v>
      </c>
      <c r="AR104" s="15" t="str">
        <f t="shared" si="78"/>
        <v>02,01,2003</v>
      </c>
      <c r="AS104" s="15" t="str">
        <f t="shared" si="64"/>
        <v>02/01/2003</v>
      </c>
      <c r="AT104" s="10" t="str">
        <f t="shared" si="65"/>
        <v>02/01/2003</v>
      </c>
      <c r="AU104" s="27" t="str">
        <f>RIGHT(Table22[[#This Row],[Follow_up_Visit Cleaned 5]],4)</f>
        <v>2003</v>
      </c>
      <c r="AV104" s="27" t="str">
        <f t="shared" si="79"/>
        <v>2003</v>
      </c>
    </row>
    <row r="105" spans="1:48" ht="14.25" customHeight="1" x14ac:dyDescent="0.2">
      <c r="A105" t="s">
        <v>688</v>
      </c>
      <c r="B105" t="s">
        <v>689</v>
      </c>
      <c r="C105" s="10" t="str">
        <f t="shared" si="40"/>
        <v>Patient_103</v>
      </c>
      <c r="D105">
        <v>84</v>
      </c>
      <c r="E105" t="s">
        <v>146</v>
      </c>
      <c r="F105" t="s">
        <v>147</v>
      </c>
      <c r="G105" s="15" t="str">
        <f t="shared" si="67"/>
        <v>12/13/2023</v>
      </c>
      <c r="H105" s="15" t="str">
        <f t="shared" si="41"/>
        <v>12/13/2023</v>
      </c>
      <c r="I105" s="15" t="str">
        <f t="shared" si="42"/>
        <v>13/12/2023</v>
      </c>
      <c r="J105" s="10" t="str">
        <f>LEFT(Table22[[#This Row],[Date_of_Admission Cleaned 3]],10)</f>
        <v>13/12/2023</v>
      </c>
      <c r="K105" s="27" t="str">
        <f>RIGHT(Table22[[#This Row],[Date_of_Admission Cleaned 4]],4)</f>
        <v>2023</v>
      </c>
      <c r="L105" s="27" t="str">
        <f t="shared" si="43"/>
        <v>2023</v>
      </c>
      <c r="M105" t="s">
        <v>690</v>
      </c>
      <c r="N105" s="15" t="str">
        <f t="shared" si="44"/>
        <v>04/03/2023</v>
      </c>
      <c r="O105" s="15" t="str">
        <f t="shared" si="45"/>
        <v>04/03/2023</v>
      </c>
      <c r="P105" s="10" t="str">
        <f t="shared" si="68"/>
        <v>03/04/2023</v>
      </c>
      <c r="Q105" s="27" t="str">
        <f>RIGHT(Table22[[#This Row],[Date_of_Diagnosis Cleaned 3]],4)</f>
        <v>2023</v>
      </c>
      <c r="R105" s="27" t="str">
        <f t="shared" si="70"/>
        <v>2023</v>
      </c>
      <c r="S105" t="s">
        <v>691</v>
      </c>
      <c r="T105" s="21" t="str">
        <f t="shared" si="47"/>
        <v>Oct/11//2024</v>
      </c>
      <c r="U105" s="21" t="str">
        <f t="shared" si="69"/>
        <v>Oct/11//2024</v>
      </c>
      <c r="V105" s="21" t="str">
        <f t="shared" si="48"/>
        <v>Oct/11/2024</v>
      </c>
      <c r="W105" s="16" t="str">
        <f t="shared" si="49"/>
        <v>10/11/2024</v>
      </c>
      <c r="X105" s="28" t="str">
        <f>RIGHT(Table22[[#This Row],[Date_of_Treatment_Start Cleaned 4]],4)</f>
        <v>2024</v>
      </c>
      <c r="Z105" s="15" t="str">
        <f t="shared" si="50"/>
        <v/>
      </c>
      <c r="AA105" s="15" t="str">
        <f t="shared" si="51"/>
        <v>Unknown</v>
      </c>
      <c r="AB105" s="15" t="str">
        <f t="shared" si="71"/>
        <v>Unknown</v>
      </c>
      <c r="AC105" s="15" t="str">
        <f>LEFT(Table22[[#This Row],[Date_of_Surgery Cleaned 3]],10)</f>
        <v>Unknown</v>
      </c>
      <c r="AD105" s="15" t="str">
        <f t="shared" si="72"/>
        <v>Unknown</v>
      </c>
      <c r="AE105" s="10" t="str">
        <f t="shared" si="54"/>
        <v>Unknown</v>
      </c>
      <c r="AF105" s="27" t="str">
        <f>RIGHT(Table22[[#This Row],[Date_of_Surgery Cleaned 6]],4)</f>
        <v>nown</v>
      </c>
      <c r="AG105" s="27" t="str">
        <f t="shared" si="73"/>
        <v>Unknown</v>
      </c>
      <c r="AI105" s="15" t="str">
        <f t="shared" si="56"/>
        <v>Unknown</v>
      </c>
      <c r="AJ105" s="15" t="str">
        <f t="shared" si="57"/>
        <v>Unknown</v>
      </c>
      <c r="AK105" s="15" t="str">
        <f t="shared" si="74"/>
        <v>Unknown</v>
      </c>
      <c r="AL105" s="10" t="str">
        <f t="shared" si="75"/>
        <v>Unknown</v>
      </c>
      <c r="AM105" s="27" t="str">
        <f>RIGHT(Table22[[#This Row],[Date_of_Discharge Cleaned 4]],4)</f>
        <v>nown</v>
      </c>
      <c r="AN105" s="27" t="str">
        <f t="shared" si="76"/>
        <v>Unknown</v>
      </c>
      <c r="AO105" t="s">
        <v>692</v>
      </c>
      <c r="AP105" s="15" t="str">
        <f t="shared" si="77"/>
        <v>29/02/2024</v>
      </c>
      <c r="AQ105" s="15" t="str">
        <f t="shared" si="62"/>
        <v>29/02/2024</v>
      </c>
      <c r="AR105" s="15" t="str">
        <f t="shared" si="78"/>
        <v>29/02/2024</v>
      </c>
      <c r="AS105" s="15" t="str">
        <f t="shared" si="64"/>
        <v>29/02/2024</v>
      </c>
      <c r="AT105" s="10" t="str">
        <f t="shared" si="65"/>
        <v>29/02/2024</v>
      </c>
      <c r="AU105" s="27" t="str">
        <f>RIGHT(Table22[[#This Row],[Follow_up_Visit Cleaned 5]],4)</f>
        <v>2024</v>
      </c>
      <c r="AV105" s="27" t="str">
        <f t="shared" si="79"/>
        <v>2024</v>
      </c>
    </row>
    <row r="106" spans="1:48" ht="14.25" customHeight="1" x14ac:dyDescent="0.2">
      <c r="A106" t="s">
        <v>693</v>
      </c>
      <c r="B106" t="s">
        <v>694</v>
      </c>
      <c r="C106" s="10" t="str">
        <f t="shared" si="40"/>
        <v>Patient_104</v>
      </c>
      <c r="D106">
        <v>28</v>
      </c>
      <c r="E106" t="s">
        <v>160</v>
      </c>
      <c r="F106" t="s">
        <v>147</v>
      </c>
      <c r="G106" s="15" t="str">
        <f t="shared" si="67"/>
        <v>12/13/2023</v>
      </c>
      <c r="H106" s="15" t="str">
        <f t="shared" si="41"/>
        <v>12/13/2023</v>
      </c>
      <c r="I106" s="15" t="str">
        <f t="shared" si="42"/>
        <v>13/12/2023</v>
      </c>
      <c r="J106" s="10" t="str">
        <f>LEFT(Table22[[#This Row],[Date_of_Admission Cleaned 3]],10)</f>
        <v>13/12/2023</v>
      </c>
      <c r="K106" s="27" t="str">
        <f>RIGHT(Table22[[#This Row],[Date_of_Admission Cleaned 4]],4)</f>
        <v>2023</v>
      </c>
      <c r="L106" s="27" t="str">
        <f t="shared" si="43"/>
        <v>2023</v>
      </c>
      <c r="M106" t="s">
        <v>695</v>
      </c>
      <c r="N106" s="15" t="str">
        <f t="shared" si="44"/>
        <v>2023/02/28</v>
      </c>
      <c r="O106" s="15" t="str">
        <f t="shared" si="45"/>
        <v>2023/02/28</v>
      </c>
      <c r="P106" s="10" t="str">
        <f t="shared" si="68"/>
        <v>28/02/2023</v>
      </c>
      <c r="Q106" s="27" t="str">
        <f>RIGHT(Table22[[#This Row],[Date_of_Diagnosis Cleaned 3]],4)</f>
        <v>2023</v>
      </c>
      <c r="R106" s="27" t="str">
        <f t="shared" si="70"/>
        <v>2023</v>
      </c>
      <c r="S106" t="s">
        <v>696</v>
      </c>
      <c r="T106" s="21" t="str">
        <f t="shared" si="47"/>
        <v>Sep/02//2024</v>
      </c>
      <c r="U106" s="21" t="str">
        <f t="shared" si="69"/>
        <v>Sep/02//2024</v>
      </c>
      <c r="V106" s="21" t="str">
        <f t="shared" si="48"/>
        <v>Sep/02/2024</v>
      </c>
      <c r="W106" s="16" t="str">
        <f t="shared" si="49"/>
        <v>09/02/2024</v>
      </c>
      <c r="X106" s="28" t="str">
        <f>RIGHT(Table22[[#This Row],[Date_of_Treatment_Start Cleaned 4]],4)</f>
        <v>2024</v>
      </c>
      <c r="Y106" t="s">
        <v>697</v>
      </c>
      <c r="Z106" s="15" t="str">
        <f t="shared" si="50"/>
        <v>09/06/2024</v>
      </c>
      <c r="AA106" s="15" t="str">
        <f t="shared" si="51"/>
        <v>09/06/2024</v>
      </c>
      <c r="AB106" s="15" t="str">
        <f t="shared" si="71"/>
        <v>09/06/2024</v>
      </c>
      <c r="AC106" s="15" t="str">
        <f>LEFT(Table22[[#This Row],[Date_of_Surgery Cleaned 3]],10)</f>
        <v>09/06/2024</v>
      </c>
      <c r="AD106" s="15" t="str">
        <f t="shared" si="72"/>
        <v>06,09,2024</v>
      </c>
      <c r="AE106" s="10" t="str">
        <f t="shared" si="54"/>
        <v>06/09/2024</v>
      </c>
      <c r="AF106" s="27" t="str">
        <f>RIGHT(Table22[[#This Row],[Date_of_Surgery Cleaned 6]],4)</f>
        <v>2024</v>
      </c>
      <c r="AG106" s="27" t="str">
        <f t="shared" si="73"/>
        <v>2024</v>
      </c>
      <c r="AH106" s="12">
        <v>45646</v>
      </c>
      <c r="AI106" s="15">
        <f t="shared" si="56"/>
        <v>45646</v>
      </c>
      <c r="AJ106" s="15">
        <f t="shared" si="57"/>
        <v>45646</v>
      </c>
      <c r="AK106" s="15" t="str">
        <f t="shared" si="74"/>
        <v>20,12,2024</v>
      </c>
      <c r="AL106" s="10" t="str">
        <f t="shared" si="75"/>
        <v>20/12/2024</v>
      </c>
      <c r="AM106" s="27" t="str">
        <f>RIGHT(Table22[[#This Row],[Date_of_Discharge Cleaned 4]],4)</f>
        <v>2024</v>
      </c>
      <c r="AN106" s="27" t="str">
        <f t="shared" si="76"/>
        <v>2024</v>
      </c>
      <c r="AO106" t="s">
        <v>161</v>
      </c>
      <c r="AP106" s="15" t="str">
        <f t="shared" si="77"/>
        <v>April 31, 2022</v>
      </c>
      <c r="AQ106" s="15" t="str">
        <f t="shared" si="62"/>
        <v>04/ 31, 2022</v>
      </c>
      <c r="AR106" s="15" t="str">
        <f t="shared" si="78"/>
        <v>04/ 31, 2022</v>
      </c>
      <c r="AS106" s="15" t="str">
        <f t="shared" si="64"/>
        <v>04/31/2022</v>
      </c>
      <c r="AT106" s="10" t="str">
        <f t="shared" si="65"/>
        <v>04/31/2022</v>
      </c>
      <c r="AU106" s="27" t="str">
        <f>RIGHT(Table22[[#This Row],[Follow_up_Visit Cleaned 5]],4)</f>
        <v>2022</v>
      </c>
      <c r="AV106" s="27" t="str">
        <f t="shared" si="79"/>
        <v>2022</v>
      </c>
    </row>
    <row r="107" spans="1:48" ht="14.25" customHeight="1" x14ac:dyDescent="0.2">
      <c r="A107" t="s">
        <v>698</v>
      </c>
      <c r="B107" t="s">
        <v>699</v>
      </c>
      <c r="C107" s="10" t="str">
        <f t="shared" si="40"/>
        <v>Patient_105</v>
      </c>
      <c r="D107">
        <v>20</v>
      </c>
      <c r="E107" t="s">
        <v>160</v>
      </c>
      <c r="F107" t="s">
        <v>700</v>
      </c>
      <c r="G107" s="15" t="str">
        <f t="shared" si="67"/>
        <v>Sep/27//2023</v>
      </c>
      <c r="H107" s="15" t="str">
        <f t="shared" si="41"/>
        <v>09/27/2023</v>
      </c>
      <c r="I107" s="15" t="str">
        <f t="shared" si="42"/>
        <v>27/09/2023</v>
      </c>
      <c r="J107" s="10" t="str">
        <f>LEFT(Table22[[#This Row],[Date_of_Admission Cleaned 3]],10)</f>
        <v>27/09/2023</v>
      </c>
      <c r="K107" s="27" t="str">
        <f>RIGHT(Table22[[#This Row],[Date_of_Admission Cleaned 4]],4)</f>
        <v>2023</v>
      </c>
      <c r="L107" s="27" t="str">
        <f t="shared" si="43"/>
        <v>2023</v>
      </c>
      <c r="M107" s="12">
        <v>45525</v>
      </c>
      <c r="N107" s="15" t="str">
        <f t="shared" si="44"/>
        <v>45525</v>
      </c>
      <c r="O107" s="15" t="str">
        <f t="shared" si="45"/>
        <v>45525</v>
      </c>
      <c r="P107" s="10" t="str">
        <f t="shared" si="68"/>
        <v>21/08/2024</v>
      </c>
      <c r="Q107" s="27" t="str">
        <f>RIGHT(Table22[[#This Row],[Date_of_Diagnosis Cleaned 3]],4)</f>
        <v>2024</v>
      </c>
      <c r="R107" s="27" t="str">
        <f t="shared" si="70"/>
        <v>2024</v>
      </c>
      <c r="S107" t="s">
        <v>645</v>
      </c>
      <c r="T107" s="21" t="str">
        <f t="shared" si="47"/>
        <v>9/6/2016</v>
      </c>
      <c r="U107" s="21" t="str">
        <f t="shared" si="69"/>
        <v>06/09/2016</v>
      </c>
      <c r="V107" s="21" t="str">
        <f t="shared" si="48"/>
        <v>06/09/2016</v>
      </c>
      <c r="W107" s="16" t="str">
        <f t="shared" si="49"/>
        <v>06/09/2016</v>
      </c>
      <c r="X107" s="28" t="str">
        <f>RIGHT(Table22[[#This Row],[Date_of_Treatment_Start Cleaned 4]],4)</f>
        <v>2016</v>
      </c>
      <c r="Y107" t="s">
        <v>701</v>
      </c>
      <c r="Z107" s="15" t="str">
        <f t="shared" si="50"/>
        <v>Unknown</v>
      </c>
      <c r="AA107" s="15" t="str">
        <f t="shared" si="51"/>
        <v>Unknown</v>
      </c>
      <c r="AB107" s="15" t="str">
        <f t="shared" si="71"/>
        <v>Unknown</v>
      </c>
      <c r="AC107" s="15" t="str">
        <f>LEFT(Table22[[#This Row],[Date_of_Surgery Cleaned 3]],10)</f>
        <v>Unknown</v>
      </c>
      <c r="AD107" s="15" t="str">
        <f t="shared" si="72"/>
        <v>Unknown</v>
      </c>
      <c r="AE107" s="10" t="str">
        <f t="shared" si="54"/>
        <v>Unknown</v>
      </c>
      <c r="AF107" s="27" t="str">
        <f>RIGHT(Table22[[#This Row],[Date_of_Surgery Cleaned 6]],4)</f>
        <v>nown</v>
      </c>
      <c r="AG107" s="27" t="str">
        <f t="shared" si="73"/>
        <v>Unknown</v>
      </c>
      <c r="AH107" t="s">
        <v>702</v>
      </c>
      <c r="AI107" s="15" t="str">
        <f t="shared" si="56"/>
        <v>14/Mar/2023</v>
      </c>
      <c r="AJ107" s="15" t="str">
        <f t="shared" si="57"/>
        <v>14/Mar/2023</v>
      </c>
      <c r="AK107" s="15" t="str">
        <f t="shared" si="74"/>
        <v>14,03,2023</v>
      </c>
      <c r="AL107" s="10" t="str">
        <f t="shared" si="75"/>
        <v>14/03/2023</v>
      </c>
      <c r="AM107" s="27" t="str">
        <f>RIGHT(Table22[[#This Row],[Date_of_Discharge Cleaned 4]],4)</f>
        <v>2023</v>
      </c>
      <c r="AN107" s="27" t="str">
        <f t="shared" si="76"/>
        <v>2023</v>
      </c>
      <c r="AO107">
        <v>45451</v>
      </c>
      <c r="AP107" s="15">
        <f t="shared" si="77"/>
        <v>45451</v>
      </c>
      <c r="AQ107" s="15" t="str">
        <f t="shared" si="62"/>
        <v>45451</v>
      </c>
      <c r="AR107" s="15" t="str">
        <f t="shared" si="78"/>
        <v>08,06,2024</v>
      </c>
      <c r="AS107" s="15" t="str">
        <f t="shared" si="64"/>
        <v>08/06/2024</v>
      </c>
      <c r="AT107" s="10" t="str">
        <f t="shared" si="65"/>
        <v>08/06/2024</v>
      </c>
      <c r="AU107" s="27" t="str">
        <f>RIGHT(Table22[[#This Row],[Follow_up_Visit Cleaned 5]],4)</f>
        <v>2024</v>
      </c>
      <c r="AV107" s="27" t="str">
        <f t="shared" si="79"/>
        <v>2024</v>
      </c>
    </row>
    <row r="108" spans="1:48" ht="14.25" customHeight="1" x14ac:dyDescent="0.2">
      <c r="A108" t="s">
        <v>703</v>
      </c>
      <c r="B108" t="s">
        <v>704</v>
      </c>
      <c r="C108" s="10" t="str">
        <f t="shared" si="40"/>
        <v>Patient_106</v>
      </c>
      <c r="D108">
        <v>27</v>
      </c>
      <c r="E108" t="s">
        <v>160</v>
      </c>
      <c r="F108" t="s">
        <v>705</v>
      </c>
      <c r="G108" s="15" t="str">
        <f t="shared" si="67"/>
        <v>Aug/20//2024</v>
      </c>
      <c r="H108" s="15" t="str">
        <f t="shared" si="41"/>
        <v>08/20/2024</v>
      </c>
      <c r="I108" s="15" t="str">
        <f t="shared" si="42"/>
        <v>20/08/2024</v>
      </c>
      <c r="J108" s="10" t="str">
        <f>LEFT(Table22[[#This Row],[Date_of_Admission Cleaned 3]],10)</f>
        <v>20/08/2024</v>
      </c>
      <c r="K108" s="27" t="str">
        <f>RIGHT(Table22[[#This Row],[Date_of_Admission Cleaned 4]],4)</f>
        <v>2024</v>
      </c>
      <c r="L108" s="27" t="str">
        <f t="shared" si="43"/>
        <v>2024</v>
      </c>
      <c r="M108" t="s">
        <v>706</v>
      </c>
      <c r="N108" s="15" t="str">
        <f t="shared" si="44"/>
        <v>29/May/2024</v>
      </c>
      <c r="O108" s="15" t="str">
        <f t="shared" si="45"/>
        <v>29/05/2024</v>
      </c>
      <c r="P108" s="10" t="str">
        <f t="shared" si="68"/>
        <v>29/05/2024</v>
      </c>
      <c r="Q108" s="27" t="str">
        <f>RIGHT(Table22[[#This Row],[Date_of_Diagnosis Cleaned 3]],4)</f>
        <v>2024</v>
      </c>
      <c r="R108" s="27" t="str">
        <f t="shared" si="70"/>
        <v>2024</v>
      </c>
      <c r="S108" t="s">
        <v>649</v>
      </c>
      <c r="T108" s="21" t="str">
        <f t="shared" si="47"/>
        <v>9/7/2016</v>
      </c>
      <c r="U108" s="21" t="str">
        <f t="shared" si="69"/>
        <v>07/09/2016</v>
      </c>
      <c r="V108" s="21" t="str">
        <f t="shared" si="48"/>
        <v>07/09/2016</v>
      </c>
      <c r="W108" s="16" t="str">
        <f t="shared" si="49"/>
        <v>07/09/2016</v>
      </c>
      <c r="X108" s="28" t="str">
        <f>RIGHT(Table22[[#This Row],[Date_of_Treatment_Start Cleaned 4]],4)</f>
        <v>2016</v>
      </c>
      <c r="Y108" t="s">
        <v>707</v>
      </c>
      <c r="Z108" s="15" t="str">
        <f t="shared" si="50"/>
        <v>04/04/2023</v>
      </c>
      <c r="AA108" s="15" t="str">
        <f t="shared" si="51"/>
        <v>04/04/2023</v>
      </c>
      <c r="AB108" s="15" t="str">
        <f t="shared" si="71"/>
        <v>04/04/2023</v>
      </c>
      <c r="AC108" s="15" t="str">
        <f>LEFT(Table22[[#This Row],[Date_of_Surgery Cleaned 3]],10)</f>
        <v>04/04/2023</v>
      </c>
      <c r="AD108" s="15" t="str">
        <f t="shared" si="72"/>
        <v>04,04,2023</v>
      </c>
      <c r="AE108" s="10" t="str">
        <f t="shared" si="54"/>
        <v>04/04/2023</v>
      </c>
      <c r="AF108" s="27" t="str">
        <f>RIGHT(Table22[[#This Row],[Date_of_Surgery Cleaned 6]],4)</f>
        <v>2023</v>
      </c>
      <c r="AG108" s="27" t="str">
        <f t="shared" si="73"/>
        <v>2023</v>
      </c>
      <c r="AI108" s="15" t="str">
        <f t="shared" si="56"/>
        <v>Unknown</v>
      </c>
      <c r="AJ108" s="15" t="str">
        <f t="shared" si="57"/>
        <v>Unknown</v>
      </c>
      <c r="AK108" s="15" t="str">
        <f t="shared" si="74"/>
        <v>Unknown</v>
      </c>
      <c r="AL108" s="10" t="str">
        <f t="shared" si="75"/>
        <v>Unknown</v>
      </c>
      <c r="AM108" s="27" t="str">
        <f>RIGHT(Table22[[#This Row],[Date_of_Discharge Cleaned 4]],4)</f>
        <v>nown</v>
      </c>
      <c r="AN108" s="27" t="str">
        <f t="shared" si="76"/>
        <v>Unknown</v>
      </c>
      <c r="AP108" s="15" t="str">
        <f t="shared" si="77"/>
        <v>Unknown</v>
      </c>
      <c r="AQ108" s="15" t="str">
        <f t="shared" si="62"/>
        <v>Unknown</v>
      </c>
      <c r="AR108" s="15" t="str">
        <f t="shared" si="78"/>
        <v>Unknown</v>
      </c>
      <c r="AS108" s="15" t="str">
        <f t="shared" si="64"/>
        <v>Unknown</v>
      </c>
      <c r="AT108" s="10" t="str">
        <f t="shared" si="65"/>
        <v>Unknown</v>
      </c>
      <c r="AU108" s="27" t="str">
        <f>RIGHT(Table22[[#This Row],[Follow_up_Visit Cleaned 5]],4)</f>
        <v>nown</v>
      </c>
      <c r="AV108" s="27" t="str">
        <f t="shared" si="79"/>
        <v>Unknown</v>
      </c>
    </row>
    <row r="109" spans="1:48" x14ac:dyDescent="0.2">
      <c r="A109" t="s">
        <v>708</v>
      </c>
      <c r="B109" t="s">
        <v>709</v>
      </c>
      <c r="C109" s="10" t="str">
        <f t="shared" si="40"/>
        <v>Patient_107</v>
      </c>
      <c r="D109">
        <v>82</v>
      </c>
      <c r="E109" t="s">
        <v>160</v>
      </c>
      <c r="F109" t="s">
        <v>710</v>
      </c>
      <c r="G109" s="15" t="str">
        <f t="shared" si="67"/>
        <v>06/Jan/2024</v>
      </c>
      <c r="H109" s="15" t="str">
        <f t="shared" si="41"/>
        <v>06/01/2024</v>
      </c>
      <c r="I109" s="15" t="str">
        <f t="shared" si="42"/>
        <v>01/06/2024</v>
      </c>
      <c r="J109" s="10" t="str">
        <f>LEFT(Table22[[#This Row],[Date_of_Admission Cleaned 3]],10)</f>
        <v>01/06/2024</v>
      </c>
      <c r="K109" s="27" t="str">
        <f>RIGHT(Table22[[#This Row],[Date_of_Admission Cleaned 4]],4)</f>
        <v>2024</v>
      </c>
      <c r="L109" s="27" t="str">
        <f t="shared" si="43"/>
        <v>2024</v>
      </c>
      <c r="M109" t="s">
        <v>711</v>
      </c>
      <c r="N109" s="15" t="str">
        <f t="shared" si="44"/>
        <v>2023/06/11</v>
      </c>
      <c r="O109" s="15" t="str">
        <f t="shared" si="45"/>
        <v>2023/06/11</v>
      </c>
      <c r="P109" s="10" t="str">
        <f t="shared" si="68"/>
        <v>11/06/2023</v>
      </c>
      <c r="Q109" s="27" t="str">
        <f>RIGHT(Table22[[#This Row],[Date_of_Diagnosis Cleaned 3]],4)</f>
        <v>2023</v>
      </c>
      <c r="R109" s="27" t="str">
        <f t="shared" si="70"/>
        <v>2023</v>
      </c>
      <c r="S109" t="s">
        <v>652</v>
      </c>
      <c r="T109" s="21" t="str">
        <f t="shared" si="47"/>
        <v>9/8/2016</v>
      </c>
      <c r="U109" s="21" t="str">
        <f t="shared" si="69"/>
        <v>08/09/2016</v>
      </c>
      <c r="V109" s="21" t="str">
        <f t="shared" si="48"/>
        <v>08/09/2016</v>
      </c>
      <c r="W109" s="16" t="str">
        <f t="shared" si="49"/>
        <v>08/09/2016</v>
      </c>
      <c r="X109" s="28" t="str">
        <f>RIGHT(Table22[[#This Row],[Date_of_Treatment_Start Cleaned 4]],4)</f>
        <v>2016</v>
      </c>
      <c r="Y109" s="6" t="s">
        <v>934</v>
      </c>
      <c r="Z109" s="15" t="str">
        <f t="shared" si="50"/>
        <v>30/03/2023</v>
      </c>
      <c r="AA109" s="15" t="str">
        <f t="shared" si="51"/>
        <v>30/03/2023</v>
      </c>
      <c r="AB109" s="15" t="str">
        <f t="shared" si="71"/>
        <v>30/03/2023</v>
      </c>
      <c r="AC109" s="15" t="str">
        <f>LEFT(Table22[[#This Row],[Date_of_Surgery Cleaned 3]],10)</f>
        <v>30/03/2023</v>
      </c>
      <c r="AD109" s="15" t="str">
        <f t="shared" si="72"/>
        <v>30/03/2023</v>
      </c>
      <c r="AE109" s="10" t="str">
        <f t="shared" si="54"/>
        <v>30/03/2023</v>
      </c>
      <c r="AF109" s="27" t="str">
        <f>RIGHT(Table22[[#This Row],[Date_of_Surgery Cleaned 6]],4)</f>
        <v>2023</v>
      </c>
      <c r="AG109" s="27" t="str">
        <f t="shared" si="73"/>
        <v>2023</v>
      </c>
      <c r="AH109" t="s">
        <v>712</v>
      </c>
      <c r="AI109" s="15" t="str">
        <f t="shared" si="56"/>
        <v>28/Sep/2023</v>
      </c>
      <c r="AJ109" s="15" t="str">
        <f t="shared" si="57"/>
        <v>28/Sep/2023</v>
      </c>
      <c r="AK109" s="15" t="str">
        <f t="shared" si="74"/>
        <v>28,09,2023</v>
      </c>
      <c r="AL109" s="10" t="str">
        <f t="shared" si="75"/>
        <v>28/09/2023</v>
      </c>
      <c r="AM109" s="27" t="str">
        <f>RIGHT(Table22[[#This Row],[Date_of_Discharge Cleaned 4]],4)</f>
        <v>2023</v>
      </c>
      <c r="AN109" s="27" t="str">
        <f t="shared" si="76"/>
        <v>2023</v>
      </c>
      <c r="AO109" s="6" t="s">
        <v>951</v>
      </c>
      <c r="AP109" s="15" t="str">
        <f t="shared" si="77"/>
        <v>11-01-2022abc</v>
      </c>
      <c r="AQ109" s="15" t="str">
        <f t="shared" si="62"/>
        <v>11-01-2022abc</v>
      </c>
      <c r="AR109" s="15" t="str">
        <f t="shared" si="78"/>
        <v>11-01-2022abc</v>
      </c>
      <c r="AS109" s="15" t="str">
        <f t="shared" si="64"/>
        <v>11/01/2022abc</v>
      </c>
      <c r="AT109" s="10" t="str">
        <f t="shared" si="65"/>
        <v>11/01/2022</v>
      </c>
      <c r="AU109" s="27" t="str">
        <f>RIGHT(Table22[[#This Row],[Follow_up_Visit Cleaned 5]],4)</f>
        <v>2022</v>
      </c>
      <c r="AV109" s="27" t="str">
        <f t="shared" si="79"/>
        <v>2022</v>
      </c>
    </row>
    <row r="110" spans="1:48" ht="14.25" customHeight="1" x14ac:dyDescent="0.2">
      <c r="A110" t="s">
        <v>713</v>
      </c>
      <c r="B110" t="s">
        <v>714</v>
      </c>
      <c r="C110" s="10" t="str">
        <f t="shared" si="40"/>
        <v>Patient_108</v>
      </c>
      <c r="D110">
        <v>30</v>
      </c>
      <c r="E110" t="s">
        <v>146</v>
      </c>
      <c r="F110" t="s">
        <v>715</v>
      </c>
      <c r="G110" s="15" t="str">
        <f t="shared" si="67"/>
        <v>22/May/2023</v>
      </c>
      <c r="H110" s="15" t="str">
        <f t="shared" si="41"/>
        <v>22/May/2023</v>
      </c>
      <c r="I110" s="15" t="str">
        <f t="shared" si="42"/>
        <v>22/05/2023</v>
      </c>
      <c r="J110" s="10" t="str">
        <f>LEFT(Table22[[#This Row],[Date_of_Admission Cleaned 3]],10)</f>
        <v>22/05/2023</v>
      </c>
      <c r="K110" s="27" t="str">
        <f>RIGHT(Table22[[#This Row],[Date_of_Admission Cleaned 4]],4)</f>
        <v>2023</v>
      </c>
      <c r="L110" s="27" t="str">
        <f t="shared" si="43"/>
        <v>2023</v>
      </c>
      <c r="M110" t="s">
        <v>591</v>
      </c>
      <c r="N110" s="15" t="str">
        <f t="shared" si="44"/>
        <v>14/6/2016</v>
      </c>
      <c r="O110" s="15" t="str">
        <f t="shared" si="45"/>
        <v>14/06/2016</v>
      </c>
      <c r="P110" s="10" t="str">
        <f t="shared" si="68"/>
        <v>14/06/2016</v>
      </c>
      <c r="Q110" s="27" t="str">
        <f>RIGHT(Table22[[#This Row],[Date_of_Diagnosis Cleaned 3]],4)</f>
        <v>2016</v>
      </c>
      <c r="R110" s="27" t="str">
        <f t="shared" si="70"/>
        <v>2016</v>
      </c>
      <c r="S110" t="s">
        <v>658</v>
      </c>
      <c r="T110" s="21" t="str">
        <f t="shared" si="47"/>
        <v>9/9/2016</v>
      </c>
      <c r="U110" s="21" t="str">
        <f t="shared" si="69"/>
        <v>09/09/2016</v>
      </c>
      <c r="V110" s="21" t="str">
        <f t="shared" si="48"/>
        <v>09/09/2016</v>
      </c>
      <c r="W110" s="16" t="str">
        <f t="shared" si="49"/>
        <v>09/09/2016</v>
      </c>
      <c r="X110" s="28" t="str">
        <f>RIGHT(Table22[[#This Row],[Date_of_Treatment_Start Cleaned 4]],4)</f>
        <v>2016</v>
      </c>
      <c r="Y110" t="s">
        <v>716</v>
      </c>
      <c r="Z110" s="15" t="str">
        <f t="shared" si="50"/>
        <v>24/12/2023</v>
      </c>
      <c r="AA110" s="15" t="str">
        <f t="shared" si="51"/>
        <v>24/12/2023</v>
      </c>
      <c r="AB110" s="15" t="str">
        <f t="shared" si="71"/>
        <v>24/12/2023</v>
      </c>
      <c r="AC110" s="15" t="str">
        <f>LEFT(Table22[[#This Row],[Date_of_Surgery Cleaned 3]],10)</f>
        <v>24/12/2023</v>
      </c>
      <c r="AD110" s="15" t="str">
        <f t="shared" si="72"/>
        <v>24/12/2023</v>
      </c>
      <c r="AE110" s="10" t="str">
        <f t="shared" si="54"/>
        <v>24/12/2023</v>
      </c>
      <c r="AF110" s="27" t="str">
        <f>RIGHT(Table22[[#This Row],[Date_of_Surgery Cleaned 6]],4)</f>
        <v>2023</v>
      </c>
      <c r="AG110" s="27" t="str">
        <f t="shared" si="73"/>
        <v>2023</v>
      </c>
      <c r="AH110" t="s">
        <v>717</v>
      </c>
      <c r="AI110" s="15" t="str">
        <f t="shared" si="56"/>
        <v>11-03-2024</v>
      </c>
      <c r="AJ110" s="15" t="str">
        <f t="shared" si="57"/>
        <v>11-03-2024</v>
      </c>
      <c r="AK110" s="15" t="str">
        <f t="shared" si="74"/>
        <v>03,11,2024</v>
      </c>
      <c r="AL110" s="10" t="str">
        <f t="shared" si="75"/>
        <v>03/11/2024</v>
      </c>
      <c r="AM110" s="27" t="str">
        <f>RIGHT(Table22[[#This Row],[Date_of_Discharge Cleaned 4]],4)</f>
        <v>2024</v>
      </c>
      <c r="AN110" s="27" t="str">
        <f t="shared" si="76"/>
        <v>2024</v>
      </c>
      <c r="AO110" t="s">
        <v>718</v>
      </c>
      <c r="AP110" s="15" t="str">
        <f t="shared" si="77"/>
        <v>04/24/2023</v>
      </c>
      <c r="AQ110" s="15" t="str">
        <f t="shared" si="62"/>
        <v>04/24/2023</v>
      </c>
      <c r="AR110" s="15" t="str">
        <f t="shared" si="78"/>
        <v>24,04,2023</v>
      </c>
      <c r="AS110" s="15" t="str">
        <f t="shared" si="64"/>
        <v>24/04/2023</v>
      </c>
      <c r="AT110" s="10" t="str">
        <f t="shared" si="65"/>
        <v>24/04/2023</v>
      </c>
      <c r="AU110" s="27" t="str">
        <f>RIGHT(Table22[[#This Row],[Follow_up_Visit Cleaned 5]],4)</f>
        <v>2023</v>
      </c>
      <c r="AV110" s="27" t="str">
        <f t="shared" si="79"/>
        <v>2023</v>
      </c>
    </row>
    <row r="111" spans="1:48" ht="14.25" customHeight="1" x14ac:dyDescent="0.2">
      <c r="A111" t="s">
        <v>719</v>
      </c>
      <c r="B111" t="s">
        <v>720</v>
      </c>
      <c r="C111" s="10" t="str">
        <f t="shared" si="40"/>
        <v>Patient_109</v>
      </c>
      <c r="D111">
        <v>27</v>
      </c>
      <c r="E111" t="s">
        <v>146</v>
      </c>
      <c r="F111" t="s">
        <v>721</v>
      </c>
      <c r="G111" s="15" t="str">
        <f t="shared" si="67"/>
        <v>20/05/2024</v>
      </c>
      <c r="H111" s="15" t="str">
        <f t="shared" si="41"/>
        <v>20/05/2024</v>
      </c>
      <c r="I111" s="15" t="str">
        <f t="shared" si="42"/>
        <v>20/05/2024</v>
      </c>
      <c r="J111" s="10" t="str">
        <f>LEFT(Table22[[#This Row],[Date_of_Admission Cleaned 3]],10)</f>
        <v>20/05/2024</v>
      </c>
      <c r="K111" s="27" t="str">
        <f>RIGHT(Table22[[#This Row],[Date_of_Admission Cleaned 4]],4)</f>
        <v>2024</v>
      </c>
      <c r="L111" s="27" t="str">
        <f t="shared" si="43"/>
        <v>2024</v>
      </c>
      <c r="M111" t="s">
        <v>722</v>
      </c>
      <c r="N111" s="15" t="str">
        <f t="shared" si="44"/>
        <v>04/06/2024</v>
      </c>
      <c r="O111" s="15" t="str">
        <f t="shared" si="45"/>
        <v>04/06/2024</v>
      </c>
      <c r="P111" s="10" t="str">
        <f t="shared" si="68"/>
        <v>06/04/2024</v>
      </c>
      <c r="Q111" s="27" t="str">
        <f>RIGHT(Table22[[#This Row],[Date_of_Diagnosis Cleaned 3]],4)</f>
        <v>2024</v>
      </c>
      <c r="R111" s="27" t="str">
        <f t="shared" si="70"/>
        <v>2024</v>
      </c>
      <c r="S111" t="s">
        <v>662</v>
      </c>
      <c r="T111" s="21" t="str">
        <f t="shared" si="47"/>
        <v>9/10/2016</v>
      </c>
      <c r="U111" s="21" t="str">
        <f t="shared" si="69"/>
        <v>10/09/2016</v>
      </c>
      <c r="V111" s="21" t="str">
        <f t="shared" si="48"/>
        <v>10/09/2016</v>
      </c>
      <c r="W111" s="16" t="str">
        <f t="shared" si="49"/>
        <v>10/09/2016</v>
      </c>
      <c r="X111" s="28" t="str">
        <f>RIGHT(Table22[[#This Row],[Date_of_Treatment_Start Cleaned 4]],4)</f>
        <v>2016</v>
      </c>
      <c r="Z111" s="15" t="str">
        <f t="shared" si="50"/>
        <v/>
      </c>
      <c r="AA111" s="15" t="str">
        <f t="shared" si="51"/>
        <v>Unknown</v>
      </c>
      <c r="AB111" s="15" t="str">
        <f t="shared" si="71"/>
        <v>Unknown</v>
      </c>
      <c r="AC111" s="15" t="str">
        <f>LEFT(Table22[[#This Row],[Date_of_Surgery Cleaned 3]],10)</f>
        <v>Unknown</v>
      </c>
      <c r="AD111" s="15" t="str">
        <f t="shared" si="72"/>
        <v>Unknown</v>
      </c>
      <c r="AE111" s="10" t="str">
        <f t="shared" si="54"/>
        <v>Unknown</v>
      </c>
      <c r="AF111" s="27" t="str">
        <f>RIGHT(Table22[[#This Row],[Date_of_Surgery Cleaned 6]],4)</f>
        <v>nown</v>
      </c>
      <c r="AG111" s="27" t="str">
        <f t="shared" si="73"/>
        <v>Unknown</v>
      </c>
      <c r="AH111" t="s">
        <v>198</v>
      </c>
      <c r="AI111" s="15" t="str">
        <f t="shared" si="56"/>
        <v>N/A</v>
      </c>
      <c r="AJ111" s="15" t="str">
        <f t="shared" si="57"/>
        <v>Unknown</v>
      </c>
      <c r="AK111" s="15" t="str">
        <f t="shared" si="74"/>
        <v>Unknown</v>
      </c>
      <c r="AL111" s="10" t="str">
        <f t="shared" si="75"/>
        <v>Unknown</v>
      </c>
      <c r="AM111" s="27" t="str">
        <f>RIGHT(Table22[[#This Row],[Date_of_Discharge Cleaned 4]],4)</f>
        <v>nown</v>
      </c>
      <c r="AN111" s="27" t="str">
        <f t="shared" si="76"/>
        <v>Unknown</v>
      </c>
      <c r="AO111" s="12">
        <v>44927</v>
      </c>
      <c r="AP111" s="15">
        <f t="shared" si="77"/>
        <v>44927</v>
      </c>
      <c r="AQ111" s="15" t="str">
        <f t="shared" si="62"/>
        <v>44927</v>
      </c>
      <c r="AR111" s="15" t="str">
        <f t="shared" si="78"/>
        <v>01,01,2023</v>
      </c>
      <c r="AS111" s="15" t="str">
        <f t="shared" si="64"/>
        <v>01/01/2023</v>
      </c>
      <c r="AT111" s="10" t="str">
        <f t="shared" si="65"/>
        <v>01/01/2023</v>
      </c>
      <c r="AU111" s="27" t="str">
        <f>RIGHT(Table22[[#This Row],[Follow_up_Visit Cleaned 5]],4)</f>
        <v>2023</v>
      </c>
      <c r="AV111" s="27" t="str">
        <f t="shared" si="79"/>
        <v>2023</v>
      </c>
    </row>
    <row r="112" spans="1:48" ht="14.25" customHeight="1" x14ac:dyDescent="0.2">
      <c r="A112" t="s">
        <v>723</v>
      </c>
      <c r="B112" t="s">
        <v>724</v>
      </c>
      <c r="C112" s="10" t="str">
        <f t="shared" si="40"/>
        <v>Patient_110</v>
      </c>
      <c r="D112">
        <v>21</v>
      </c>
      <c r="E112" t="s">
        <v>146</v>
      </c>
      <c r="F112" t="s">
        <v>725</v>
      </c>
      <c r="G112" s="15" t="str">
        <f t="shared" si="67"/>
        <v>Mar/31//2023</v>
      </c>
      <c r="H112" s="15" t="str">
        <f t="shared" si="41"/>
        <v>03/31/2023</v>
      </c>
      <c r="I112" s="15" t="str">
        <f t="shared" si="42"/>
        <v>31/03/2023</v>
      </c>
      <c r="J112" s="10" t="str">
        <f>LEFT(Table22[[#This Row],[Date_of_Admission Cleaned 3]],10)</f>
        <v>31/03/2023</v>
      </c>
      <c r="K112" s="27" t="str">
        <f>RIGHT(Table22[[#This Row],[Date_of_Admission Cleaned 4]],4)</f>
        <v>2023</v>
      </c>
      <c r="L112" s="27" t="str">
        <f t="shared" si="43"/>
        <v>2023</v>
      </c>
      <c r="M112" t="s">
        <v>726</v>
      </c>
      <c r="N112" s="15" t="str">
        <f t="shared" si="44"/>
        <v>Wednesday//November/22//2017</v>
      </c>
      <c r="O112" s="15" t="str">
        <f t="shared" si="45"/>
        <v>11/22/2017</v>
      </c>
      <c r="P112" s="10" t="str">
        <f t="shared" si="68"/>
        <v>22/11/2017</v>
      </c>
      <c r="Q112" s="27" t="str">
        <f>RIGHT(Table22[[#This Row],[Date_of_Diagnosis Cleaned 3]],4)</f>
        <v>2017</v>
      </c>
      <c r="R112" s="27" t="str">
        <f t="shared" si="70"/>
        <v>2017</v>
      </c>
      <c r="S112" t="s">
        <v>667</v>
      </c>
      <c r="T112" s="21" t="str">
        <f t="shared" si="47"/>
        <v>9/11/2016</v>
      </c>
      <c r="U112" s="21" t="str">
        <f t="shared" si="69"/>
        <v>11/09/2016</v>
      </c>
      <c r="V112" s="21" t="str">
        <f t="shared" si="48"/>
        <v>11/09/2016</v>
      </c>
      <c r="W112" s="16" t="str">
        <f t="shared" si="49"/>
        <v>11/09/2016</v>
      </c>
      <c r="X112" s="28" t="str">
        <f>RIGHT(Table22[[#This Row],[Date_of_Treatment_Start Cleaned 4]],4)</f>
        <v>2016</v>
      </c>
      <c r="Y112" t="s">
        <v>727</v>
      </c>
      <c r="Z112" s="15" t="str">
        <f t="shared" si="50"/>
        <v>2024/10/20/00:00:00</v>
      </c>
      <c r="AA112" s="15" t="str">
        <f t="shared" si="51"/>
        <v>2024/10/20/00:00:00</v>
      </c>
      <c r="AB112" s="15" t="str">
        <f t="shared" si="71"/>
        <v>2024/10/20/00:00:00</v>
      </c>
      <c r="AC112" s="15" t="str">
        <f>LEFT(Table22[[#This Row],[Date_of_Surgery Cleaned 3]],10)</f>
        <v>2024/10/20</v>
      </c>
      <c r="AD112" s="15" t="str">
        <f t="shared" si="72"/>
        <v>20,10,2024</v>
      </c>
      <c r="AE112" s="10" t="str">
        <f t="shared" si="54"/>
        <v>20/10/2024</v>
      </c>
      <c r="AF112" s="27" t="str">
        <f>RIGHT(Table22[[#This Row],[Date_of_Surgery Cleaned 6]],4)</f>
        <v>2024</v>
      </c>
      <c r="AG112" s="27" t="str">
        <f t="shared" si="73"/>
        <v>2024</v>
      </c>
      <c r="AH112" t="s">
        <v>728</v>
      </c>
      <c r="AI112" s="15" t="str">
        <f t="shared" si="56"/>
        <v>2023/10/05</v>
      </c>
      <c r="AJ112" s="15" t="str">
        <f t="shared" si="57"/>
        <v>2023/10/05</v>
      </c>
      <c r="AK112" s="15" t="str">
        <f t="shared" si="74"/>
        <v>05,10,2023</v>
      </c>
      <c r="AL112" s="10" t="str">
        <f t="shared" si="75"/>
        <v>05/10/2023</v>
      </c>
      <c r="AM112" s="27" t="str">
        <f>RIGHT(Table22[[#This Row],[Date_of_Discharge Cleaned 4]],4)</f>
        <v>2023</v>
      </c>
      <c r="AN112" s="27" t="str">
        <f t="shared" si="76"/>
        <v>2023</v>
      </c>
      <c r="AO112" t="s">
        <v>234</v>
      </c>
      <c r="AP112" s="15" t="str">
        <f t="shared" si="77"/>
        <v>Late March 2023</v>
      </c>
      <c r="AQ112" s="15" t="str">
        <f t="shared" si="62"/>
        <v>Late 03/ 2023</v>
      </c>
      <c r="AR112" s="15" t="str">
        <f t="shared" si="78"/>
        <v>Late 03/ 2023</v>
      </c>
      <c r="AS112" s="15" t="str">
        <f t="shared" si="64"/>
        <v>30/03/2023</v>
      </c>
      <c r="AT112" s="10" t="str">
        <f t="shared" si="65"/>
        <v>30/03/2023</v>
      </c>
      <c r="AU112" s="27" t="str">
        <f>RIGHT(Table22[[#This Row],[Follow_up_Visit Cleaned 5]],4)</f>
        <v>2023</v>
      </c>
      <c r="AV112" s="27" t="str">
        <f t="shared" si="79"/>
        <v>2023</v>
      </c>
    </row>
    <row r="113" spans="1:48" ht="14.25" customHeight="1" x14ac:dyDescent="0.2">
      <c r="A113" t="s">
        <v>729</v>
      </c>
      <c r="B113" t="s">
        <v>730</v>
      </c>
      <c r="C113" s="10" t="str">
        <f t="shared" si="40"/>
        <v>Patient_111</v>
      </c>
      <c r="D113">
        <v>54</v>
      </c>
      <c r="E113" t="s">
        <v>160</v>
      </c>
      <c r="F113" t="s">
        <v>731</v>
      </c>
      <c r="G113" s="15" t="str">
        <f t="shared" si="67"/>
        <v>18/02/2023</v>
      </c>
      <c r="H113" s="15" t="str">
        <f t="shared" si="41"/>
        <v>18/02/2023</v>
      </c>
      <c r="I113" s="15" t="str">
        <f t="shared" si="42"/>
        <v>18/02/2023</v>
      </c>
      <c r="J113" s="10" t="str">
        <f>LEFT(Table22[[#This Row],[Date_of_Admission Cleaned 3]],10)</f>
        <v>18/02/2023</v>
      </c>
      <c r="K113" s="27" t="str">
        <f>RIGHT(Table22[[#This Row],[Date_of_Admission Cleaned 4]],4)</f>
        <v>2023</v>
      </c>
      <c r="L113" s="27" t="str">
        <f t="shared" si="43"/>
        <v>2023</v>
      </c>
      <c r="M113" t="s">
        <v>732</v>
      </c>
      <c r="N113" s="15" t="str">
        <f t="shared" si="44"/>
        <v>10/07/2023</v>
      </c>
      <c r="O113" s="15" t="str">
        <f t="shared" si="45"/>
        <v>10/07/2023</v>
      </c>
      <c r="P113" s="10" t="str">
        <f t="shared" si="68"/>
        <v>07/10/2023</v>
      </c>
      <c r="Q113" s="27" t="str">
        <f>RIGHT(Table22[[#This Row],[Date_of_Diagnosis Cleaned 3]],4)</f>
        <v>2023</v>
      </c>
      <c r="R113" s="27" t="str">
        <f t="shared" si="70"/>
        <v>2023</v>
      </c>
      <c r="S113" t="s">
        <v>671</v>
      </c>
      <c r="T113" s="21" t="str">
        <f t="shared" si="47"/>
        <v>9/12/2016</v>
      </c>
      <c r="U113" s="21" t="str">
        <f t="shared" si="69"/>
        <v>12/09/2016</v>
      </c>
      <c r="V113" s="21" t="str">
        <f t="shared" si="48"/>
        <v>12/09/2016</v>
      </c>
      <c r="W113" s="16" t="str">
        <f t="shared" si="49"/>
        <v>12/09/2016</v>
      </c>
      <c r="X113" s="28" t="str">
        <f>RIGHT(Table22[[#This Row],[Date_of_Treatment_Start Cleaned 4]],4)</f>
        <v>2016</v>
      </c>
      <c r="Y113" t="s">
        <v>733</v>
      </c>
      <c r="Z113" s="15" t="str">
        <f t="shared" si="50"/>
        <v>02/24/2023</v>
      </c>
      <c r="AA113" s="15" t="str">
        <f t="shared" si="51"/>
        <v>02/24/2023</v>
      </c>
      <c r="AB113" s="15" t="str">
        <f t="shared" si="71"/>
        <v>02/24/2023</v>
      </c>
      <c r="AC113" s="15" t="str">
        <f>LEFT(Table22[[#This Row],[Date_of_Surgery Cleaned 3]],10)</f>
        <v>02/24/2023</v>
      </c>
      <c r="AD113" s="15" t="str">
        <f t="shared" si="72"/>
        <v>24,02,2023</v>
      </c>
      <c r="AE113" s="10" t="str">
        <f t="shared" si="54"/>
        <v>24/02/2023</v>
      </c>
      <c r="AF113" s="27" t="str">
        <f>RIGHT(Table22[[#This Row],[Date_of_Surgery Cleaned 6]],4)</f>
        <v>2023</v>
      </c>
      <c r="AG113" s="27" t="str">
        <f t="shared" si="73"/>
        <v>2023</v>
      </c>
      <c r="AI113" s="15" t="str">
        <f t="shared" si="56"/>
        <v>Unknown</v>
      </c>
      <c r="AJ113" s="15" t="str">
        <f t="shared" si="57"/>
        <v>Unknown</v>
      </c>
      <c r="AK113" s="15" t="str">
        <f t="shared" si="74"/>
        <v>Unknown</v>
      </c>
      <c r="AL113" s="10" t="str">
        <f t="shared" si="75"/>
        <v>Unknown</v>
      </c>
      <c r="AM113" s="27" t="str">
        <f>RIGHT(Table22[[#This Row],[Date_of_Discharge Cleaned 4]],4)</f>
        <v>nown</v>
      </c>
      <c r="AN113" s="27" t="str">
        <f t="shared" si="76"/>
        <v>Unknown</v>
      </c>
      <c r="AO113" t="s">
        <v>234</v>
      </c>
      <c r="AP113" s="15" t="str">
        <f t="shared" si="77"/>
        <v>Late March 2023</v>
      </c>
      <c r="AQ113" s="15" t="str">
        <f t="shared" si="62"/>
        <v>Late 03/ 2023</v>
      </c>
      <c r="AR113" s="15" t="str">
        <f t="shared" si="78"/>
        <v>Late 03/ 2023</v>
      </c>
      <c r="AS113" s="15" t="str">
        <f t="shared" si="64"/>
        <v>30/03/2023</v>
      </c>
      <c r="AT113" s="10" t="str">
        <f t="shared" si="65"/>
        <v>30/03/2023</v>
      </c>
      <c r="AU113" s="27" t="str">
        <f>RIGHT(Table22[[#This Row],[Follow_up_Visit Cleaned 5]],4)</f>
        <v>2023</v>
      </c>
      <c r="AV113" s="27" t="str">
        <f t="shared" si="79"/>
        <v>2023</v>
      </c>
    </row>
    <row r="114" spans="1:48" ht="14.25" customHeight="1" x14ac:dyDescent="0.2">
      <c r="A114" t="s">
        <v>734</v>
      </c>
      <c r="B114" t="s">
        <v>735</v>
      </c>
      <c r="C114" s="10" t="str">
        <f t="shared" si="40"/>
        <v>Patient_112</v>
      </c>
      <c r="D114">
        <v>54</v>
      </c>
      <c r="E114" t="s">
        <v>160</v>
      </c>
      <c r="F114" t="s">
        <v>199</v>
      </c>
      <c r="G114" s="15" t="str">
        <f t="shared" si="67"/>
        <v>22/08/2023</v>
      </c>
      <c r="H114" s="15" t="str">
        <f t="shared" si="41"/>
        <v>22/08/2023</v>
      </c>
      <c r="I114" s="15" t="str">
        <f t="shared" si="42"/>
        <v>22/08/2023</v>
      </c>
      <c r="J114" s="10" t="str">
        <f>LEFT(Table22[[#This Row],[Date_of_Admission Cleaned 3]],10)</f>
        <v>22/08/2023</v>
      </c>
      <c r="K114" s="27" t="str">
        <f>RIGHT(Table22[[#This Row],[Date_of_Admission Cleaned 4]],4)</f>
        <v>2023</v>
      </c>
      <c r="L114" s="27" t="str">
        <f t="shared" si="43"/>
        <v>2023</v>
      </c>
      <c r="M114" t="s">
        <v>591</v>
      </c>
      <c r="N114" s="15" t="str">
        <f t="shared" si="44"/>
        <v>14/6/2016</v>
      </c>
      <c r="O114" s="15" t="str">
        <f t="shared" si="45"/>
        <v>14/06/2016</v>
      </c>
      <c r="P114" s="10" t="str">
        <f t="shared" si="68"/>
        <v>14/06/2016</v>
      </c>
      <c r="Q114" s="27" t="str">
        <f>RIGHT(Table22[[#This Row],[Date_of_Diagnosis Cleaned 3]],4)</f>
        <v>2016</v>
      </c>
      <c r="R114" s="27" t="str">
        <f t="shared" si="70"/>
        <v>2016</v>
      </c>
      <c r="S114" t="s">
        <v>679</v>
      </c>
      <c r="T114" s="21" t="str">
        <f t="shared" si="47"/>
        <v>9/1/2017</v>
      </c>
      <c r="U114" s="21" t="str">
        <f t="shared" si="69"/>
        <v>01/09/2017</v>
      </c>
      <c r="V114" s="21" t="str">
        <f t="shared" si="48"/>
        <v>01/09/2017</v>
      </c>
      <c r="W114" s="16" t="str">
        <f t="shared" si="49"/>
        <v>01/09/2017</v>
      </c>
      <c r="X114" s="28" t="str">
        <f>RIGHT(Table22[[#This Row],[Date_of_Treatment_Start Cleaned 4]],4)</f>
        <v>2017</v>
      </c>
      <c r="Y114" s="6" t="s">
        <v>935</v>
      </c>
      <c r="Z114" s="15" t="str">
        <f t="shared" si="50"/>
        <v>29/05/2024/00:00:00</v>
      </c>
      <c r="AA114" s="15" t="str">
        <f t="shared" si="51"/>
        <v>29/05/2024/00:00:00</v>
      </c>
      <c r="AB114" s="15" t="str">
        <f t="shared" si="71"/>
        <v>29/05/2024/00:00:00</v>
      </c>
      <c r="AC114" s="15" t="str">
        <f>LEFT(Table22[[#This Row],[Date_of_Surgery Cleaned 3]],10)</f>
        <v>29/05/2024</v>
      </c>
      <c r="AD114" s="15" t="str">
        <f t="shared" si="72"/>
        <v>29/05/2024</v>
      </c>
      <c r="AE114" s="10" t="str">
        <f t="shared" si="54"/>
        <v>29/05/2024</v>
      </c>
      <c r="AF114" s="27" t="str">
        <f>RIGHT(Table22[[#This Row],[Date_of_Surgery Cleaned 6]],4)</f>
        <v>2024</v>
      </c>
      <c r="AG114" s="27" t="str">
        <f t="shared" si="73"/>
        <v>2024</v>
      </c>
      <c r="AH114" t="s">
        <v>737</v>
      </c>
      <c r="AI114" s="15" t="str">
        <f t="shared" si="56"/>
        <v>08/19/2023</v>
      </c>
      <c r="AJ114" s="15" t="str">
        <f t="shared" si="57"/>
        <v>08/19/2023</v>
      </c>
      <c r="AK114" s="15" t="str">
        <f t="shared" si="74"/>
        <v>19,08,2023</v>
      </c>
      <c r="AL114" s="10" t="str">
        <f t="shared" si="75"/>
        <v>19/08/2023</v>
      </c>
      <c r="AM114" s="27" t="str">
        <f>RIGHT(Table22[[#This Row],[Date_of_Discharge Cleaned 4]],4)</f>
        <v>2023</v>
      </c>
      <c r="AN114" s="27" t="str">
        <f t="shared" si="76"/>
        <v>2023</v>
      </c>
      <c r="AO114" t="s">
        <v>187</v>
      </c>
      <c r="AP114" s="15" t="str">
        <f t="shared" si="77"/>
        <v>03/04/2023</v>
      </c>
      <c r="AQ114" s="15" t="str">
        <f t="shared" si="62"/>
        <v>03/04/2023</v>
      </c>
      <c r="AR114" s="15" t="str">
        <f t="shared" si="78"/>
        <v>04,03,2023</v>
      </c>
      <c r="AS114" s="15" t="str">
        <f t="shared" si="64"/>
        <v>04/03/2023</v>
      </c>
      <c r="AT114" s="10" t="str">
        <f t="shared" si="65"/>
        <v>04/03/2023</v>
      </c>
      <c r="AU114" s="27" t="str">
        <f>RIGHT(Table22[[#This Row],[Follow_up_Visit Cleaned 5]],4)</f>
        <v>2023</v>
      </c>
      <c r="AV114" s="27" t="str">
        <f t="shared" si="79"/>
        <v>2023</v>
      </c>
    </row>
    <row r="115" spans="1:48" ht="14.25" customHeight="1" x14ac:dyDescent="0.2">
      <c r="A115" t="s">
        <v>738</v>
      </c>
      <c r="B115" t="s">
        <v>739</v>
      </c>
      <c r="C115" s="10" t="str">
        <f t="shared" si="40"/>
        <v>Patient_113</v>
      </c>
      <c r="D115">
        <v>52</v>
      </c>
      <c r="E115" t="s">
        <v>146</v>
      </c>
      <c r="F115" t="s">
        <v>206</v>
      </c>
      <c r="G115" s="15" t="str">
        <f t="shared" si="67"/>
        <v>12/14/2023</v>
      </c>
      <c r="H115" s="15" t="str">
        <f t="shared" si="41"/>
        <v>12/14/2023</v>
      </c>
      <c r="I115" s="15" t="str">
        <f t="shared" si="42"/>
        <v>14/12/2023</v>
      </c>
      <c r="J115" s="10" t="str">
        <f>LEFT(Table22[[#This Row],[Date_of_Admission Cleaned 3]],10)</f>
        <v>14/12/2023</v>
      </c>
      <c r="K115" s="27" t="str">
        <f>RIGHT(Table22[[#This Row],[Date_of_Admission Cleaned 4]],4)</f>
        <v>2023</v>
      </c>
      <c r="L115" s="27" t="str">
        <f t="shared" si="43"/>
        <v>2023</v>
      </c>
      <c r="M115" t="s">
        <v>591</v>
      </c>
      <c r="N115" s="15" t="str">
        <f t="shared" si="44"/>
        <v>14/6/2016</v>
      </c>
      <c r="O115" s="15" t="str">
        <f t="shared" si="45"/>
        <v>14/06/2016</v>
      </c>
      <c r="P115" s="10" t="str">
        <f t="shared" si="68"/>
        <v>14/06/2016</v>
      </c>
      <c r="Q115" s="27" t="str">
        <f>RIGHT(Table22[[#This Row],[Date_of_Diagnosis Cleaned 3]],4)</f>
        <v>2016</v>
      </c>
      <c r="R115" s="27" t="str">
        <f t="shared" si="70"/>
        <v>2016</v>
      </c>
      <c r="S115" t="s">
        <v>740</v>
      </c>
      <c r="T115" s="21" t="str">
        <f t="shared" si="47"/>
        <v>9/2/2017</v>
      </c>
      <c r="U115" s="21" t="str">
        <f t="shared" si="69"/>
        <v>02/09/2017</v>
      </c>
      <c r="V115" s="21" t="str">
        <f t="shared" si="48"/>
        <v>02/09/2017</v>
      </c>
      <c r="W115" s="16" t="str">
        <f t="shared" si="49"/>
        <v>02/09/2017</v>
      </c>
      <c r="X115" s="28" t="str">
        <f>RIGHT(Table22[[#This Row],[Date_of_Treatment_Start Cleaned 4]],4)</f>
        <v>2017</v>
      </c>
      <c r="Y115" s="6" t="s">
        <v>936</v>
      </c>
      <c r="Z115" s="15" t="str">
        <f t="shared" si="50"/>
        <v>01/11/2022abc</v>
      </c>
      <c r="AA115" s="15" t="str">
        <f t="shared" si="51"/>
        <v>01/11/2022abc</v>
      </c>
      <c r="AB115" s="15" t="str">
        <f t="shared" si="71"/>
        <v>01/11/2022abc</v>
      </c>
      <c r="AC115" s="15" t="str">
        <f>LEFT(Table22[[#This Row],[Date_of_Surgery Cleaned 3]],10)</f>
        <v>01/11/2022</v>
      </c>
      <c r="AD115" s="15" t="str">
        <f t="shared" si="72"/>
        <v>11,01,2022</v>
      </c>
      <c r="AE115" s="10" t="str">
        <f t="shared" si="54"/>
        <v>11/01/2022</v>
      </c>
      <c r="AF115" s="27" t="str">
        <f>RIGHT(Table22[[#This Row],[Date_of_Surgery Cleaned 6]],4)</f>
        <v>2022</v>
      </c>
      <c r="AG115" s="27" t="str">
        <f t="shared" si="73"/>
        <v>2022</v>
      </c>
      <c r="AH115" t="s">
        <v>741</v>
      </c>
      <c r="AI115" s="15" t="str">
        <f t="shared" si="56"/>
        <v>09/30/2023</v>
      </c>
      <c r="AJ115" s="15" t="str">
        <f t="shared" si="57"/>
        <v>09/30/2023</v>
      </c>
      <c r="AK115" s="15" t="str">
        <f t="shared" si="74"/>
        <v>30,09,2023</v>
      </c>
      <c r="AL115" s="10" t="str">
        <f t="shared" si="75"/>
        <v>30/09/2023</v>
      </c>
      <c r="AM115" s="27" t="str">
        <f>RIGHT(Table22[[#This Row],[Date_of_Discharge Cleaned 4]],4)</f>
        <v>2023</v>
      </c>
      <c r="AN115" s="27" t="str">
        <f t="shared" si="76"/>
        <v>2023</v>
      </c>
      <c r="AO115" t="s">
        <v>742</v>
      </c>
      <c r="AP115" s="15" t="str">
        <f t="shared" si="77"/>
        <v>23-Jun-2024</v>
      </c>
      <c r="AQ115" s="15" t="str">
        <f t="shared" si="62"/>
        <v>23-Jun-2024</v>
      </c>
      <c r="AR115" s="15" t="str">
        <f t="shared" si="78"/>
        <v>23,06,2024</v>
      </c>
      <c r="AS115" s="15" t="str">
        <f t="shared" si="64"/>
        <v>23/06/2024</v>
      </c>
      <c r="AT115" s="10" t="str">
        <f t="shared" si="65"/>
        <v>23/06/2024</v>
      </c>
      <c r="AU115" s="27" t="str">
        <f>RIGHT(Table22[[#This Row],[Follow_up_Visit Cleaned 5]],4)</f>
        <v>2024</v>
      </c>
      <c r="AV115" s="27" t="str">
        <f t="shared" si="79"/>
        <v>2024</v>
      </c>
    </row>
    <row r="116" spans="1:48" ht="14.25" customHeight="1" x14ac:dyDescent="0.2">
      <c r="A116" t="s">
        <v>743</v>
      </c>
      <c r="B116" t="s">
        <v>744</v>
      </c>
      <c r="C116" s="10" t="str">
        <f t="shared" si="40"/>
        <v>Patient_114</v>
      </c>
      <c r="D116">
        <v>24</v>
      </c>
      <c r="E116" t="s">
        <v>146</v>
      </c>
      <c r="F116" t="s">
        <v>211</v>
      </c>
      <c r="G116" s="15" t="str">
        <f t="shared" si="67"/>
        <v>13/02/2024</v>
      </c>
      <c r="H116" s="15" t="str">
        <f t="shared" si="41"/>
        <v>13/02/2024</v>
      </c>
      <c r="I116" s="15" t="str">
        <f t="shared" si="42"/>
        <v>13/02/2024</v>
      </c>
      <c r="J116" s="10" t="str">
        <f>LEFT(Table22[[#This Row],[Date_of_Admission Cleaned 3]],10)</f>
        <v>13/02/2024</v>
      </c>
      <c r="K116" s="27" t="str">
        <f>RIGHT(Table22[[#This Row],[Date_of_Admission Cleaned 4]],4)</f>
        <v>2024</v>
      </c>
      <c r="L116" s="27" t="str">
        <f t="shared" si="43"/>
        <v>2024</v>
      </c>
      <c r="M116" t="s">
        <v>745</v>
      </c>
      <c r="N116" s="15" t="str">
        <f t="shared" si="44"/>
        <v>01/09/2024</v>
      </c>
      <c r="O116" s="15" t="str">
        <f t="shared" si="45"/>
        <v>01/09/2024</v>
      </c>
      <c r="P116" s="10" t="str">
        <f t="shared" si="68"/>
        <v>09/01/2024</v>
      </c>
      <c r="Q116" s="27" t="str">
        <f>RIGHT(Table22[[#This Row],[Date_of_Diagnosis Cleaned 3]],4)</f>
        <v>2024</v>
      </c>
      <c r="R116" s="27" t="str">
        <f t="shared" si="70"/>
        <v>2024</v>
      </c>
      <c r="S116" t="s">
        <v>746</v>
      </c>
      <c r="T116" s="21" t="str">
        <f t="shared" si="47"/>
        <v>9/3/2017</v>
      </c>
      <c r="U116" s="21" t="str">
        <f t="shared" si="69"/>
        <v>03/09/2017</v>
      </c>
      <c r="V116" s="21" t="str">
        <f t="shared" si="48"/>
        <v>03/09/2017</v>
      </c>
      <c r="W116" s="16" t="str">
        <f t="shared" si="49"/>
        <v>03/09/2017</v>
      </c>
      <c r="X116" s="28" t="str">
        <f>RIGHT(Table22[[#This Row],[Date_of_Treatment_Start Cleaned 4]],4)</f>
        <v>2017</v>
      </c>
      <c r="Y116" s="6" t="s">
        <v>937</v>
      </c>
      <c r="Z116" s="15" t="str">
        <f t="shared" si="50"/>
        <v>30/02/2023</v>
      </c>
      <c r="AA116" s="15" t="str">
        <f t="shared" si="51"/>
        <v>30/02/2023</v>
      </c>
      <c r="AB116" s="15" t="str">
        <f t="shared" si="71"/>
        <v>30/02/2023</v>
      </c>
      <c r="AC116" s="15" t="str">
        <f>LEFT(Table22[[#This Row],[Date_of_Surgery Cleaned 3]],10)</f>
        <v>30/02/2023</v>
      </c>
      <c r="AD116" s="15" t="str">
        <f t="shared" si="72"/>
        <v>30/02/2023</v>
      </c>
      <c r="AE116" s="10" t="str">
        <f t="shared" si="54"/>
        <v>30/02/2023</v>
      </c>
      <c r="AF116" s="27" t="str">
        <f>RIGHT(Table22[[#This Row],[Date_of_Surgery Cleaned 6]],4)</f>
        <v>2023</v>
      </c>
      <c r="AG116" s="27" t="str">
        <f t="shared" si="73"/>
        <v>2023</v>
      </c>
      <c r="AH116" t="s">
        <v>747</v>
      </c>
      <c r="AI116" s="15" t="str">
        <f t="shared" si="56"/>
        <v>2023-03-15</v>
      </c>
      <c r="AJ116" s="15" t="str">
        <f t="shared" si="57"/>
        <v>2023-03-15</v>
      </c>
      <c r="AK116" s="15" t="str">
        <f t="shared" si="74"/>
        <v>15,03,2023</v>
      </c>
      <c r="AL116" s="10" t="str">
        <f t="shared" si="75"/>
        <v>15/03/2023</v>
      </c>
      <c r="AM116" s="27" t="str">
        <f>RIGHT(Table22[[#This Row],[Date_of_Discharge Cleaned 4]],4)</f>
        <v>2023</v>
      </c>
      <c r="AN116" s="27" t="str">
        <f t="shared" si="76"/>
        <v>2023</v>
      </c>
      <c r="AO116" t="s">
        <v>234</v>
      </c>
      <c r="AP116" s="15" t="str">
        <f t="shared" si="77"/>
        <v>Late March 2023</v>
      </c>
      <c r="AQ116" s="15" t="str">
        <f t="shared" si="62"/>
        <v>Late 03/ 2023</v>
      </c>
      <c r="AR116" s="15" t="str">
        <f t="shared" si="78"/>
        <v>Late 03/ 2023</v>
      </c>
      <c r="AS116" s="15" t="str">
        <f t="shared" si="64"/>
        <v>30/03/2023</v>
      </c>
      <c r="AT116" s="10" t="str">
        <f t="shared" si="65"/>
        <v>30/03/2023</v>
      </c>
      <c r="AU116" s="27" t="str">
        <f>RIGHT(Table22[[#This Row],[Follow_up_Visit Cleaned 5]],4)</f>
        <v>2023</v>
      </c>
      <c r="AV116" s="27" t="str">
        <f t="shared" si="79"/>
        <v>2023</v>
      </c>
    </row>
    <row r="117" spans="1:48" ht="14.25" customHeight="1" x14ac:dyDescent="0.2">
      <c r="A117" t="s">
        <v>748</v>
      </c>
      <c r="B117" t="s">
        <v>749</v>
      </c>
      <c r="C117" s="10" t="str">
        <f t="shared" si="40"/>
        <v>Patient_115</v>
      </c>
      <c r="D117">
        <v>60</v>
      </c>
      <c r="E117" t="s">
        <v>160</v>
      </c>
      <c r="F117" t="s">
        <v>216</v>
      </c>
      <c r="G117" s="15" t="str">
        <f t="shared" si="67"/>
        <v>04/08/2023</v>
      </c>
      <c r="H117" s="15" t="str">
        <f t="shared" si="41"/>
        <v>04/08/2023</v>
      </c>
      <c r="I117" s="15" t="str">
        <f t="shared" si="42"/>
        <v>08/04/2023</v>
      </c>
      <c r="J117" s="10" t="str">
        <f>LEFT(Table22[[#This Row],[Date_of_Admission Cleaned 3]],10)</f>
        <v>08/04/2023</v>
      </c>
      <c r="K117" s="27" t="str">
        <f>RIGHT(Table22[[#This Row],[Date_of_Admission Cleaned 4]],4)</f>
        <v>2023</v>
      </c>
      <c r="L117" s="27" t="str">
        <f t="shared" si="43"/>
        <v>2023</v>
      </c>
      <c r="M117" t="s">
        <v>750</v>
      </c>
      <c r="N117" s="15" t="str">
        <f t="shared" si="44"/>
        <v>22/Nov/2024</v>
      </c>
      <c r="O117" s="15" t="str">
        <f t="shared" si="45"/>
        <v>22/Nov/2024</v>
      </c>
      <c r="P117" s="10" t="str">
        <f t="shared" si="68"/>
        <v>22/11/2024</v>
      </c>
      <c r="Q117" s="27" t="str">
        <f>RIGHT(Table22[[#This Row],[Date_of_Diagnosis Cleaned 3]],4)</f>
        <v>2024</v>
      </c>
      <c r="R117" s="27" t="str">
        <f t="shared" si="70"/>
        <v>2024</v>
      </c>
      <c r="S117" t="s">
        <v>751</v>
      </c>
      <c r="T117" s="21" t="str">
        <f t="shared" si="47"/>
        <v>7/4/2017</v>
      </c>
      <c r="U117" s="21" t="str">
        <f t="shared" si="69"/>
        <v>04/07/2017</v>
      </c>
      <c r="V117" s="21" t="str">
        <f t="shared" si="48"/>
        <v>04/07/2017</v>
      </c>
      <c r="W117" s="16" t="str">
        <f t="shared" si="49"/>
        <v>04/07/2017</v>
      </c>
      <c r="X117" s="28" t="str">
        <f>RIGHT(Table22[[#This Row],[Date_of_Treatment_Start Cleaned 4]],4)</f>
        <v>2017</v>
      </c>
      <c r="Y117" s="6" t="s">
        <v>938</v>
      </c>
      <c r="Z117" s="15" t="str">
        <f t="shared" si="50"/>
        <v>25/03/2023/00:00:00</v>
      </c>
      <c r="AA117" s="15" t="str">
        <f t="shared" si="51"/>
        <v>25/03/2023/00:00:00</v>
      </c>
      <c r="AB117" s="15" t="str">
        <f t="shared" si="71"/>
        <v>25/03/2023/00:00:00</v>
      </c>
      <c r="AC117" s="15" t="str">
        <f>LEFT(Table22[[#This Row],[Date_of_Surgery Cleaned 3]],10)</f>
        <v>25/03/2023</v>
      </c>
      <c r="AD117" s="15" t="str">
        <f t="shared" si="72"/>
        <v>25/03/2023</v>
      </c>
      <c r="AE117" s="10" t="str">
        <f t="shared" si="54"/>
        <v>25/03/2023</v>
      </c>
      <c r="AF117" s="27" t="str">
        <f>RIGHT(Table22[[#This Row],[Date_of_Surgery Cleaned 6]],4)</f>
        <v>2023</v>
      </c>
      <c r="AG117" s="27" t="str">
        <f t="shared" si="73"/>
        <v>2023</v>
      </c>
      <c r="AH117" t="s">
        <v>198</v>
      </c>
      <c r="AI117" s="15" t="str">
        <f t="shared" si="56"/>
        <v>N/A</v>
      </c>
      <c r="AJ117" s="15" t="str">
        <f t="shared" si="57"/>
        <v>Unknown</v>
      </c>
      <c r="AK117" s="15" t="str">
        <f t="shared" si="74"/>
        <v>Unknown</v>
      </c>
      <c r="AL117" s="10" t="str">
        <f t="shared" si="75"/>
        <v>Unknown</v>
      </c>
      <c r="AM117" s="27" t="str">
        <f>RIGHT(Table22[[#This Row],[Date_of_Discharge Cleaned 4]],4)</f>
        <v>nown</v>
      </c>
      <c r="AN117" s="27" t="str">
        <f t="shared" si="76"/>
        <v>Unknown</v>
      </c>
      <c r="AO117" s="12">
        <v>44927</v>
      </c>
      <c r="AP117" s="15">
        <f t="shared" si="77"/>
        <v>44927</v>
      </c>
      <c r="AQ117" s="15" t="str">
        <f t="shared" si="62"/>
        <v>44927</v>
      </c>
      <c r="AR117" s="15" t="str">
        <f t="shared" si="78"/>
        <v>01,01,2023</v>
      </c>
      <c r="AS117" s="15" t="str">
        <f t="shared" si="64"/>
        <v>01/01/2023</v>
      </c>
      <c r="AT117" s="10" t="str">
        <f t="shared" si="65"/>
        <v>01/01/2023</v>
      </c>
      <c r="AU117" s="27" t="str">
        <f>RIGHT(Table22[[#This Row],[Follow_up_Visit Cleaned 5]],4)</f>
        <v>2023</v>
      </c>
      <c r="AV117" s="27" t="str">
        <f t="shared" si="79"/>
        <v>2023</v>
      </c>
    </row>
    <row r="118" spans="1:48" x14ac:dyDescent="0.2">
      <c r="A118" t="s">
        <v>753</v>
      </c>
      <c r="B118" t="s">
        <v>754</v>
      </c>
      <c r="C118" s="10" t="str">
        <f t="shared" si="40"/>
        <v>Patient_116</v>
      </c>
      <c r="D118">
        <v>47</v>
      </c>
      <c r="E118" t="s">
        <v>146</v>
      </c>
      <c r="F118" s="12">
        <v>43843</v>
      </c>
      <c r="G118" s="15" t="str">
        <f t="shared" si="67"/>
        <v>43843</v>
      </c>
      <c r="H118" s="15" t="str">
        <f t="shared" si="41"/>
        <v>43843</v>
      </c>
      <c r="I118" s="15" t="str">
        <f t="shared" si="42"/>
        <v>13/01/2020</v>
      </c>
      <c r="J118" s="10" t="str">
        <f>LEFT(Table22[[#This Row],[Date_of_Admission Cleaned 3]],10)</f>
        <v>13/01/2020</v>
      </c>
      <c r="K118" s="27" t="str">
        <f>RIGHT(Table22[[#This Row],[Date_of_Admission Cleaned 4]],4)</f>
        <v>2020</v>
      </c>
      <c r="L118" s="27" t="str">
        <f t="shared" si="43"/>
        <v>2020</v>
      </c>
      <c r="M118" t="s">
        <v>755</v>
      </c>
      <c r="N118" s="15" t="str">
        <f t="shared" si="44"/>
        <v>18/02/2024</v>
      </c>
      <c r="O118" s="15" t="str">
        <f t="shared" si="45"/>
        <v>18/02/2024</v>
      </c>
      <c r="P118" s="10" t="str">
        <f t="shared" si="68"/>
        <v>18/02/2024</v>
      </c>
      <c r="Q118" s="27" t="str">
        <f>RIGHT(Table22[[#This Row],[Date_of_Diagnosis Cleaned 3]],4)</f>
        <v>2024</v>
      </c>
      <c r="R118" s="27" t="str">
        <f t="shared" si="70"/>
        <v>2024</v>
      </c>
      <c r="S118" t="s">
        <v>756</v>
      </c>
      <c r="T118" s="21" t="str">
        <f t="shared" si="47"/>
        <v>9/5/2017</v>
      </c>
      <c r="U118" s="21" t="str">
        <f t="shared" si="69"/>
        <v>05/09/2017</v>
      </c>
      <c r="V118" s="21" t="str">
        <f t="shared" si="48"/>
        <v>05/09/2017</v>
      </c>
      <c r="W118" s="16" t="str">
        <f t="shared" si="49"/>
        <v>05/09/2017</v>
      </c>
      <c r="X118" s="28" t="str">
        <f>RIGHT(Table22[[#This Row],[Date_of_Treatment_Start Cleaned 4]],4)</f>
        <v>2017</v>
      </c>
      <c r="Y118" s="6" t="s">
        <v>936</v>
      </c>
      <c r="Z118" s="15" t="str">
        <f t="shared" si="50"/>
        <v>01/11/2022abc</v>
      </c>
      <c r="AA118" s="15" t="str">
        <f t="shared" si="51"/>
        <v>01/11/2022abc</v>
      </c>
      <c r="AB118" s="15" t="str">
        <f t="shared" si="71"/>
        <v>01/11/2022abc</v>
      </c>
      <c r="AC118" s="15" t="str">
        <f>LEFT(Table22[[#This Row],[Date_of_Surgery Cleaned 3]],10)</f>
        <v>01/11/2022</v>
      </c>
      <c r="AD118" s="15" t="str">
        <f t="shared" si="72"/>
        <v>11,01,2022</v>
      </c>
      <c r="AE118" s="10" t="str">
        <f t="shared" si="54"/>
        <v>11/01/2022</v>
      </c>
      <c r="AF118" s="27" t="str">
        <f>RIGHT(Table22[[#This Row],[Date_of_Surgery Cleaned 6]],4)</f>
        <v>2022</v>
      </c>
      <c r="AG118" s="27" t="str">
        <f t="shared" si="73"/>
        <v>2022</v>
      </c>
      <c r="AH118" t="s">
        <v>757</v>
      </c>
      <c r="AI118" s="15" t="str">
        <f t="shared" si="56"/>
        <v>2023/11/11</v>
      </c>
      <c r="AJ118" s="15" t="str">
        <f t="shared" si="57"/>
        <v>2023/11/11</v>
      </c>
      <c r="AK118" s="15" t="str">
        <f t="shared" si="74"/>
        <v>11,11,2023</v>
      </c>
      <c r="AL118" s="10" t="str">
        <f t="shared" si="75"/>
        <v>11/11/2023</v>
      </c>
      <c r="AM118" s="27" t="str">
        <f>RIGHT(Table22[[#This Row],[Date_of_Discharge Cleaned 4]],4)</f>
        <v>2023</v>
      </c>
      <c r="AN118" s="27" t="str">
        <f t="shared" si="76"/>
        <v>2023</v>
      </c>
      <c r="AO118" t="s">
        <v>198</v>
      </c>
      <c r="AP118" s="15" t="str">
        <f t="shared" si="77"/>
        <v>N/A</v>
      </c>
      <c r="AQ118" s="15" t="str">
        <f t="shared" si="62"/>
        <v>Unknown</v>
      </c>
      <c r="AR118" s="15" t="str">
        <f t="shared" si="78"/>
        <v>Unknown</v>
      </c>
      <c r="AS118" s="15" t="str">
        <f t="shared" si="64"/>
        <v>Unknown</v>
      </c>
      <c r="AT118" s="10" t="str">
        <f t="shared" si="65"/>
        <v>Unknown</v>
      </c>
      <c r="AU118" s="27" t="str">
        <f>RIGHT(Table22[[#This Row],[Follow_up_Visit Cleaned 5]],4)</f>
        <v>nown</v>
      </c>
      <c r="AV118" s="27" t="str">
        <f t="shared" si="79"/>
        <v>Unknown</v>
      </c>
    </row>
    <row r="119" spans="1:48" ht="14.25" customHeight="1" x14ac:dyDescent="0.2">
      <c r="A119" t="s">
        <v>758</v>
      </c>
      <c r="B119" t="s">
        <v>759</v>
      </c>
      <c r="C119" s="10" t="str">
        <f t="shared" si="40"/>
        <v>Patient_117</v>
      </c>
      <c r="D119">
        <v>26</v>
      </c>
      <c r="E119" t="s">
        <v>160</v>
      </c>
      <c r="F119" t="s">
        <v>198</v>
      </c>
      <c r="G119" s="15" t="str">
        <f t="shared" si="67"/>
        <v>Unknown</v>
      </c>
      <c r="H119" s="15" t="str">
        <f t="shared" si="41"/>
        <v>Unknown</v>
      </c>
      <c r="I119" s="15" t="str">
        <f t="shared" si="42"/>
        <v>Unknown</v>
      </c>
      <c r="J119" s="10" t="str">
        <f>LEFT(Table22[[#This Row],[Date_of_Admission Cleaned 3]],10)</f>
        <v>Unknown</v>
      </c>
      <c r="K119" s="27" t="str">
        <f>RIGHT(Table22[[#This Row],[Date_of_Admission Cleaned 4]],4)</f>
        <v>nown</v>
      </c>
      <c r="L119" s="27" t="str">
        <f t="shared" si="43"/>
        <v>Unknown</v>
      </c>
      <c r="M119" t="s">
        <v>760</v>
      </c>
      <c r="N119" s="15" t="str">
        <f t="shared" si="44"/>
        <v>06/Aug/2024</v>
      </c>
      <c r="O119" s="15" t="str">
        <f t="shared" si="45"/>
        <v>06/Aug/2024</v>
      </c>
      <c r="P119" s="10" t="str">
        <f t="shared" si="68"/>
        <v>06/08/2024</v>
      </c>
      <c r="Q119" s="27" t="str">
        <f>RIGHT(Table22[[#This Row],[Date_of_Diagnosis Cleaned 3]],4)</f>
        <v>2024</v>
      </c>
      <c r="R119" s="27" t="str">
        <f t="shared" si="70"/>
        <v>2024</v>
      </c>
      <c r="S119" t="s">
        <v>761</v>
      </c>
      <c r="T119" s="21" t="str">
        <f t="shared" si="47"/>
        <v>9/6/2017</v>
      </c>
      <c r="U119" s="21" t="str">
        <f t="shared" si="69"/>
        <v>06/09/2017</v>
      </c>
      <c r="V119" s="21" t="str">
        <f t="shared" si="48"/>
        <v>06/09/2017</v>
      </c>
      <c r="W119" s="16" t="str">
        <f t="shared" si="49"/>
        <v>06/09/2017</v>
      </c>
      <c r="X119" s="28" t="str">
        <f>RIGHT(Table22[[#This Row],[Date_of_Treatment_Start Cleaned 4]],4)</f>
        <v>2017</v>
      </c>
      <c r="Y119" s="6" t="s">
        <v>937</v>
      </c>
      <c r="Z119" s="15" t="str">
        <f t="shared" si="50"/>
        <v>30/02/2023</v>
      </c>
      <c r="AA119" s="15" t="str">
        <f t="shared" si="51"/>
        <v>30/02/2023</v>
      </c>
      <c r="AB119" s="15" t="str">
        <f t="shared" si="71"/>
        <v>30/02/2023</v>
      </c>
      <c r="AC119" s="15" t="str">
        <f>LEFT(Table22[[#This Row],[Date_of_Surgery Cleaned 3]],10)</f>
        <v>30/02/2023</v>
      </c>
      <c r="AD119" s="15" t="str">
        <f t="shared" si="72"/>
        <v>30/02/2023</v>
      </c>
      <c r="AE119" s="10" t="str">
        <f t="shared" si="54"/>
        <v>30/02/2023</v>
      </c>
      <c r="AF119" s="27" t="str">
        <f>RIGHT(Table22[[#This Row],[Date_of_Surgery Cleaned 6]],4)</f>
        <v>2023</v>
      </c>
      <c r="AG119" s="27" t="str">
        <f t="shared" si="73"/>
        <v>2023</v>
      </c>
      <c r="AH119" t="s">
        <v>762</v>
      </c>
      <c r="AI119" s="15" t="str">
        <f t="shared" si="56"/>
        <v>25-03-2024</v>
      </c>
      <c r="AJ119" s="15" t="str">
        <f t="shared" si="57"/>
        <v>25-03-2024</v>
      </c>
      <c r="AK119" s="15" t="str">
        <f t="shared" si="74"/>
        <v>25-03-2024</v>
      </c>
      <c r="AL119" s="10" t="str">
        <f t="shared" si="75"/>
        <v>25/03/2024</v>
      </c>
      <c r="AM119" s="27" t="str">
        <f>RIGHT(Table22[[#This Row],[Date_of_Discharge Cleaned 4]],4)</f>
        <v>2024</v>
      </c>
      <c r="AN119" s="27" t="str">
        <f t="shared" si="76"/>
        <v>2024</v>
      </c>
      <c r="AO119" s="6" t="s">
        <v>937</v>
      </c>
      <c r="AP119" s="15" t="str">
        <f t="shared" si="77"/>
        <v>30-02-2023</v>
      </c>
      <c r="AQ119" s="15" t="str">
        <f t="shared" si="62"/>
        <v>30-02-2023</v>
      </c>
      <c r="AR119" s="15" t="str">
        <f t="shared" si="78"/>
        <v>30-02-2023</v>
      </c>
      <c r="AS119" s="15" t="str">
        <f t="shared" si="64"/>
        <v>30/02/2023</v>
      </c>
      <c r="AT119" s="10" t="str">
        <f t="shared" si="65"/>
        <v>30/02/2023</v>
      </c>
      <c r="AU119" s="27" t="str">
        <f>RIGHT(Table22[[#This Row],[Follow_up_Visit Cleaned 5]],4)</f>
        <v>2023</v>
      </c>
      <c r="AV119" s="27" t="str">
        <f t="shared" si="79"/>
        <v>2023</v>
      </c>
    </row>
    <row r="120" spans="1:48" ht="14.25" customHeight="1" x14ac:dyDescent="0.2">
      <c r="A120" t="s">
        <v>763</v>
      </c>
      <c r="B120" t="s">
        <v>764</v>
      </c>
      <c r="C120" s="10" t="str">
        <f t="shared" si="40"/>
        <v>Patient_118</v>
      </c>
      <c r="D120">
        <v>31</v>
      </c>
      <c r="E120" t="s">
        <v>160</v>
      </c>
      <c r="F120" t="s">
        <v>765</v>
      </c>
      <c r="G120" s="15" t="str">
        <f t="shared" si="67"/>
        <v>08/03/2024</v>
      </c>
      <c r="H120" s="15" t="str">
        <f t="shared" si="41"/>
        <v>08/03/2024</v>
      </c>
      <c r="I120" s="15" t="str">
        <f t="shared" si="42"/>
        <v>03/08/2024</v>
      </c>
      <c r="J120" s="10" t="str">
        <f>LEFT(Table22[[#This Row],[Date_of_Admission Cleaned 3]],10)</f>
        <v>03/08/2024</v>
      </c>
      <c r="K120" s="27" t="str">
        <f>RIGHT(Table22[[#This Row],[Date_of_Admission Cleaned 4]],4)</f>
        <v>2024</v>
      </c>
      <c r="L120" s="27" t="str">
        <f t="shared" si="43"/>
        <v>2024</v>
      </c>
      <c r="M120" t="s">
        <v>766</v>
      </c>
      <c r="N120" s="15" t="str">
        <f t="shared" si="44"/>
        <v>2024/08/15</v>
      </c>
      <c r="O120" s="15" t="str">
        <f t="shared" si="45"/>
        <v>2024/08/15</v>
      </c>
      <c r="P120" s="10" t="str">
        <f t="shared" si="68"/>
        <v>15/08/2024</v>
      </c>
      <c r="Q120" s="27" t="str">
        <f>RIGHT(Table22[[#This Row],[Date_of_Diagnosis Cleaned 3]],4)</f>
        <v>2024</v>
      </c>
      <c r="R120" s="27" t="str">
        <f t="shared" si="70"/>
        <v>2024</v>
      </c>
      <c r="S120" t="s">
        <v>767</v>
      </c>
      <c r="T120" s="21" t="str">
        <f t="shared" si="47"/>
        <v>7/7/2017</v>
      </c>
      <c r="U120" s="21" t="str">
        <f t="shared" si="69"/>
        <v>07/07/2017</v>
      </c>
      <c r="V120" s="21" t="str">
        <f t="shared" si="48"/>
        <v>07/07/2017</v>
      </c>
      <c r="W120" s="16" t="str">
        <f t="shared" si="49"/>
        <v>07/07/2017</v>
      </c>
      <c r="X120" s="28" t="str">
        <f>RIGHT(Table22[[#This Row],[Date_of_Treatment_Start Cleaned 4]],4)</f>
        <v>2017</v>
      </c>
      <c r="Z120" s="15" t="str">
        <f t="shared" si="50"/>
        <v/>
      </c>
      <c r="AA120" s="15" t="str">
        <f t="shared" si="51"/>
        <v>Unknown</v>
      </c>
      <c r="AB120" s="15" t="str">
        <f t="shared" si="71"/>
        <v>Unknown</v>
      </c>
      <c r="AC120" s="15" t="str">
        <f>LEFT(Table22[[#This Row],[Date_of_Surgery Cleaned 3]],10)</f>
        <v>Unknown</v>
      </c>
      <c r="AD120" s="15" t="str">
        <f t="shared" si="72"/>
        <v>Unknown</v>
      </c>
      <c r="AE120" s="10" t="str">
        <f t="shared" si="54"/>
        <v>Unknown</v>
      </c>
      <c r="AF120" s="27" t="str">
        <f>RIGHT(Table22[[#This Row],[Date_of_Surgery Cleaned 6]],4)</f>
        <v>nown</v>
      </c>
      <c r="AG120" s="27" t="str">
        <f t="shared" si="73"/>
        <v>Unknown</v>
      </c>
      <c r="AI120" s="15" t="str">
        <f t="shared" si="56"/>
        <v>Unknown</v>
      </c>
      <c r="AJ120" s="15" t="str">
        <f t="shared" si="57"/>
        <v>Unknown</v>
      </c>
      <c r="AK120" s="15" t="str">
        <f t="shared" si="74"/>
        <v>Unknown</v>
      </c>
      <c r="AL120" s="10" t="str">
        <f t="shared" si="75"/>
        <v>Unknown</v>
      </c>
      <c r="AM120" s="27" t="str">
        <f>RIGHT(Table22[[#This Row],[Date_of_Discharge Cleaned 4]],4)</f>
        <v>nown</v>
      </c>
      <c r="AN120" s="27" t="str">
        <f t="shared" si="76"/>
        <v>Unknown</v>
      </c>
      <c r="AO120">
        <v>45540</v>
      </c>
      <c r="AP120" s="15">
        <f t="shared" si="77"/>
        <v>45540</v>
      </c>
      <c r="AQ120" s="15" t="str">
        <f t="shared" si="62"/>
        <v>45540</v>
      </c>
      <c r="AR120" s="15" t="str">
        <f t="shared" si="78"/>
        <v>05,09,2024</v>
      </c>
      <c r="AS120" s="15" t="str">
        <f t="shared" si="64"/>
        <v>05/09/2024</v>
      </c>
      <c r="AT120" s="10" t="str">
        <f t="shared" si="65"/>
        <v>05/09/2024</v>
      </c>
      <c r="AU120" s="27" t="str">
        <f>RIGHT(Table22[[#This Row],[Follow_up_Visit Cleaned 5]],4)</f>
        <v>2024</v>
      </c>
      <c r="AV120" s="27" t="str">
        <f t="shared" si="79"/>
        <v>2024</v>
      </c>
    </row>
    <row r="121" spans="1:48" ht="14.25" customHeight="1" x14ac:dyDescent="0.2">
      <c r="A121" t="s">
        <v>768</v>
      </c>
      <c r="B121" t="s">
        <v>769</v>
      </c>
      <c r="C121" s="10" t="str">
        <f t="shared" si="40"/>
        <v>Patient_119</v>
      </c>
      <c r="D121">
        <v>53</v>
      </c>
      <c r="E121" t="s">
        <v>146</v>
      </c>
      <c r="F121" t="s">
        <v>147</v>
      </c>
      <c r="G121" s="15" t="str">
        <f t="shared" si="67"/>
        <v>12/13/2023</v>
      </c>
      <c r="H121" s="15" t="str">
        <f t="shared" si="41"/>
        <v>12/13/2023</v>
      </c>
      <c r="I121" s="15" t="str">
        <f t="shared" si="42"/>
        <v>13/12/2023</v>
      </c>
      <c r="J121" s="10" t="str">
        <f>LEFT(Table22[[#This Row],[Date_of_Admission Cleaned 3]],10)</f>
        <v>13/12/2023</v>
      </c>
      <c r="K121" s="27" t="str">
        <f>RIGHT(Table22[[#This Row],[Date_of_Admission Cleaned 4]],4)</f>
        <v>2023</v>
      </c>
      <c r="L121" s="27" t="str">
        <f t="shared" si="43"/>
        <v>2023</v>
      </c>
      <c r="M121" t="s">
        <v>770</v>
      </c>
      <c r="N121" s="15" t="str">
        <f t="shared" si="44"/>
        <v>26/09/2024</v>
      </c>
      <c r="O121" s="15" t="str">
        <f t="shared" si="45"/>
        <v>26/09/2024</v>
      </c>
      <c r="P121" s="10" t="str">
        <f t="shared" si="68"/>
        <v>26/09/2024</v>
      </c>
      <c r="Q121" s="27" t="str">
        <f>RIGHT(Table22[[#This Row],[Date_of_Diagnosis Cleaned 3]],4)</f>
        <v>2024</v>
      </c>
      <c r="R121" s="27" t="str">
        <f t="shared" si="70"/>
        <v>2024</v>
      </c>
      <c r="S121" t="s">
        <v>771</v>
      </c>
      <c r="T121" s="21" t="str">
        <f t="shared" si="47"/>
        <v>9/8/2017</v>
      </c>
      <c r="U121" s="21" t="str">
        <f t="shared" si="69"/>
        <v>08/09/2017</v>
      </c>
      <c r="V121" s="21" t="str">
        <f t="shared" si="48"/>
        <v>08/09/2017</v>
      </c>
      <c r="W121" s="16" t="str">
        <f t="shared" si="49"/>
        <v>08/09/2017</v>
      </c>
      <c r="X121" s="28" t="str">
        <f>RIGHT(Table22[[#This Row],[Date_of_Treatment_Start Cleaned 4]],4)</f>
        <v>2017</v>
      </c>
      <c r="Y121" s="6" t="s">
        <v>939</v>
      </c>
      <c r="Z121" s="15" t="str">
        <f t="shared" si="50"/>
        <v>13/01/2020</v>
      </c>
      <c r="AA121" s="15" t="str">
        <f t="shared" si="51"/>
        <v>13/01/2020</v>
      </c>
      <c r="AB121" s="15" t="str">
        <f t="shared" si="71"/>
        <v>13/01/2020</v>
      </c>
      <c r="AC121" s="15" t="str">
        <f>LEFT(Table22[[#This Row],[Date_of_Surgery Cleaned 3]],10)</f>
        <v>13/01/2020</v>
      </c>
      <c r="AD121" s="15" t="str">
        <f t="shared" si="72"/>
        <v>13/01/2020</v>
      </c>
      <c r="AE121" s="10" t="str">
        <f t="shared" si="54"/>
        <v>13/01/2020</v>
      </c>
      <c r="AF121" s="27" t="str">
        <f>RIGHT(Table22[[#This Row],[Date_of_Surgery Cleaned 6]],4)</f>
        <v>2020</v>
      </c>
      <c r="AG121" s="27" t="str">
        <f t="shared" si="73"/>
        <v>2020</v>
      </c>
      <c r="AH121" t="s">
        <v>772</v>
      </c>
      <c r="AI121" s="15" t="str">
        <f t="shared" si="56"/>
        <v>2024/04/24</v>
      </c>
      <c r="AJ121" s="15" t="str">
        <f t="shared" si="57"/>
        <v>2024/04/24</v>
      </c>
      <c r="AK121" s="15" t="str">
        <f t="shared" si="74"/>
        <v>24,04,2024</v>
      </c>
      <c r="AL121" s="10" t="str">
        <f t="shared" si="75"/>
        <v>24/04/2024</v>
      </c>
      <c r="AM121" s="27" t="str">
        <f>RIGHT(Table22[[#This Row],[Date_of_Discharge Cleaned 4]],4)</f>
        <v>2024</v>
      </c>
      <c r="AN121" s="27" t="str">
        <f t="shared" si="76"/>
        <v>2024</v>
      </c>
      <c r="AO121" t="s">
        <v>198</v>
      </c>
      <c r="AP121" s="15" t="str">
        <f t="shared" si="77"/>
        <v>N/A</v>
      </c>
      <c r="AQ121" s="15" t="str">
        <f t="shared" si="62"/>
        <v>Unknown</v>
      </c>
      <c r="AR121" s="15" t="str">
        <f t="shared" si="78"/>
        <v>Unknown</v>
      </c>
      <c r="AS121" s="15" t="str">
        <f t="shared" si="64"/>
        <v>Unknown</v>
      </c>
      <c r="AT121" s="10" t="str">
        <f t="shared" si="65"/>
        <v>Unknown</v>
      </c>
      <c r="AU121" s="27" t="str">
        <f>RIGHT(Table22[[#This Row],[Follow_up_Visit Cleaned 5]],4)</f>
        <v>nown</v>
      </c>
      <c r="AV121" s="27" t="str">
        <f t="shared" si="79"/>
        <v>Unknown</v>
      </c>
    </row>
    <row r="122" spans="1:48" ht="14.25" customHeight="1" x14ac:dyDescent="0.2">
      <c r="A122" t="s">
        <v>773</v>
      </c>
      <c r="B122" t="s">
        <v>774</v>
      </c>
      <c r="C122" s="10" t="str">
        <f t="shared" si="40"/>
        <v>Patient_120</v>
      </c>
      <c r="D122">
        <v>52</v>
      </c>
      <c r="E122" t="s">
        <v>146</v>
      </c>
      <c r="F122" t="s">
        <v>775</v>
      </c>
      <c r="G122" s="15" t="str">
        <f t="shared" si="67"/>
        <v>Jan/30//2024</v>
      </c>
      <c r="H122" s="15" t="str">
        <f t="shared" si="41"/>
        <v>01/30/2024</v>
      </c>
      <c r="I122" s="15" t="str">
        <f t="shared" si="42"/>
        <v>30/01/2024</v>
      </c>
      <c r="J122" s="10" t="str">
        <f>LEFT(Table22[[#This Row],[Date_of_Admission Cleaned 3]],10)</f>
        <v>30/01/2024</v>
      </c>
      <c r="K122" s="27" t="str">
        <f>RIGHT(Table22[[#This Row],[Date_of_Admission Cleaned 4]],4)</f>
        <v>2024</v>
      </c>
      <c r="L122" s="27" t="str">
        <f t="shared" si="43"/>
        <v>2024</v>
      </c>
      <c r="M122" t="s">
        <v>776</v>
      </c>
      <c r="N122" s="15" t="str">
        <f t="shared" si="44"/>
        <v>20/4/2019</v>
      </c>
      <c r="O122" s="15" t="str">
        <f t="shared" si="45"/>
        <v>20/04/2019</v>
      </c>
      <c r="P122" s="10" t="str">
        <f t="shared" si="68"/>
        <v>20/04/2019</v>
      </c>
      <c r="Q122" s="27" t="str">
        <f>RIGHT(Table22[[#This Row],[Date_of_Diagnosis Cleaned 3]],4)</f>
        <v>2019</v>
      </c>
      <c r="R122" s="27" t="str">
        <f t="shared" si="70"/>
        <v>2019</v>
      </c>
      <c r="S122" t="s">
        <v>363</v>
      </c>
      <c r="T122" s="21" t="str">
        <f t="shared" si="47"/>
        <v>8/9/2017</v>
      </c>
      <c r="U122" s="21" t="str">
        <f t="shared" si="69"/>
        <v>09/08/2017</v>
      </c>
      <c r="V122" s="21" t="str">
        <f t="shared" si="48"/>
        <v>09/08/2017</v>
      </c>
      <c r="W122" s="16" t="str">
        <f t="shared" si="49"/>
        <v>09/08/2017</v>
      </c>
      <c r="X122" s="28" t="str">
        <f>RIGHT(Table22[[#This Row],[Date_of_Treatment_Start Cleaned 4]],4)</f>
        <v>2017</v>
      </c>
      <c r="Y122" t="s">
        <v>777</v>
      </c>
      <c r="Z122" s="15" t="str">
        <f t="shared" si="50"/>
        <v>Unknown</v>
      </c>
      <c r="AA122" s="15" t="str">
        <f t="shared" si="51"/>
        <v>Unknown</v>
      </c>
      <c r="AB122" s="15" t="str">
        <f t="shared" si="71"/>
        <v>Unknown</v>
      </c>
      <c r="AC122" s="15" t="str">
        <f>LEFT(Table22[[#This Row],[Date_of_Surgery Cleaned 3]],10)</f>
        <v>Unknown</v>
      </c>
      <c r="AD122" s="15" t="str">
        <f t="shared" si="72"/>
        <v>Unknown</v>
      </c>
      <c r="AE122" s="10" t="str">
        <f t="shared" si="54"/>
        <v>Unknown</v>
      </c>
      <c r="AF122" s="27" t="str">
        <f>RIGHT(Table22[[#This Row],[Date_of_Surgery Cleaned 6]],4)</f>
        <v>nown</v>
      </c>
      <c r="AG122" s="27" t="str">
        <f t="shared" si="73"/>
        <v>Unknown</v>
      </c>
      <c r="AH122" t="s">
        <v>778</v>
      </c>
      <c r="AI122" s="15" t="str">
        <f t="shared" si="56"/>
        <v>Dec 17, 2024</v>
      </c>
      <c r="AJ122" s="15" t="str">
        <f t="shared" si="57"/>
        <v>Dec 17, 2024</v>
      </c>
      <c r="AK122" s="15" t="str">
        <f t="shared" si="74"/>
        <v>17,12,2024</v>
      </c>
      <c r="AL122" s="10" t="str">
        <f t="shared" si="75"/>
        <v>17/12/2024</v>
      </c>
      <c r="AM122" s="27" t="str">
        <f>RIGHT(Table22[[#This Row],[Date_of_Discharge Cleaned 4]],4)</f>
        <v>2024</v>
      </c>
      <c r="AN122" s="27" t="str">
        <f t="shared" si="76"/>
        <v>2024</v>
      </c>
      <c r="AO122">
        <v>44958</v>
      </c>
      <c r="AP122" s="15">
        <f t="shared" si="77"/>
        <v>44958</v>
      </c>
      <c r="AQ122" s="15" t="str">
        <f t="shared" si="62"/>
        <v>44958</v>
      </c>
      <c r="AR122" s="15" t="str">
        <f t="shared" si="78"/>
        <v>01,02,2023</v>
      </c>
      <c r="AS122" s="15" t="str">
        <f t="shared" si="64"/>
        <v>01/02/2023</v>
      </c>
      <c r="AT122" s="10" t="str">
        <f t="shared" si="65"/>
        <v>01/02/2023</v>
      </c>
      <c r="AU122" s="27" t="str">
        <f>RIGHT(Table22[[#This Row],[Follow_up_Visit Cleaned 5]],4)</f>
        <v>2023</v>
      </c>
      <c r="AV122" s="27" t="str">
        <f t="shared" si="79"/>
        <v>2023</v>
      </c>
    </row>
    <row r="123" spans="1:48" ht="14.25" customHeight="1" x14ac:dyDescent="0.2">
      <c r="A123" t="s">
        <v>779</v>
      </c>
      <c r="B123" t="s">
        <v>780</v>
      </c>
      <c r="C123" s="10" t="str">
        <f t="shared" si="40"/>
        <v>Patient_121</v>
      </c>
      <c r="D123">
        <v>49</v>
      </c>
      <c r="E123" t="s">
        <v>160</v>
      </c>
      <c r="F123" t="s">
        <v>781</v>
      </c>
      <c r="G123" s="15" t="str">
        <f t="shared" si="67"/>
        <v>05/18/2023</v>
      </c>
      <c r="H123" s="15" t="str">
        <f t="shared" si="41"/>
        <v>05/18/2023</v>
      </c>
      <c r="I123" s="15" t="str">
        <f t="shared" si="42"/>
        <v>18/05/2023</v>
      </c>
      <c r="J123" s="10" t="str">
        <f>LEFT(Table22[[#This Row],[Date_of_Admission Cleaned 3]],10)</f>
        <v>18/05/2023</v>
      </c>
      <c r="K123" s="27" t="str">
        <f>RIGHT(Table22[[#This Row],[Date_of_Admission Cleaned 4]],4)</f>
        <v>2023</v>
      </c>
      <c r="L123" s="27" t="str">
        <f t="shared" si="43"/>
        <v>2023</v>
      </c>
      <c r="M123" t="s">
        <v>726</v>
      </c>
      <c r="N123" s="15" t="str">
        <f t="shared" si="44"/>
        <v>Wednesday//November/22//2017</v>
      </c>
      <c r="O123" s="15" t="str">
        <f t="shared" si="45"/>
        <v>11/22/2017</v>
      </c>
      <c r="P123" s="10" t="str">
        <f t="shared" si="68"/>
        <v>22/11/2017</v>
      </c>
      <c r="Q123" s="27" t="str">
        <f>RIGHT(Table22[[#This Row],[Date_of_Diagnosis Cleaned 3]],4)</f>
        <v>2017</v>
      </c>
      <c r="R123" s="27" t="str">
        <f t="shared" si="70"/>
        <v>2017</v>
      </c>
      <c r="S123" t="s">
        <v>782</v>
      </c>
      <c r="T123" s="21" t="str">
        <f t="shared" si="47"/>
        <v>9/10/2017</v>
      </c>
      <c r="U123" s="21" t="str">
        <f t="shared" si="69"/>
        <v>10/09/2017</v>
      </c>
      <c r="V123" s="21" t="str">
        <f t="shared" si="48"/>
        <v>10/09/2017</v>
      </c>
      <c r="W123" s="16" t="str">
        <f t="shared" si="49"/>
        <v>10/09/2017</v>
      </c>
      <c r="X123" s="28" t="str">
        <f>RIGHT(Table22[[#This Row],[Date_of_Treatment_Start Cleaned 4]],4)</f>
        <v>2017</v>
      </c>
      <c r="Y123" s="6" t="s">
        <v>939</v>
      </c>
      <c r="Z123" s="15" t="str">
        <f t="shared" si="50"/>
        <v>13/01/2020</v>
      </c>
      <c r="AA123" s="15" t="str">
        <f t="shared" si="51"/>
        <v>13/01/2020</v>
      </c>
      <c r="AB123" s="15" t="str">
        <f t="shared" si="71"/>
        <v>13/01/2020</v>
      </c>
      <c r="AC123" s="15" t="str">
        <f>LEFT(Table22[[#This Row],[Date_of_Surgery Cleaned 3]],10)</f>
        <v>13/01/2020</v>
      </c>
      <c r="AD123" s="15" t="str">
        <f t="shared" si="72"/>
        <v>13/01/2020</v>
      </c>
      <c r="AE123" s="10" t="str">
        <f t="shared" si="54"/>
        <v>13/01/2020</v>
      </c>
      <c r="AF123" s="27" t="str">
        <f>RIGHT(Table22[[#This Row],[Date_of_Surgery Cleaned 6]],4)</f>
        <v>2020</v>
      </c>
      <c r="AG123" s="27" t="str">
        <f t="shared" si="73"/>
        <v>2020</v>
      </c>
      <c r="AH123" t="s">
        <v>783</v>
      </c>
      <c r="AI123" s="15" t="str">
        <f t="shared" si="56"/>
        <v>15/Sep/2023</v>
      </c>
      <c r="AJ123" s="15" t="str">
        <f t="shared" si="57"/>
        <v>15/Sep/2023</v>
      </c>
      <c r="AK123" s="15" t="str">
        <f t="shared" si="74"/>
        <v>15,09,2023</v>
      </c>
      <c r="AL123" s="10" t="str">
        <f t="shared" si="75"/>
        <v>15/09/2023</v>
      </c>
      <c r="AM123" s="27" t="str">
        <f>RIGHT(Table22[[#This Row],[Date_of_Discharge Cleaned 4]],4)</f>
        <v>2023</v>
      </c>
      <c r="AN123" s="27" t="str">
        <f t="shared" si="76"/>
        <v>2023</v>
      </c>
      <c r="AO123">
        <v>45235</v>
      </c>
      <c r="AP123" s="15">
        <f t="shared" si="77"/>
        <v>45235</v>
      </c>
      <c r="AQ123" s="15" t="str">
        <f t="shared" si="62"/>
        <v>45235</v>
      </c>
      <c r="AR123" s="15" t="str">
        <f t="shared" si="78"/>
        <v>05,11,2023</v>
      </c>
      <c r="AS123" s="15" t="str">
        <f t="shared" si="64"/>
        <v>05/11/2023</v>
      </c>
      <c r="AT123" s="10" t="str">
        <f t="shared" si="65"/>
        <v>05/11/2023</v>
      </c>
      <c r="AU123" s="27" t="str">
        <f>RIGHT(Table22[[#This Row],[Follow_up_Visit Cleaned 5]],4)</f>
        <v>2023</v>
      </c>
      <c r="AV123" s="27" t="str">
        <f t="shared" si="79"/>
        <v>2023</v>
      </c>
    </row>
    <row r="124" spans="1:48" ht="14.25" customHeight="1" x14ac:dyDescent="0.2">
      <c r="A124" t="s">
        <v>784</v>
      </c>
      <c r="B124" t="s">
        <v>785</v>
      </c>
      <c r="C124" s="10" t="str">
        <f t="shared" si="40"/>
        <v>Patient_122</v>
      </c>
      <c r="D124">
        <v>67</v>
      </c>
      <c r="E124" t="s">
        <v>160</v>
      </c>
      <c r="F124" s="12">
        <v>45537</v>
      </c>
      <c r="G124" s="15" t="str">
        <f t="shared" si="67"/>
        <v>45537</v>
      </c>
      <c r="H124" s="15" t="str">
        <f t="shared" si="41"/>
        <v>45537</v>
      </c>
      <c r="I124" s="15" t="str">
        <f t="shared" si="42"/>
        <v>02/09/2024</v>
      </c>
      <c r="J124" s="10" t="str">
        <f>LEFT(Table22[[#This Row],[Date_of_Admission Cleaned 3]],10)</f>
        <v>02/09/2024</v>
      </c>
      <c r="K124" s="27" t="str">
        <f>RIGHT(Table22[[#This Row],[Date_of_Admission Cleaned 4]],4)</f>
        <v>2024</v>
      </c>
      <c r="L124" s="27" t="str">
        <f t="shared" si="43"/>
        <v>2024</v>
      </c>
      <c r="M124" t="s">
        <v>786</v>
      </c>
      <c r="N124" s="15" t="str">
        <f t="shared" si="44"/>
        <v>05/March/2024</v>
      </c>
      <c r="O124" s="15" t="str">
        <f t="shared" si="45"/>
        <v>05/March/2024</v>
      </c>
      <c r="P124" s="10" t="str">
        <f t="shared" si="68"/>
        <v>05/03/2024</v>
      </c>
      <c r="Q124" s="27" t="str">
        <f>RIGHT(Table22[[#This Row],[Date_of_Diagnosis Cleaned 3]],4)</f>
        <v>2024</v>
      </c>
      <c r="R124" s="27" t="str">
        <f t="shared" si="70"/>
        <v>2024</v>
      </c>
      <c r="S124" t="s">
        <v>687</v>
      </c>
      <c r="T124" s="21" t="str">
        <f t="shared" si="47"/>
        <v>9/12/2018</v>
      </c>
      <c r="U124" s="21" t="str">
        <f t="shared" si="69"/>
        <v>12/09/2018</v>
      </c>
      <c r="V124" s="21" t="str">
        <f t="shared" si="48"/>
        <v>12/09/2018</v>
      </c>
      <c r="W124" s="16" t="str">
        <f t="shared" si="49"/>
        <v>12/09/2018</v>
      </c>
      <c r="X124" s="28" t="str">
        <f>RIGHT(Table22[[#This Row],[Date_of_Treatment_Start Cleaned 4]],4)</f>
        <v>2018</v>
      </c>
      <c r="Y124" s="6" t="s">
        <v>940</v>
      </c>
      <c r="Z124" s="15" t="str">
        <f t="shared" si="50"/>
        <v>01/01/2022/(estimated)</v>
      </c>
      <c r="AA124" s="15" t="str">
        <f t="shared" si="51"/>
        <v>01/01/2022/(estimated)</v>
      </c>
      <c r="AB124" s="15" t="str">
        <f t="shared" si="71"/>
        <v>01/01/2022/(estimated)</v>
      </c>
      <c r="AC124" s="15" t="str">
        <f>LEFT(Table22[[#This Row],[Date_of_Surgery Cleaned 3]],10)</f>
        <v>01/01/2022</v>
      </c>
      <c r="AD124" s="15" t="str">
        <f t="shared" si="72"/>
        <v>01,01,2022</v>
      </c>
      <c r="AE124" s="10" t="str">
        <f t="shared" si="54"/>
        <v>01/01/2022</v>
      </c>
      <c r="AF124" s="27" t="str">
        <f>RIGHT(Table22[[#This Row],[Date_of_Surgery Cleaned 6]],4)</f>
        <v>2022</v>
      </c>
      <c r="AG124" s="27" t="str">
        <f t="shared" si="73"/>
        <v>2022</v>
      </c>
      <c r="AI124" s="15" t="str">
        <f t="shared" si="56"/>
        <v>Unknown</v>
      </c>
      <c r="AJ124" s="15" t="str">
        <f t="shared" si="57"/>
        <v>Unknown</v>
      </c>
      <c r="AK124" s="15" t="str">
        <f t="shared" si="74"/>
        <v>Unknown</v>
      </c>
      <c r="AL124" s="10" t="str">
        <f t="shared" si="75"/>
        <v>Unknown</v>
      </c>
      <c r="AM124" s="27" t="str">
        <f>RIGHT(Table22[[#This Row],[Date_of_Discharge Cleaned 4]],4)</f>
        <v>nown</v>
      </c>
      <c r="AN124" s="27" t="str">
        <f t="shared" si="76"/>
        <v>Unknown</v>
      </c>
      <c r="AO124">
        <v>45067</v>
      </c>
      <c r="AP124" s="15">
        <f t="shared" si="77"/>
        <v>45067</v>
      </c>
      <c r="AQ124" s="15" t="str">
        <f t="shared" si="62"/>
        <v>45067</v>
      </c>
      <c r="AR124" s="15" t="str">
        <f t="shared" si="78"/>
        <v>21,05,2023</v>
      </c>
      <c r="AS124" s="15" t="str">
        <f t="shared" si="64"/>
        <v>21/05/2023</v>
      </c>
      <c r="AT124" s="10" t="str">
        <f t="shared" si="65"/>
        <v>21/05/2023</v>
      </c>
      <c r="AU124" s="27" t="str">
        <f>RIGHT(Table22[[#This Row],[Follow_up_Visit Cleaned 5]],4)</f>
        <v>2023</v>
      </c>
      <c r="AV124" s="27" t="str">
        <f t="shared" si="79"/>
        <v>2023</v>
      </c>
    </row>
    <row r="125" spans="1:48" ht="14.25" customHeight="1" x14ac:dyDescent="0.2">
      <c r="A125" t="s">
        <v>787</v>
      </c>
      <c r="B125" t="s">
        <v>788</v>
      </c>
      <c r="C125" s="10" t="str">
        <f t="shared" si="40"/>
        <v>Patient_123</v>
      </c>
      <c r="D125">
        <v>42</v>
      </c>
      <c r="E125" t="s">
        <v>160</v>
      </c>
      <c r="F125" t="s">
        <v>147</v>
      </c>
      <c r="G125" s="15" t="str">
        <f t="shared" si="67"/>
        <v>12/13/2023</v>
      </c>
      <c r="H125" s="15" t="str">
        <f t="shared" si="41"/>
        <v>12/13/2023</v>
      </c>
      <c r="I125" s="15" t="str">
        <f t="shared" si="42"/>
        <v>13/12/2023</v>
      </c>
      <c r="J125" s="10" t="str">
        <f>LEFT(Table22[[#This Row],[Date_of_Admission Cleaned 3]],10)</f>
        <v>13/12/2023</v>
      </c>
      <c r="K125" s="27" t="str">
        <f>RIGHT(Table22[[#This Row],[Date_of_Admission Cleaned 4]],4)</f>
        <v>2023</v>
      </c>
      <c r="L125" s="27" t="str">
        <f t="shared" si="43"/>
        <v>2023</v>
      </c>
      <c r="M125" t="s">
        <v>789</v>
      </c>
      <c r="N125" s="15" t="str">
        <f t="shared" si="44"/>
        <v>2023/11/20</v>
      </c>
      <c r="O125" s="15" t="str">
        <f t="shared" si="45"/>
        <v>2023/11/20</v>
      </c>
      <c r="P125" s="10" t="str">
        <f t="shared" si="68"/>
        <v>20/11/2023</v>
      </c>
      <c r="Q125" s="27" t="str">
        <f>RIGHT(Table22[[#This Row],[Date_of_Diagnosis Cleaned 3]],4)</f>
        <v>2023</v>
      </c>
      <c r="R125" s="27" t="str">
        <f t="shared" si="70"/>
        <v>2023</v>
      </c>
      <c r="S125" t="s">
        <v>790</v>
      </c>
      <c r="T125" s="21" t="str">
        <f t="shared" si="47"/>
        <v>10/12/2018</v>
      </c>
      <c r="U125" s="21" t="str">
        <f t="shared" si="69"/>
        <v>12/10/2018</v>
      </c>
      <c r="V125" s="21" t="str">
        <f t="shared" si="48"/>
        <v>12/10/2018</v>
      </c>
      <c r="W125" s="16" t="str">
        <f t="shared" si="49"/>
        <v>12/10/2018</v>
      </c>
      <c r="X125" s="28" t="str">
        <f>RIGHT(Table22[[#This Row],[Date_of_Treatment_Start Cleaned 4]],4)</f>
        <v>2018</v>
      </c>
      <c r="Y125" s="6" t="s">
        <v>939</v>
      </c>
      <c r="Z125" s="15" t="str">
        <f t="shared" si="50"/>
        <v>13/01/2020</v>
      </c>
      <c r="AA125" s="15" t="str">
        <f t="shared" si="51"/>
        <v>13/01/2020</v>
      </c>
      <c r="AB125" s="15" t="str">
        <f t="shared" si="71"/>
        <v>13/01/2020</v>
      </c>
      <c r="AC125" s="15" t="str">
        <f>LEFT(Table22[[#This Row],[Date_of_Surgery Cleaned 3]],10)</f>
        <v>13/01/2020</v>
      </c>
      <c r="AD125" s="15" t="str">
        <f t="shared" si="72"/>
        <v>13/01/2020</v>
      </c>
      <c r="AE125" s="10" t="str">
        <f t="shared" si="54"/>
        <v>13/01/2020</v>
      </c>
      <c r="AF125" s="27" t="str">
        <f>RIGHT(Table22[[#This Row],[Date_of_Surgery Cleaned 6]],4)</f>
        <v>2020</v>
      </c>
      <c r="AG125" s="27" t="str">
        <f t="shared" si="73"/>
        <v>2020</v>
      </c>
      <c r="AH125" t="s">
        <v>791</v>
      </c>
      <c r="AI125" s="15" t="str">
        <f t="shared" si="56"/>
        <v>06 October 2023</v>
      </c>
      <c r="AJ125" s="15" t="str">
        <f t="shared" si="57"/>
        <v>06 October 2023</v>
      </c>
      <c r="AK125" s="15" t="str">
        <f t="shared" si="74"/>
        <v>06,10,2023</v>
      </c>
      <c r="AL125" s="10" t="str">
        <f t="shared" si="75"/>
        <v>06/10/2023</v>
      </c>
      <c r="AM125" s="27" t="str">
        <f>RIGHT(Table22[[#This Row],[Date_of_Discharge Cleaned 4]],4)</f>
        <v>2023</v>
      </c>
      <c r="AN125" s="27" t="str">
        <f t="shared" si="76"/>
        <v>2023</v>
      </c>
      <c r="AO125" t="s">
        <v>161</v>
      </c>
      <c r="AP125" s="15" t="str">
        <f t="shared" si="77"/>
        <v>April 31, 2022</v>
      </c>
      <c r="AQ125" s="15" t="str">
        <f t="shared" si="62"/>
        <v>04/ 31, 2022</v>
      </c>
      <c r="AR125" s="15" t="str">
        <f t="shared" si="78"/>
        <v>04/ 31, 2022</v>
      </c>
      <c r="AS125" s="15" t="str">
        <f t="shared" si="64"/>
        <v>04/31/2022</v>
      </c>
      <c r="AT125" s="10" t="str">
        <f t="shared" si="65"/>
        <v>04/31/2022</v>
      </c>
      <c r="AU125" s="27" t="str">
        <f>RIGHT(Table22[[#This Row],[Follow_up_Visit Cleaned 5]],4)</f>
        <v>2022</v>
      </c>
      <c r="AV125" s="27" t="str">
        <f t="shared" si="79"/>
        <v>2022</v>
      </c>
    </row>
    <row r="126" spans="1:48" ht="14.25" customHeight="1" x14ac:dyDescent="0.2">
      <c r="A126" t="s">
        <v>792</v>
      </c>
      <c r="B126" t="s">
        <v>793</v>
      </c>
      <c r="C126" s="10" t="str">
        <f t="shared" si="40"/>
        <v>Patient_124</v>
      </c>
      <c r="D126">
        <v>81</v>
      </c>
      <c r="E126" t="s">
        <v>146</v>
      </c>
      <c r="F126" t="s">
        <v>794</v>
      </c>
      <c r="G126" s="15" t="str">
        <f t="shared" si="67"/>
        <v>2024/06/25</v>
      </c>
      <c r="H126" s="15" t="str">
        <f t="shared" si="41"/>
        <v>2024/06/25</v>
      </c>
      <c r="I126" s="15" t="str">
        <f t="shared" si="42"/>
        <v>25/06/2024</v>
      </c>
      <c r="J126" s="10" t="str">
        <f>LEFT(Table22[[#This Row],[Date_of_Admission Cleaned 3]],10)</f>
        <v>25/06/2024</v>
      </c>
      <c r="K126" s="27" t="str">
        <f>RIGHT(Table22[[#This Row],[Date_of_Admission Cleaned 4]],4)</f>
        <v>2024</v>
      </c>
      <c r="L126" s="27" t="str">
        <f t="shared" si="43"/>
        <v>2024</v>
      </c>
      <c r="M126" t="s">
        <v>795</v>
      </c>
      <c r="N126" s="15" t="str">
        <f t="shared" si="44"/>
        <v>29/07/2023</v>
      </c>
      <c r="O126" s="15" t="str">
        <f t="shared" si="45"/>
        <v>29/07/2023</v>
      </c>
      <c r="P126" s="10" t="str">
        <f t="shared" si="68"/>
        <v>29/07/2023</v>
      </c>
      <c r="Q126" s="27" t="str">
        <f>RIGHT(Table22[[#This Row],[Date_of_Diagnosis Cleaned 3]],4)</f>
        <v>2023</v>
      </c>
      <c r="R126" s="27" t="str">
        <f t="shared" si="70"/>
        <v>2023</v>
      </c>
      <c r="S126" t="s">
        <v>796</v>
      </c>
      <c r="T126" s="21" t="str">
        <f t="shared" si="47"/>
        <v>11/12/2018</v>
      </c>
      <c r="U126" s="21" t="str">
        <f t="shared" si="69"/>
        <v>12/11/2018</v>
      </c>
      <c r="V126" s="21" t="str">
        <f t="shared" si="48"/>
        <v>12/11/2018</v>
      </c>
      <c r="W126" s="16" t="str">
        <f t="shared" si="49"/>
        <v>12/11/2018</v>
      </c>
      <c r="X126" s="28" t="str">
        <f>RIGHT(Table22[[#This Row],[Date_of_Treatment_Start Cleaned 4]],4)</f>
        <v>2018</v>
      </c>
      <c r="Y126" t="s">
        <v>701</v>
      </c>
      <c r="Z126" s="15" t="str">
        <f t="shared" si="50"/>
        <v>Unknown</v>
      </c>
      <c r="AA126" s="15" t="str">
        <f t="shared" si="51"/>
        <v>Unknown</v>
      </c>
      <c r="AB126" s="15" t="str">
        <f t="shared" si="71"/>
        <v>Unknown</v>
      </c>
      <c r="AC126" s="15" t="str">
        <f>LEFT(Table22[[#This Row],[Date_of_Surgery Cleaned 3]],10)</f>
        <v>Unknown</v>
      </c>
      <c r="AD126" s="15" t="str">
        <f t="shared" si="72"/>
        <v>Unknown</v>
      </c>
      <c r="AE126" s="10" t="str">
        <f t="shared" si="54"/>
        <v>Unknown</v>
      </c>
      <c r="AF126" s="27" t="str">
        <f>RIGHT(Table22[[#This Row],[Date_of_Surgery Cleaned 6]],4)</f>
        <v>nown</v>
      </c>
      <c r="AG126" s="27" t="str">
        <f t="shared" si="73"/>
        <v>Unknown</v>
      </c>
      <c r="AI126" s="15" t="str">
        <f t="shared" si="56"/>
        <v>Unknown</v>
      </c>
      <c r="AJ126" s="15" t="str">
        <f t="shared" si="57"/>
        <v>Unknown</v>
      </c>
      <c r="AK126" s="15" t="str">
        <f t="shared" si="74"/>
        <v>Unknown</v>
      </c>
      <c r="AL126" s="10" t="str">
        <f t="shared" si="75"/>
        <v>Unknown</v>
      </c>
      <c r="AM126" s="27" t="str">
        <f>RIGHT(Table22[[#This Row],[Date_of_Discharge Cleaned 4]],4)</f>
        <v>nown</v>
      </c>
      <c r="AN126" s="27" t="str">
        <f t="shared" si="76"/>
        <v>Unknown</v>
      </c>
      <c r="AO126" s="12">
        <v>44927</v>
      </c>
      <c r="AP126" s="15">
        <f t="shared" si="77"/>
        <v>44927</v>
      </c>
      <c r="AQ126" s="15" t="str">
        <f t="shared" si="62"/>
        <v>44927</v>
      </c>
      <c r="AR126" s="15" t="str">
        <f t="shared" si="78"/>
        <v>01,01,2023</v>
      </c>
      <c r="AS126" s="15" t="str">
        <f t="shared" si="64"/>
        <v>01/01/2023</v>
      </c>
      <c r="AT126" s="10" t="str">
        <f t="shared" si="65"/>
        <v>01/01/2023</v>
      </c>
      <c r="AU126" s="27" t="str">
        <f>RIGHT(Table22[[#This Row],[Follow_up_Visit Cleaned 5]],4)</f>
        <v>2023</v>
      </c>
      <c r="AV126" s="27" t="str">
        <f t="shared" si="79"/>
        <v>2023</v>
      </c>
    </row>
    <row r="127" spans="1:48" ht="14.25" customHeight="1" x14ac:dyDescent="0.2">
      <c r="A127" t="s">
        <v>797</v>
      </c>
      <c r="B127" t="s">
        <v>798</v>
      </c>
      <c r="C127" s="10" t="str">
        <f t="shared" si="40"/>
        <v>Patient_125</v>
      </c>
      <c r="D127">
        <v>56</v>
      </c>
      <c r="E127" t="s">
        <v>160</v>
      </c>
      <c r="F127" t="s">
        <v>799</v>
      </c>
      <c r="G127" s="15" t="str">
        <f t="shared" si="67"/>
        <v>2024/07/20</v>
      </c>
      <c r="H127" s="15" t="str">
        <f t="shared" si="41"/>
        <v>2024/07/20</v>
      </c>
      <c r="I127" s="15" t="str">
        <f t="shared" si="42"/>
        <v>20/07/2024</v>
      </c>
      <c r="J127" s="10" t="str">
        <f>LEFT(Table22[[#This Row],[Date_of_Admission Cleaned 3]],10)</f>
        <v>20/07/2024</v>
      </c>
      <c r="K127" s="27" t="str">
        <f>RIGHT(Table22[[#This Row],[Date_of_Admission Cleaned 4]],4)</f>
        <v>2024</v>
      </c>
      <c r="L127" s="27" t="str">
        <f t="shared" si="43"/>
        <v>2024</v>
      </c>
      <c r="M127" t="s">
        <v>800</v>
      </c>
      <c r="N127" s="15" t="str">
        <f t="shared" si="44"/>
        <v>2023/09/02</v>
      </c>
      <c r="O127" s="15" t="str">
        <f t="shared" si="45"/>
        <v>2023/09/02</v>
      </c>
      <c r="P127" s="10" t="str">
        <f t="shared" si="68"/>
        <v>02/09/2023</v>
      </c>
      <c r="Q127" s="27" t="str">
        <f>RIGHT(Table22[[#This Row],[Date_of_Diagnosis Cleaned 3]],4)</f>
        <v>2023</v>
      </c>
      <c r="R127" s="27" t="str">
        <f t="shared" si="70"/>
        <v>2023</v>
      </c>
      <c r="S127" t="s">
        <v>801</v>
      </c>
      <c r="T127" s="21" t="str">
        <f t="shared" si="47"/>
        <v>12/12/2018</v>
      </c>
      <c r="U127" s="21" t="str">
        <f t="shared" si="69"/>
        <v>12/12/2018</v>
      </c>
      <c r="V127" s="21" t="str">
        <f t="shared" si="48"/>
        <v>12/12/2018</v>
      </c>
      <c r="W127" s="16" t="str">
        <f t="shared" si="49"/>
        <v>12/12/2018</v>
      </c>
      <c r="X127" s="28" t="str">
        <f>RIGHT(Table22[[#This Row],[Date_of_Treatment_Start Cleaned 4]],4)</f>
        <v>2018</v>
      </c>
      <c r="Y127" t="s">
        <v>701</v>
      </c>
      <c r="Z127" s="15" t="str">
        <f t="shared" si="50"/>
        <v>Unknown</v>
      </c>
      <c r="AA127" s="15" t="str">
        <f t="shared" si="51"/>
        <v>Unknown</v>
      </c>
      <c r="AB127" s="15" t="str">
        <f t="shared" si="71"/>
        <v>Unknown</v>
      </c>
      <c r="AC127" s="15" t="str">
        <f>LEFT(Table22[[#This Row],[Date_of_Surgery Cleaned 3]],10)</f>
        <v>Unknown</v>
      </c>
      <c r="AD127" s="15" t="str">
        <f t="shared" si="72"/>
        <v>Unknown</v>
      </c>
      <c r="AE127" s="10" t="str">
        <f t="shared" si="54"/>
        <v>Unknown</v>
      </c>
      <c r="AF127" s="27" t="str">
        <f>RIGHT(Table22[[#This Row],[Date_of_Surgery Cleaned 6]],4)</f>
        <v>nown</v>
      </c>
      <c r="AG127" s="27" t="str">
        <f t="shared" si="73"/>
        <v>Unknown</v>
      </c>
      <c r="AH127" t="s">
        <v>198</v>
      </c>
      <c r="AI127" s="15" t="str">
        <f t="shared" si="56"/>
        <v>N/A</v>
      </c>
      <c r="AJ127" s="15" t="str">
        <f t="shared" si="57"/>
        <v>Unknown</v>
      </c>
      <c r="AK127" s="15" t="str">
        <f t="shared" si="74"/>
        <v>Unknown</v>
      </c>
      <c r="AL127" s="10" t="str">
        <f t="shared" si="75"/>
        <v>Unknown</v>
      </c>
      <c r="AM127" s="27" t="str">
        <f>RIGHT(Table22[[#This Row],[Date_of_Discharge Cleaned 4]],4)</f>
        <v>nown</v>
      </c>
      <c r="AN127" s="27" t="str">
        <f t="shared" si="76"/>
        <v>Unknown</v>
      </c>
      <c r="AO127" s="6" t="s">
        <v>939</v>
      </c>
      <c r="AP127" s="15" t="str">
        <f t="shared" si="77"/>
        <v>13-01-2020</v>
      </c>
      <c r="AQ127" s="15" t="str">
        <f t="shared" si="62"/>
        <v>13-01-2020</v>
      </c>
      <c r="AR127" s="15" t="str">
        <f t="shared" si="78"/>
        <v>13-01-2020</v>
      </c>
      <c r="AS127" s="15" t="str">
        <f t="shared" si="64"/>
        <v>13/01/2020</v>
      </c>
      <c r="AT127" s="10" t="str">
        <f t="shared" si="65"/>
        <v>13/01/2020</v>
      </c>
      <c r="AU127" s="27" t="str">
        <f>RIGHT(Table22[[#This Row],[Follow_up_Visit Cleaned 5]],4)</f>
        <v>2020</v>
      </c>
      <c r="AV127" s="27" t="str">
        <f t="shared" si="79"/>
        <v>2020</v>
      </c>
    </row>
    <row r="128" spans="1:48" ht="14.25" customHeight="1" x14ac:dyDescent="0.2">
      <c r="A128" t="s">
        <v>802</v>
      </c>
      <c r="B128" t="s">
        <v>803</v>
      </c>
      <c r="C128" s="10" t="str">
        <f t="shared" si="40"/>
        <v>Patient_126</v>
      </c>
      <c r="D128">
        <v>63</v>
      </c>
      <c r="E128" t="s">
        <v>146</v>
      </c>
      <c r="F128" t="s">
        <v>804</v>
      </c>
      <c r="G128" s="15" t="str">
        <f t="shared" si="67"/>
        <v>27/11/2024</v>
      </c>
      <c r="H128" s="15" t="str">
        <f t="shared" si="41"/>
        <v>27/11/2024</v>
      </c>
      <c r="I128" s="15" t="str">
        <f t="shared" si="42"/>
        <v>27/11/2024</v>
      </c>
      <c r="J128" s="10" t="str">
        <f>LEFT(Table22[[#This Row],[Date_of_Admission Cleaned 3]],10)</f>
        <v>27/11/2024</v>
      </c>
      <c r="K128" s="27" t="str">
        <f>RIGHT(Table22[[#This Row],[Date_of_Admission Cleaned 4]],4)</f>
        <v>2024</v>
      </c>
      <c r="L128" s="27" t="str">
        <f t="shared" si="43"/>
        <v>2024</v>
      </c>
      <c r="M128" t="s">
        <v>198</v>
      </c>
      <c r="N128" s="15" t="str">
        <f t="shared" si="44"/>
        <v>Unknown</v>
      </c>
      <c r="O128" s="15" t="str">
        <f t="shared" si="45"/>
        <v>Unknown</v>
      </c>
      <c r="P128" s="10" t="str">
        <f t="shared" si="68"/>
        <v>Unknown</v>
      </c>
      <c r="Q128" s="27" t="str">
        <f>RIGHT(Table22[[#This Row],[Date_of_Diagnosis Cleaned 3]],4)</f>
        <v>nown</v>
      </c>
      <c r="R128" s="27" t="str">
        <f t="shared" si="70"/>
        <v>Unknown</v>
      </c>
      <c r="S128" t="s">
        <v>202</v>
      </c>
      <c r="T128" s="21" t="str">
        <f t="shared" si="47"/>
        <v>13/12/2018</v>
      </c>
      <c r="U128" s="21" t="str">
        <f t="shared" si="69"/>
        <v>13/12/2018</v>
      </c>
      <c r="V128" s="21" t="str">
        <f t="shared" si="48"/>
        <v>13/12/2018</v>
      </c>
      <c r="W128" s="16" t="str">
        <f t="shared" si="49"/>
        <v>13/12/2018</v>
      </c>
      <c r="X128" s="28" t="str">
        <f>RIGHT(Table22[[#This Row],[Date_of_Treatment_Start Cleaned 4]],4)</f>
        <v>2018</v>
      </c>
      <c r="Y128" t="s">
        <v>198</v>
      </c>
      <c r="Z128" s="15" t="str">
        <f t="shared" si="50"/>
        <v>Unknown</v>
      </c>
      <c r="AA128" s="15" t="str">
        <f t="shared" si="51"/>
        <v>Unknown</v>
      </c>
      <c r="AB128" s="15" t="str">
        <f t="shared" si="71"/>
        <v>Unknown</v>
      </c>
      <c r="AC128" s="15" t="str">
        <f>LEFT(Table22[[#This Row],[Date_of_Surgery Cleaned 3]],10)</f>
        <v>Unknown</v>
      </c>
      <c r="AD128" s="15" t="str">
        <f t="shared" si="72"/>
        <v>Unknown</v>
      </c>
      <c r="AE128" s="10" t="str">
        <f t="shared" si="54"/>
        <v>Unknown</v>
      </c>
      <c r="AF128" s="27" t="str">
        <f>RIGHT(Table22[[#This Row],[Date_of_Surgery Cleaned 6]],4)</f>
        <v>nown</v>
      </c>
      <c r="AG128" s="27" t="str">
        <f t="shared" si="73"/>
        <v>Unknown</v>
      </c>
      <c r="AI128" s="15" t="str">
        <f t="shared" si="56"/>
        <v>Unknown</v>
      </c>
      <c r="AJ128" s="15" t="str">
        <f t="shared" si="57"/>
        <v>Unknown</v>
      </c>
      <c r="AK128" s="15" t="str">
        <f t="shared" si="74"/>
        <v>Unknown</v>
      </c>
      <c r="AL128" s="10" t="str">
        <f t="shared" si="75"/>
        <v>Unknown</v>
      </c>
      <c r="AM128" s="27" t="str">
        <f>RIGHT(Table22[[#This Row],[Date_of_Discharge Cleaned 4]],4)</f>
        <v>nown</v>
      </c>
      <c r="AN128" s="27" t="str">
        <f t="shared" si="76"/>
        <v>Unknown</v>
      </c>
      <c r="AP128" s="15" t="str">
        <f t="shared" si="77"/>
        <v>Unknown</v>
      </c>
      <c r="AQ128" s="15" t="str">
        <f t="shared" si="62"/>
        <v>Unknown</v>
      </c>
      <c r="AR128" s="15" t="str">
        <f t="shared" si="78"/>
        <v>Unknown</v>
      </c>
      <c r="AS128" s="15" t="str">
        <f t="shared" si="64"/>
        <v>Unknown</v>
      </c>
      <c r="AT128" s="10" t="str">
        <f t="shared" si="65"/>
        <v>Unknown</v>
      </c>
      <c r="AU128" s="27" t="str">
        <f>RIGHT(Table22[[#This Row],[Follow_up_Visit Cleaned 5]],4)</f>
        <v>nown</v>
      </c>
      <c r="AV128" s="27" t="str">
        <f t="shared" si="79"/>
        <v>Unknown</v>
      </c>
    </row>
    <row r="129" spans="1:48" ht="14.25" customHeight="1" x14ac:dyDescent="0.2">
      <c r="A129" t="s">
        <v>805</v>
      </c>
      <c r="B129" t="s">
        <v>806</v>
      </c>
      <c r="C129" s="10" t="str">
        <f t="shared" si="40"/>
        <v>Patient_127</v>
      </c>
      <c r="D129">
        <v>54</v>
      </c>
      <c r="E129" t="s">
        <v>160</v>
      </c>
      <c r="F129" t="s">
        <v>147</v>
      </c>
      <c r="G129" s="15" t="str">
        <f t="shared" si="67"/>
        <v>12/13/2023</v>
      </c>
      <c r="H129" s="15" t="str">
        <f t="shared" si="41"/>
        <v>12/13/2023</v>
      </c>
      <c r="I129" s="15" t="str">
        <f t="shared" si="42"/>
        <v>13/12/2023</v>
      </c>
      <c r="J129" s="10" t="str">
        <f>LEFT(Table22[[#This Row],[Date_of_Admission Cleaned 3]],10)</f>
        <v>13/12/2023</v>
      </c>
      <c r="K129" s="27" t="str">
        <f>RIGHT(Table22[[#This Row],[Date_of_Admission Cleaned 4]],4)</f>
        <v>2023</v>
      </c>
      <c r="L129" s="27" t="str">
        <f t="shared" si="43"/>
        <v>2023</v>
      </c>
      <c r="M129" t="s">
        <v>790</v>
      </c>
      <c r="N129" s="15" t="str">
        <f t="shared" si="44"/>
        <v>10/12/2018</v>
      </c>
      <c r="O129" s="15" t="str">
        <f t="shared" si="45"/>
        <v>10/12/2018</v>
      </c>
      <c r="P129" s="10" t="str">
        <f t="shared" si="68"/>
        <v>12/10/2018</v>
      </c>
      <c r="Q129" s="27" t="str">
        <f>RIGHT(Table22[[#This Row],[Date_of_Diagnosis Cleaned 3]],4)</f>
        <v>2018</v>
      </c>
      <c r="R129" s="27" t="str">
        <f t="shared" si="70"/>
        <v>2018</v>
      </c>
      <c r="S129" t="s">
        <v>807</v>
      </c>
      <c r="T129" s="21" t="str">
        <f t="shared" si="47"/>
        <v>14/12/2018</v>
      </c>
      <c r="U129" s="21" t="str">
        <f t="shared" si="69"/>
        <v>14/12/2018</v>
      </c>
      <c r="V129" s="21" t="str">
        <f t="shared" si="48"/>
        <v>14/12/2018</v>
      </c>
      <c r="W129" s="16" t="str">
        <f t="shared" si="49"/>
        <v>14/12/2018</v>
      </c>
      <c r="X129" s="28" t="str">
        <f>RIGHT(Table22[[#This Row],[Date_of_Treatment_Start Cleaned 4]],4)</f>
        <v>2018</v>
      </c>
      <c r="Y129" s="12">
        <v>44927</v>
      </c>
      <c r="Z129" s="15" t="str">
        <f t="shared" si="50"/>
        <v>44927</v>
      </c>
      <c r="AA129" s="15" t="str">
        <f t="shared" si="51"/>
        <v>44927</v>
      </c>
      <c r="AB129" s="15" t="str">
        <f t="shared" si="71"/>
        <v>44927</v>
      </c>
      <c r="AC129" s="15" t="str">
        <f>LEFT(Table22[[#This Row],[Date_of_Surgery Cleaned 3]],10)</f>
        <v>44927</v>
      </c>
      <c r="AD129" s="15" t="str">
        <f t="shared" si="72"/>
        <v>01,01,2023</v>
      </c>
      <c r="AE129" s="10" t="str">
        <f t="shared" si="54"/>
        <v>01/01/2023</v>
      </c>
      <c r="AF129" s="27" t="str">
        <f>RIGHT(Table22[[#This Row],[Date_of_Surgery Cleaned 6]],4)</f>
        <v>2023</v>
      </c>
      <c r="AG129" s="27" t="str">
        <f t="shared" si="73"/>
        <v>2023</v>
      </c>
      <c r="AH129" s="12">
        <v>45432</v>
      </c>
      <c r="AI129" s="15">
        <f t="shared" si="56"/>
        <v>45432</v>
      </c>
      <c r="AJ129" s="15">
        <f t="shared" si="57"/>
        <v>45432</v>
      </c>
      <c r="AK129" s="15" t="str">
        <f t="shared" si="74"/>
        <v>20,05,2024</v>
      </c>
      <c r="AL129" s="10" t="str">
        <f t="shared" si="75"/>
        <v>20/05/2024</v>
      </c>
      <c r="AM129" s="27" t="str">
        <f>RIGHT(Table22[[#This Row],[Date_of_Discharge Cleaned 4]],4)</f>
        <v>2024</v>
      </c>
      <c r="AN129" s="27" t="str">
        <f t="shared" si="76"/>
        <v>2024</v>
      </c>
      <c r="AO129">
        <v>45019</v>
      </c>
      <c r="AP129" s="15">
        <f t="shared" si="77"/>
        <v>45019</v>
      </c>
      <c r="AQ129" s="15" t="str">
        <f t="shared" si="62"/>
        <v>45019</v>
      </c>
      <c r="AR129" s="15" t="str">
        <f t="shared" si="78"/>
        <v>03,04,2023</v>
      </c>
      <c r="AS129" s="15" t="str">
        <f t="shared" si="64"/>
        <v>03/04/2023</v>
      </c>
      <c r="AT129" s="10" t="str">
        <f t="shared" si="65"/>
        <v>03/04/2023</v>
      </c>
      <c r="AU129" s="27" t="str">
        <f>RIGHT(Table22[[#This Row],[Follow_up_Visit Cleaned 5]],4)</f>
        <v>2023</v>
      </c>
      <c r="AV129" s="27" t="str">
        <f t="shared" si="79"/>
        <v>2023</v>
      </c>
    </row>
    <row r="130" spans="1:48" ht="14.25" customHeight="1" x14ac:dyDescent="0.2">
      <c r="A130" t="s">
        <v>808</v>
      </c>
      <c r="B130" t="s">
        <v>809</v>
      </c>
      <c r="C130" s="10" t="str">
        <f t="shared" ref="C130:C133" si="80">(SUBSTITUTE(SUBSTITUTE(SUBSTITUTE(SUBSTITUTE(SUBSTITUTE(SUBSTITUTE(SUBSTITUTE(SUBSTITUTE(SUBSTITUTE(SUBSTITUTE(SUBSTITUTE(SUBSTITUTE(SUBSTITUTE(B130,"^",""),"@",""),"?",""),"+",""),"&amp;",""),")",""),"/",""),":",""),"%",""),",",""),"(",""),"$",""),"*",""))</f>
        <v>Patient_128</v>
      </c>
      <c r="D130">
        <v>84</v>
      </c>
      <c r="E130" t="s">
        <v>146</v>
      </c>
      <c r="F130" t="s">
        <v>198</v>
      </c>
      <c r="G130" s="15" t="str">
        <f t="shared" si="67"/>
        <v>Unknown</v>
      </c>
      <c r="H130" s="15" t="str">
        <f t="shared" ref="H130:H133" si="81">SUBSTITUTE(SUBSTITUTE(SUBSTITUTE(SUBSTITUTE(SUBSTITUTE(SUBSTITUTE(SUBSTITUTE(SUBSTITUTE(SUBSTITUTE(SUBSTITUTE(SUBSTITUTE(SUBSTITUTE(SUBSTITUTE(G130,"//","/"),"Dec","12"),"nov","11"),"oct","10"),"Sep/","09/"),"Aug/","08/"),"jul","07"),"june","06"),"may","05"),"Apr/","04/"),"Mar/","03/"),"feb","02"),"Jan/","01/")</f>
        <v>Unknown</v>
      </c>
      <c r="I130" s="15" t="str">
        <f t="shared" ref="I130:I133" si="82">TEXT(H130,"dd/mm/yyyy")</f>
        <v>Unknown</v>
      </c>
      <c r="J130" s="10" t="str">
        <f>LEFT(Table22[[#This Row],[Date_of_Admission Cleaned 3]],10)</f>
        <v>Unknown</v>
      </c>
      <c r="K130" s="27" t="str">
        <f>RIGHT(Table22[[#This Row],[Date_of_Admission Cleaned 4]],4)</f>
        <v>nown</v>
      </c>
      <c r="L130" s="27" t="str">
        <f t="shared" ref="L130:L133" si="83">SUBSTITUTE(K130,"nown","Unknown")</f>
        <v>Unknown</v>
      </c>
      <c r="M130" t="s">
        <v>810</v>
      </c>
      <c r="N130" s="15" t="str">
        <f t="shared" ref="N130:N133" si="84">SUBSTITUTE(SUBSTITUTE(SUBSTITUTE(SUBSTITUTE(SUBSTITUTE(M130,",","/")," ","/"),"-","/"),".","/"),"N/A","Unknown")</f>
        <v>26/11/2017</v>
      </c>
      <c r="O130" s="15" t="str">
        <f t="shared" ref="O130:O133" si="85">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N130,"//","/"),"Dec/","12/"),"November","11"),"Oct/","10/"),"September/","09/"),"August/","08/"),"July","07"),"Jun/","06/"),"May","05"),"Apr/","04/"),"Mar/","03/"),"feb","02"),"January/","01/"),"Monday/",""),"Tuesday/",""),"Wednesday/",""),"Thursday/",""),"Friday/",""),"Saturday/",""),"Sunday/",""),"Sep/","09/"),"12th","12"),"of/",""),"December","12"),"Jan/","01/"),"/5/","/05/"),"/6/","/06/"),"/9/","/09/"),"/4/","/04/"),"/7/","/07/")</f>
        <v>26/11/2017</v>
      </c>
      <c r="P130" s="10" t="str">
        <f t="shared" si="68"/>
        <v>26/11/2017</v>
      </c>
      <c r="Q130" s="27" t="str">
        <f>RIGHT(Table22[[#This Row],[Date_of_Diagnosis Cleaned 3]],4)</f>
        <v>2017</v>
      </c>
      <c r="R130" s="27" t="str">
        <f t="shared" ref="R130:R133" si="86">SUBSTITUTE(Q130,"nown","Unknown")</f>
        <v>2017</v>
      </c>
      <c r="S130" t="s">
        <v>811</v>
      </c>
      <c r="T130" s="21" t="str">
        <f t="shared" ref="T130:T133" si="87">SUBSTITUTE(SUBSTITUTE(SUBSTITUTE(SUBSTITUTE(SUBSTITUTE(S130,",","/")," ","/"),"-","/"),".","/"),"N/A","Unknown")</f>
        <v>15/12/2018</v>
      </c>
      <c r="U130" s="21" t="str">
        <f t="shared" si="69"/>
        <v>15/12/2018</v>
      </c>
      <c r="V130" s="21" t="str">
        <f t="shared" ref="V130:V133" si="88">SUBSTITUTE(U130,"//","/")</f>
        <v>15/12/2018</v>
      </c>
      <c r="W130" s="16" t="str">
        <f t="shared" ref="W130:W133" si="89">SUBSTITUTE(SUBSTITUTE(SUBSTITUTE(SUBSTITUTE(SUBSTITUTE(SUBSTITUTE(SUBSTITUTE(SUBSTITUTE(SUBSTITUTE(SUBSTITUTE(SUBSTITUTE(SUBSTITUTE(V130,"Jan","01"),"Feb","02"),"Mar","03"),"Apr","04"),"May","05"),"JUn","06"),"Jul","07"),"Aug","08"),"Sep","09"),"Oct","10"),"Nov","11"),"Dec","12")</f>
        <v>15/12/2018</v>
      </c>
      <c r="X130" s="28" t="str">
        <f>RIGHT(Table22[[#This Row],[Date_of_Treatment_Start Cleaned 4]],4)</f>
        <v>2018</v>
      </c>
      <c r="Y130" t="s">
        <v>812</v>
      </c>
      <c r="Z130" s="15" t="str">
        <f t="shared" ref="Z130:Z133" si="90">SUBSTITUTE(SUBSTITUTE(SUBSTITUTE(SUBSTITUTE(SUBSTITUTE(SUBSTITUTE(SUBSTITUTE(Y130,",","/")," ","/"),"-","/"),".","/"),"N/A","Unknown"),"?","Unknown"),"//","Unknown")</f>
        <v>13/Dec/2024</v>
      </c>
      <c r="AA130" s="15" t="str">
        <f t="shared" ref="AA130:AA133" si="91">IF(Z130="","Unknown",Z130)</f>
        <v>13/Dec/2024</v>
      </c>
      <c r="AB130" s="15" t="str">
        <f t="shared" ref="AB130:AB133" si="92">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130,"//","/"),"Dec/","12/"),"November","11"),"Oct/","10/"),"September/","09/"),"August/","08/"),"July","07"),"Jun/","06/"),"May","05"),"Apr/","04/"),"Mar/","03/"),"feb","02"),"January/","01/"),"Monday/",""),"Tuesday/",""),"Wednesday/",""),"Thursday/",""),"Friday/",""),"Saturday/",""),"Sunday/",""),"Sep/","09/"),"12th","12"),"of/",""),"December","12"),"Jan/","01/"),"/5/","/05/"),"/6/","/06/"),"/9/","/09/"),"/4/","/04/"),"/7/","/07/")</f>
        <v>13/12/2024</v>
      </c>
      <c r="AC130" s="15" t="str">
        <f>LEFT(Table22[[#This Row],[Date_of_Surgery Cleaned 3]],10)</f>
        <v>13/12/2024</v>
      </c>
      <c r="AD130" s="15" t="str">
        <f t="shared" ref="AD130:AD133" si="93">TEXT(AC130,"dd,mm,yyyy")</f>
        <v>13/12/2024</v>
      </c>
      <c r="AE130" s="10" t="str">
        <f t="shared" ref="AE130:AE133" si="94">SUBSTITUTE(AD130,",","/")</f>
        <v>13/12/2024</v>
      </c>
      <c r="AF130" s="27" t="str">
        <f>RIGHT(Table22[[#This Row],[Date_of_Surgery Cleaned 6]],4)</f>
        <v>2024</v>
      </c>
      <c r="AG130" s="27" t="str">
        <f t="shared" ref="AG130:AG133" si="95">SUBSTITUTE(AF130,"nown","Unknown")</f>
        <v>2024</v>
      </c>
      <c r="AH130" t="s">
        <v>813</v>
      </c>
      <c r="AI130" s="15" t="str">
        <f t="shared" ref="AI130:AI133" si="96">IF(AH130="","Unknown",AH130)</f>
        <v>2023-03-24</v>
      </c>
      <c r="AJ130" s="15" t="str">
        <f t="shared" ref="AJ130:AJ133" si="97">IF(AI130="N/A","Unknown",AI130)</f>
        <v>2023-03-24</v>
      </c>
      <c r="AK130" s="15" t="str">
        <f t="shared" ref="AK130:AK133" si="98">TEXT(AJ130,"dd,mm,yyyy")</f>
        <v>24,03,2023</v>
      </c>
      <c r="AL130" s="10" t="str">
        <f t="shared" ref="AL130:AL133" si="99">SUBSTITUTE(SUBSTITUTE(SUBSTITUTE(AK130,",","/"),".","/"),"-","/")</f>
        <v>24/03/2023</v>
      </c>
      <c r="AM130" s="27" t="str">
        <f>RIGHT(Table22[[#This Row],[Date_of_Discharge Cleaned 4]],4)</f>
        <v>2023</v>
      </c>
      <c r="AN130" s="27" t="str">
        <f t="shared" ref="AN130:AN133" si="100">SUBSTITUTE(AM130,"nown","Unknown")</f>
        <v>2023</v>
      </c>
      <c r="AO130" t="s">
        <v>814</v>
      </c>
      <c r="AP130" s="15" t="str">
        <f t="shared" ref="AP130:AP133" si="101">IF(AO130="","Unknown",AO130)</f>
        <v>16-Mar-2024</v>
      </c>
      <c r="AQ130" s="15" t="str">
        <f t="shared" ref="AQ130:AQ133" si="102">SUBSTITUTE(SUBSTITUTE(SUBSTITUTE(SUBSTITUTE(SUBSTITUTE(SUBSTITUTE(SUBSTITUTE(AP130,"N/A","Unknown"),"None","Unknown"),"Feb","02/"),"March","03/"),"April","04/"),"June","06/"),"Aug","08/")</f>
        <v>16-Mar-2024</v>
      </c>
      <c r="AR130" s="15" t="str">
        <f t="shared" ref="AR130:AR133" si="103">TEXT(AQ130,"dd,mm,yyyy")</f>
        <v>16,03,2024</v>
      </c>
      <c r="AS130" s="15" t="str">
        <f t="shared" ref="AS130:AS133" si="104">SUBSTITUTE(SUBSTITUTE(SUBSTITUTE(SUBSTITUTE(SUBSTITUTE(SUBSTITUTE(AR130," ",""),",","/"),".","/"),"-","/"),"Late","30/"),"Early","03/")</f>
        <v>16/03/2024</v>
      </c>
      <c r="AT130" s="10" t="str">
        <f t="shared" ref="AT130:AT133" si="105">SUBSTITUTE(SUBSTITUTE(SUBSTITUTE(AS130,"//","/"),"(estimated)",""),"abc","")</f>
        <v>16/03/2024</v>
      </c>
      <c r="AU130" s="27" t="str">
        <f>RIGHT(Table22[[#This Row],[Follow_up_Visit Cleaned 5]],4)</f>
        <v>2024</v>
      </c>
      <c r="AV130" s="27" t="str">
        <f t="shared" ref="AV130:AV133" si="106">SUBSTITUTE(AU130,"nown","Unknown")</f>
        <v>2024</v>
      </c>
    </row>
    <row r="131" spans="1:48" ht="14.25" customHeight="1" x14ac:dyDescent="0.2">
      <c r="A131" t="s">
        <v>815</v>
      </c>
      <c r="B131" t="s">
        <v>816</v>
      </c>
      <c r="C131" s="10" t="str">
        <f t="shared" si="80"/>
        <v>Patient_129</v>
      </c>
      <c r="D131">
        <v>66</v>
      </c>
      <c r="E131" t="s">
        <v>146</v>
      </c>
      <c r="F131" t="s">
        <v>817</v>
      </c>
      <c r="G131" s="15" t="str">
        <f t="shared" ref="G131:G133" si="107">SUBSTITUTE(SUBSTITUTE(SUBSTITUTE(SUBSTITUTE(SUBSTITUTE(F131,",","/")," ","/"),"-","/"),".","/"),"N/A","Unknown")</f>
        <v>2024/07/03</v>
      </c>
      <c r="H131" s="15" t="str">
        <f t="shared" si="81"/>
        <v>2024/07/03</v>
      </c>
      <c r="I131" s="15" t="str">
        <f t="shared" si="82"/>
        <v>03/07/2024</v>
      </c>
      <c r="J131" s="10" t="str">
        <f>LEFT(Table22[[#This Row],[Date_of_Admission Cleaned 3]],10)</f>
        <v>03/07/2024</v>
      </c>
      <c r="K131" s="27" t="str">
        <f>RIGHT(Table22[[#This Row],[Date_of_Admission Cleaned 4]],4)</f>
        <v>2024</v>
      </c>
      <c r="L131" s="27" t="str">
        <f t="shared" si="83"/>
        <v>2024</v>
      </c>
      <c r="M131" t="s">
        <v>810</v>
      </c>
      <c r="N131" s="15" t="str">
        <f t="shared" si="84"/>
        <v>26/11/2017</v>
      </c>
      <c r="O131" s="15" t="str">
        <f t="shared" si="85"/>
        <v>26/11/2017</v>
      </c>
      <c r="P131" s="10" t="str">
        <f t="shared" ref="P131:P133" si="108">TEXT(O131,"dd/mm/yyyy")</f>
        <v>26/11/2017</v>
      </c>
      <c r="Q131" s="27" t="str">
        <f>RIGHT(Table22[[#This Row],[Date_of_Diagnosis Cleaned 3]],4)</f>
        <v>2017</v>
      </c>
      <c r="R131" s="27" t="str">
        <f t="shared" si="86"/>
        <v>2017</v>
      </c>
      <c r="S131" t="s">
        <v>818</v>
      </c>
      <c r="T131" s="21" t="str">
        <f t="shared" si="87"/>
        <v>16/12/2018</v>
      </c>
      <c r="U131" s="21" t="str">
        <f t="shared" ref="U131:U133" si="109">TEXT(T131,"dd/mm/yyyy")</f>
        <v>16/12/2018</v>
      </c>
      <c r="V131" s="21" t="str">
        <f t="shared" si="88"/>
        <v>16/12/2018</v>
      </c>
      <c r="W131" s="16" t="str">
        <f t="shared" si="89"/>
        <v>16/12/2018</v>
      </c>
      <c r="X131" s="28" t="str">
        <f>RIGHT(Table22[[#This Row],[Date_of_Treatment_Start Cleaned 4]],4)</f>
        <v>2018</v>
      </c>
      <c r="Y131" t="s">
        <v>701</v>
      </c>
      <c r="Z131" s="15" t="str">
        <f t="shared" si="90"/>
        <v>Unknown</v>
      </c>
      <c r="AA131" s="15" t="str">
        <f t="shared" si="91"/>
        <v>Unknown</v>
      </c>
      <c r="AB131" s="15" t="str">
        <f t="shared" si="92"/>
        <v>Unknown</v>
      </c>
      <c r="AC131" s="15" t="str">
        <f>LEFT(Table22[[#This Row],[Date_of_Surgery Cleaned 3]],10)</f>
        <v>Unknown</v>
      </c>
      <c r="AD131" s="15" t="str">
        <f t="shared" si="93"/>
        <v>Unknown</v>
      </c>
      <c r="AE131" s="10" t="str">
        <f t="shared" si="94"/>
        <v>Unknown</v>
      </c>
      <c r="AF131" s="27" t="str">
        <f>RIGHT(Table22[[#This Row],[Date_of_Surgery Cleaned 6]],4)</f>
        <v>nown</v>
      </c>
      <c r="AG131" s="27" t="str">
        <f t="shared" si="95"/>
        <v>Unknown</v>
      </c>
      <c r="AH131" t="s">
        <v>819</v>
      </c>
      <c r="AI131" s="15" t="str">
        <f t="shared" si="96"/>
        <v>18.03.2024</v>
      </c>
      <c r="AJ131" s="15" t="str">
        <f t="shared" si="97"/>
        <v>18.03.2024</v>
      </c>
      <c r="AK131" s="15" t="str">
        <f t="shared" si="98"/>
        <v>18.03.2024</v>
      </c>
      <c r="AL131" s="10" t="str">
        <f t="shared" si="99"/>
        <v>18/03/2024</v>
      </c>
      <c r="AM131" s="27" t="str">
        <f>RIGHT(Table22[[#This Row],[Date_of_Discharge Cleaned 4]],4)</f>
        <v>2024</v>
      </c>
      <c r="AN131" s="27" t="str">
        <f t="shared" si="100"/>
        <v>2024</v>
      </c>
      <c r="AO131" t="s">
        <v>514</v>
      </c>
      <c r="AP131" s="15" t="str">
        <f t="shared" si="101"/>
        <v>None</v>
      </c>
      <c r="AQ131" s="15" t="str">
        <f t="shared" si="102"/>
        <v>Unknown</v>
      </c>
      <c r="AR131" s="15" t="str">
        <f t="shared" si="103"/>
        <v>Unknown</v>
      </c>
      <c r="AS131" s="15" t="str">
        <f t="shared" si="104"/>
        <v>Unknown</v>
      </c>
      <c r="AT131" s="10" t="str">
        <f t="shared" si="105"/>
        <v>Unknown</v>
      </c>
      <c r="AU131" s="27" t="str">
        <f>RIGHT(Table22[[#This Row],[Follow_up_Visit Cleaned 5]],4)</f>
        <v>nown</v>
      </c>
      <c r="AV131" s="27" t="str">
        <f t="shared" si="106"/>
        <v>Unknown</v>
      </c>
    </row>
    <row r="132" spans="1:48" ht="14.25" customHeight="1" x14ac:dyDescent="0.2">
      <c r="A132" t="s">
        <v>820</v>
      </c>
      <c r="B132" t="s">
        <v>821</v>
      </c>
      <c r="C132" s="10" t="str">
        <f t="shared" si="80"/>
        <v>Patient_130</v>
      </c>
      <c r="D132">
        <v>22</v>
      </c>
      <c r="E132" t="s">
        <v>146</v>
      </c>
      <c r="F132" t="s">
        <v>822</v>
      </c>
      <c r="G132" s="15" t="str">
        <f t="shared" si="107"/>
        <v>18/10/2024</v>
      </c>
      <c r="H132" s="15" t="str">
        <f t="shared" si="81"/>
        <v>18/10/2024</v>
      </c>
      <c r="I132" s="15" t="str">
        <f t="shared" si="82"/>
        <v>18/10/2024</v>
      </c>
      <c r="J132" s="10" t="str">
        <f>LEFT(Table22[[#This Row],[Date_of_Admission Cleaned 3]],10)</f>
        <v>18/10/2024</v>
      </c>
      <c r="K132" s="27" t="str">
        <f>RIGHT(Table22[[#This Row],[Date_of_Admission Cleaned 4]],4)</f>
        <v>2024</v>
      </c>
      <c r="L132" s="27" t="str">
        <f t="shared" si="83"/>
        <v>2024</v>
      </c>
      <c r="M132" t="s">
        <v>823</v>
      </c>
      <c r="N132" s="15" t="str">
        <f t="shared" si="84"/>
        <v>18/11/2016</v>
      </c>
      <c r="O132" s="15" t="str">
        <f t="shared" si="85"/>
        <v>18/11/2016</v>
      </c>
      <c r="P132" s="10" t="str">
        <f t="shared" si="108"/>
        <v>18/11/2016</v>
      </c>
      <c r="Q132" s="27" t="str">
        <f>RIGHT(Table22[[#This Row],[Date_of_Diagnosis Cleaned 3]],4)</f>
        <v>2016</v>
      </c>
      <c r="R132" s="27" t="str">
        <f t="shared" si="86"/>
        <v>2016</v>
      </c>
      <c r="S132" t="s">
        <v>192</v>
      </c>
      <c r="T132" s="21" t="str">
        <f t="shared" si="87"/>
        <v>17/12/2018</v>
      </c>
      <c r="U132" s="21" t="str">
        <f t="shared" si="109"/>
        <v>17/12/2018</v>
      </c>
      <c r="V132" s="21" t="str">
        <f t="shared" si="88"/>
        <v>17/12/2018</v>
      </c>
      <c r="W132" s="16" t="str">
        <f t="shared" si="89"/>
        <v>17/12/2018</v>
      </c>
      <c r="X132" s="28" t="str">
        <f>RIGHT(Table22[[#This Row],[Date_of_Treatment_Start Cleaned 4]],4)</f>
        <v>2018</v>
      </c>
      <c r="Y132" t="s">
        <v>824</v>
      </c>
      <c r="Z132" s="15" t="str">
        <f t="shared" si="90"/>
        <v>04/Apr/2024</v>
      </c>
      <c r="AA132" s="15" t="str">
        <f t="shared" si="91"/>
        <v>04/Apr/2024</v>
      </c>
      <c r="AB132" s="15" t="str">
        <f t="shared" si="92"/>
        <v>04/04/2024</v>
      </c>
      <c r="AC132" s="15" t="str">
        <f>LEFT(Table22[[#This Row],[Date_of_Surgery Cleaned 3]],10)</f>
        <v>04/04/2024</v>
      </c>
      <c r="AD132" s="15" t="str">
        <f t="shared" si="93"/>
        <v>04,04,2024</v>
      </c>
      <c r="AE132" s="10" t="str">
        <f t="shared" si="94"/>
        <v>04/04/2024</v>
      </c>
      <c r="AF132" s="27" t="str">
        <f>RIGHT(Table22[[#This Row],[Date_of_Surgery Cleaned 6]],4)</f>
        <v>2024</v>
      </c>
      <c r="AG132" s="27" t="str">
        <f t="shared" si="95"/>
        <v>2024</v>
      </c>
      <c r="AI132" s="15" t="str">
        <f t="shared" si="96"/>
        <v>Unknown</v>
      </c>
      <c r="AJ132" s="15" t="str">
        <f t="shared" si="97"/>
        <v>Unknown</v>
      </c>
      <c r="AK132" s="15" t="str">
        <f t="shared" si="98"/>
        <v>Unknown</v>
      </c>
      <c r="AL132" s="10" t="str">
        <f t="shared" si="99"/>
        <v>Unknown</v>
      </c>
      <c r="AM132" s="27" t="str">
        <f>RIGHT(Table22[[#This Row],[Date_of_Discharge Cleaned 4]],4)</f>
        <v>nown</v>
      </c>
      <c r="AN132" s="27" t="str">
        <f t="shared" si="100"/>
        <v>Unknown</v>
      </c>
      <c r="AO132">
        <v>46184</v>
      </c>
      <c r="AP132" s="15">
        <f t="shared" si="101"/>
        <v>46184</v>
      </c>
      <c r="AQ132" s="15" t="str">
        <f t="shared" si="102"/>
        <v>46184</v>
      </c>
      <c r="AR132" s="15" t="str">
        <f t="shared" si="103"/>
        <v>11,06,2026</v>
      </c>
      <c r="AS132" s="15" t="str">
        <f t="shared" si="104"/>
        <v>11/06/2026</v>
      </c>
      <c r="AT132" s="10" t="str">
        <f t="shared" si="105"/>
        <v>11/06/2026</v>
      </c>
      <c r="AU132" s="27" t="str">
        <f>RIGHT(Table22[[#This Row],[Follow_up_Visit Cleaned 5]],4)</f>
        <v>2026</v>
      </c>
      <c r="AV132" s="27" t="str">
        <f t="shared" si="106"/>
        <v>2026</v>
      </c>
    </row>
    <row r="133" spans="1:48" ht="14.25" customHeight="1" x14ac:dyDescent="0.2">
      <c r="A133" t="s">
        <v>825</v>
      </c>
      <c r="B133" t="s">
        <v>826</v>
      </c>
      <c r="C133" s="10" t="str">
        <f t="shared" si="80"/>
        <v>Patient_131</v>
      </c>
      <c r="D133">
        <v>20</v>
      </c>
      <c r="E133" t="s">
        <v>160</v>
      </c>
      <c r="F133" t="s">
        <v>827</v>
      </c>
      <c r="G133" s="15" t="str">
        <f t="shared" si="107"/>
        <v>2023/04/25</v>
      </c>
      <c r="H133" s="15" t="str">
        <f t="shared" si="81"/>
        <v>2023/04/25</v>
      </c>
      <c r="I133" s="15" t="str">
        <f t="shared" si="82"/>
        <v>25/04/2023</v>
      </c>
      <c r="J133" s="10" t="str">
        <f>LEFT(Table22[[#This Row],[Date_of_Admission Cleaned 3]],10)</f>
        <v>25/04/2023</v>
      </c>
      <c r="K133" s="27" t="str">
        <f>RIGHT(Table22[[#This Row],[Date_of_Admission Cleaned 4]],4)</f>
        <v>2023</v>
      </c>
      <c r="L133" s="27" t="str">
        <f t="shared" si="83"/>
        <v>2023</v>
      </c>
      <c r="M133" t="s">
        <v>828</v>
      </c>
      <c r="N133" s="15" t="str">
        <f t="shared" si="84"/>
        <v>2023/05/15</v>
      </c>
      <c r="O133" s="15" t="str">
        <f t="shared" si="85"/>
        <v>2023/05/15</v>
      </c>
      <c r="P133" s="10" t="str">
        <f t="shared" si="108"/>
        <v>15/05/2023</v>
      </c>
      <c r="Q133" s="27" t="str">
        <f>RIGHT(Table22[[#This Row],[Date_of_Diagnosis Cleaned 3]],4)</f>
        <v>2023</v>
      </c>
      <c r="R133" s="27" t="str">
        <f t="shared" si="86"/>
        <v>2023</v>
      </c>
      <c r="S133" t="s">
        <v>192</v>
      </c>
      <c r="T133" s="21" t="str">
        <f t="shared" si="87"/>
        <v>17/12/2018</v>
      </c>
      <c r="U133" s="21" t="str">
        <f t="shared" si="109"/>
        <v>17/12/2018</v>
      </c>
      <c r="V133" s="21" t="str">
        <f t="shared" si="88"/>
        <v>17/12/2018</v>
      </c>
      <c r="W133" s="16" t="str">
        <f t="shared" si="89"/>
        <v>17/12/2018</v>
      </c>
      <c r="X133" s="28" t="str">
        <f>RIGHT(Table22[[#This Row],[Date_of_Treatment_Start Cleaned 4]],4)</f>
        <v>2018</v>
      </c>
      <c r="Y133" t="s">
        <v>165</v>
      </c>
      <c r="Z133" s="15" t="str">
        <f t="shared" si="90"/>
        <v>01/02/03</v>
      </c>
      <c r="AA133" s="15" t="str">
        <f t="shared" si="91"/>
        <v>01/02/03</v>
      </c>
      <c r="AB133" s="15" t="str">
        <f t="shared" si="92"/>
        <v>01/02/03</v>
      </c>
      <c r="AC133" s="15" t="str">
        <f>LEFT(Table22[[#This Row],[Date_of_Surgery Cleaned 3]],10)</f>
        <v>01/02/03</v>
      </c>
      <c r="AD133" s="15" t="str">
        <f t="shared" si="93"/>
        <v>02,01,2003</v>
      </c>
      <c r="AE133" s="10" t="str">
        <f t="shared" si="94"/>
        <v>02/01/2003</v>
      </c>
      <c r="AF133" s="27" t="str">
        <f>RIGHT(Table22[[#This Row],[Date_of_Surgery Cleaned 6]],4)</f>
        <v>2003</v>
      </c>
      <c r="AG133" s="27" t="str">
        <f t="shared" si="95"/>
        <v>2003</v>
      </c>
      <c r="AI133" s="15" t="str">
        <f t="shared" si="96"/>
        <v>Unknown</v>
      </c>
      <c r="AJ133" s="15" t="str">
        <f t="shared" si="97"/>
        <v>Unknown</v>
      </c>
      <c r="AK133" s="15" t="str">
        <f t="shared" si="98"/>
        <v>Unknown</v>
      </c>
      <c r="AL133" s="10" t="str">
        <f t="shared" si="99"/>
        <v>Unknown</v>
      </c>
      <c r="AM133" s="27" t="str">
        <f>RIGHT(Table22[[#This Row],[Date_of_Discharge Cleaned 4]],4)</f>
        <v>nown</v>
      </c>
      <c r="AN133" s="27" t="str">
        <f t="shared" si="100"/>
        <v>Unknown</v>
      </c>
      <c r="AO133">
        <v>45472</v>
      </c>
      <c r="AP133" s="15">
        <f t="shared" si="101"/>
        <v>45472</v>
      </c>
      <c r="AQ133" s="15" t="str">
        <f t="shared" si="102"/>
        <v>45472</v>
      </c>
      <c r="AR133" s="15" t="str">
        <f t="shared" si="103"/>
        <v>29,06,2024</v>
      </c>
      <c r="AS133" s="15" t="str">
        <f t="shared" si="104"/>
        <v>29/06/2024</v>
      </c>
      <c r="AT133" s="10" t="str">
        <f t="shared" si="105"/>
        <v>29/06/2024</v>
      </c>
      <c r="AU133" s="27" t="str">
        <f>RIGHT(Table22[[#This Row],[Follow_up_Visit Cleaned 5]],4)</f>
        <v>2024</v>
      </c>
      <c r="AV133" s="27" t="str">
        <f t="shared" si="106"/>
        <v>2024</v>
      </c>
    </row>
  </sheetData>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3"/>
  <sheetViews>
    <sheetView topLeftCell="I1" workbookViewId="0">
      <selection activeCell="M8" sqref="M8"/>
    </sheetView>
  </sheetViews>
  <sheetFormatPr defaultRowHeight="14.25" x14ac:dyDescent="0.2"/>
  <cols>
    <col min="1" max="1" width="11.5" customWidth="1"/>
    <col min="2" max="2" width="10.625" bestFit="1" customWidth="1"/>
    <col min="3" max="3" width="6.125" customWidth="1"/>
    <col min="4" max="4" width="9.125" customWidth="1"/>
    <col min="5" max="5" width="19.625" customWidth="1"/>
    <col min="6" max="6" width="16.875" bestFit="1" customWidth="1"/>
    <col min="7" max="7" width="18.875" customWidth="1"/>
    <col min="8" max="8" width="16.25" bestFit="1" customWidth="1"/>
    <col min="9" max="9" width="24.375" customWidth="1"/>
    <col min="10" max="10" width="21.25" bestFit="1" customWidth="1"/>
    <col min="11" max="11" width="17.25" customWidth="1"/>
    <col min="12" max="12" width="14.5" bestFit="1" customWidth="1"/>
    <col min="13" max="14" width="19.125" customWidth="1"/>
    <col min="15" max="15" width="16.5" customWidth="1"/>
    <col min="16" max="16" width="20.75" bestFit="1" customWidth="1"/>
  </cols>
  <sheetData>
    <row r="1" spans="1:16" x14ac:dyDescent="0.2">
      <c r="A1" t="s">
        <v>135</v>
      </c>
      <c r="B1" t="s">
        <v>136</v>
      </c>
      <c r="C1" t="s">
        <v>137</v>
      </c>
      <c r="D1" t="s">
        <v>138</v>
      </c>
      <c r="E1" s="6" t="s">
        <v>139</v>
      </c>
      <c r="F1" s="6" t="s">
        <v>1322</v>
      </c>
      <c r="G1" s="6" t="s">
        <v>140</v>
      </c>
      <c r="H1" s="6" t="s">
        <v>1323</v>
      </c>
      <c r="I1" s="6" t="s">
        <v>141</v>
      </c>
      <c r="J1" s="6" t="s">
        <v>1324</v>
      </c>
      <c r="K1" s="6" t="s">
        <v>142</v>
      </c>
      <c r="L1" s="6" t="s">
        <v>1325</v>
      </c>
      <c r="M1" s="6" t="s">
        <v>143</v>
      </c>
      <c r="N1" s="6" t="s">
        <v>1326</v>
      </c>
      <c r="O1" s="6" t="s">
        <v>144</v>
      </c>
      <c r="P1" s="6" t="s">
        <v>1327</v>
      </c>
    </row>
    <row r="2" spans="1:16" x14ac:dyDescent="0.2">
      <c r="A2" t="s">
        <v>145</v>
      </c>
      <c r="B2" t="s">
        <v>952</v>
      </c>
      <c r="C2">
        <v>71</v>
      </c>
      <c r="D2" t="s">
        <v>146</v>
      </c>
      <c r="E2" t="s">
        <v>965</v>
      </c>
      <c r="F2">
        <v>2023</v>
      </c>
      <c r="G2" t="s">
        <v>1052</v>
      </c>
      <c r="H2">
        <v>2024</v>
      </c>
      <c r="I2" t="s">
        <v>1102</v>
      </c>
      <c r="J2">
        <v>2016</v>
      </c>
      <c r="K2" t="s">
        <v>890</v>
      </c>
      <c r="L2">
        <v>2018</v>
      </c>
      <c r="M2" t="s">
        <v>1223</v>
      </c>
      <c r="N2" s="6">
        <v>2023</v>
      </c>
      <c r="O2" t="s">
        <v>930</v>
      </c>
      <c r="P2">
        <v>2023</v>
      </c>
    </row>
    <row r="3" spans="1:16" x14ac:dyDescent="0.2">
      <c r="A3" t="s">
        <v>151</v>
      </c>
      <c r="B3" t="s">
        <v>152</v>
      </c>
      <c r="C3">
        <v>34</v>
      </c>
      <c r="D3" t="s">
        <v>146</v>
      </c>
      <c r="E3" t="s">
        <v>966</v>
      </c>
      <c r="F3">
        <v>2024</v>
      </c>
      <c r="G3" t="s">
        <v>1053</v>
      </c>
      <c r="H3">
        <v>2023</v>
      </c>
      <c r="I3" t="s">
        <v>1066</v>
      </c>
      <c r="J3">
        <v>2017</v>
      </c>
      <c r="K3" t="s">
        <v>155</v>
      </c>
      <c r="L3">
        <v>2016</v>
      </c>
      <c r="M3" t="s">
        <v>1088</v>
      </c>
      <c r="N3">
        <v>2024</v>
      </c>
      <c r="O3" t="s">
        <v>1283</v>
      </c>
      <c r="P3">
        <v>2024</v>
      </c>
    </row>
    <row r="4" spans="1:16" x14ac:dyDescent="0.2">
      <c r="A4" t="s">
        <v>158</v>
      </c>
      <c r="B4" t="s">
        <v>159</v>
      </c>
      <c r="C4">
        <v>57</v>
      </c>
      <c r="D4" t="s">
        <v>160</v>
      </c>
      <c r="E4" t="s">
        <v>967</v>
      </c>
      <c r="F4">
        <v>2022</v>
      </c>
      <c r="G4" t="s">
        <v>1054</v>
      </c>
      <c r="H4">
        <v>2016</v>
      </c>
      <c r="I4" t="s">
        <v>1130</v>
      </c>
      <c r="J4">
        <v>2018</v>
      </c>
      <c r="K4" t="s">
        <v>893</v>
      </c>
      <c r="L4">
        <v>2018</v>
      </c>
      <c r="M4" t="s">
        <v>1224</v>
      </c>
      <c r="N4">
        <v>2023</v>
      </c>
      <c r="O4" t="s">
        <v>933</v>
      </c>
      <c r="P4">
        <v>2003</v>
      </c>
    </row>
    <row r="5" spans="1:16" x14ac:dyDescent="0.2">
      <c r="A5" t="s">
        <v>166</v>
      </c>
      <c r="B5" t="s">
        <v>167</v>
      </c>
      <c r="C5">
        <v>24</v>
      </c>
      <c r="D5" t="s">
        <v>160</v>
      </c>
      <c r="E5" t="s">
        <v>968</v>
      </c>
      <c r="F5">
        <v>2024</v>
      </c>
      <c r="G5" t="s">
        <v>1055</v>
      </c>
      <c r="H5">
        <v>2024</v>
      </c>
      <c r="I5" t="s">
        <v>1130</v>
      </c>
      <c r="J5">
        <v>2018</v>
      </c>
      <c r="K5" t="s">
        <v>893</v>
      </c>
      <c r="L5">
        <v>2018</v>
      </c>
      <c r="M5" t="s">
        <v>1225</v>
      </c>
      <c r="N5">
        <v>2024</v>
      </c>
      <c r="O5" t="s">
        <v>1284</v>
      </c>
      <c r="P5">
        <v>2023</v>
      </c>
    </row>
    <row r="6" spans="1:16" x14ac:dyDescent="0.2">
      <c r="A6" t="s">
        <v>172</v>
      </c>
      <c r="B6" t="s">
        <v>173</v>
      </c>
      <c r="C6">
        <v>33</v>
      </c>
      <c r="D6" t="s">
        <v>146</v>
      </c>
      <c r="E6" t="s">
        <v>969</v>
      </c>
      <c r="F6">
        <v>2024</v>
      </c>
      <c r="G6" t="s">
        <v>1056</v>
      </c>
      <c r="H6">
        <v>2023</v>
      </c>
      <c r="I6" t="s">
        <v>1130</v>
      </c>
      <c r="J6">
        <v>2018</v>
      </c>
      <c r="K6" t="s">
        <v>894</v>
      </c>
      <c r="L6">
        <v>2017</v>
      </c>
      <c r="M6" t="s">
        <v>707</v>
      </c>
      <c r="N6">
        <v>2023</v>
      </c>
      <c r="O6" t="s">
        <v>1284</v>
      </c>
      <c r="P6">
        <v>2023</v>
      </c>
    </row>
    <row r="7" spans="1:16" x14ac:dyDescent="0.2">
      <c r="A7" t="s">
        <v>178</v>
      </c>
      <c r="B7" t="s">
        <v>953</v>
      </c>
      <c r="C7">
        <v>46</v>
      </c>
      <c r="D7" t="s">
        <v>160</v>
      </c>
      <c r="E7" t="s">
        <v>970</v>
      </c>
      <c r="F7">
        <v>2023</v>
      </c>
      <c r="G7" t="s">
        <v>1057</v>
      </c>
      <c r="H7">
        <v>2016</v>
      </c>
      <c r="I7" t="s">
        <v>1131</v>
      </c>
      <c r="J7">
        <v>2024</v>
      </c>
      <c r="K7" t="s">
        <v>894</v>
      </c>
      <c r="L7">
        <v>2017</v>
      </c>
      <c r="M7" t="s">
        <v>1226</v>
      </c>
      <c r="N7">
        <v>2023</v>
      </c>
      <c r="O7" t="s">
        <v>929</v>
      </c>
      <c r="P7">
        <v>2022</v>
      </c>
    </row>
    <row r="8" spans="1:16" x14ac:dyDescent="0.2">
      <c r="A8" t="s">
        <v>183</v>
      </c>
      <c r="B8" t="s">
        <v>954</v>
      </c>
      <c r="C8">
        <v>28</v>
      </c>
      <c r="D8" t="s">
        <v>146</v>
      </c>
      <c r="E8" t="s">
        <v>933</v>
      </c>
      <c r="F8">
        <v>2003</v>
      </c>
      <c r="G8" t="s">
        <v>1058</v>
      </c>
      <c r="H8">
        <v>2016</v>
      </c>
      <c r="I8" t="s">
        <v>1132</v>
      </c>
      <c r="J8">
        <v>2025</v>
      </c>
      <c r="K8" t="s">
        <v>894</v>
      </c>
      <c r="L8">
        <v>2017</v>
      </c>
      <c r="M8" t="s">
        <v>707</v>
      </c>
      <c r="N8">
        <v>2023</v>
      </c>
      <c r="O8" t="s">
        <v>929</v>
      </c>
      <c r="P8">
        <v>2022</v>
      </c>
    </row>
    <row r="9" spans="1:16" x14ac:dyDescent="0.2">
      <c r="A9" t="s">
        <v>185</v>
      </c>
      <c r="B9" t="s">
        <v>186</v>
      </c>
      <c r="C9">
        <v>34</v>
      </c>
      <c r="D9" t="s">
        <v>146</v>
      </c>
      <c r="E9" t="s">
        <v>971</v>
      </c>
      <c r="F9">
        <v>2023</v>
      </c>
      <c r="G9" t="s">
        <v>1058</v>
      </c>
      <c r="H9">
        <v>2016</v>
      </c>
      <c r="I9" t="s">
        <v>1133</v>
      </c>
      <c r="J9">
        <v>2025</v>
      </c>
      <c r="K9" t="s">
        <v>894</v>
      </c>
      <c r="L9">
        <v>2017</v>
      </c>
      <c r="M9" t="s">
        <v>1227</v>
      </c>
      <c r="N9">
        <v>2024</v>
      </c>
      <c r="O9" t="s">
        <v>1285</v>
      </c>
      <c r="P9">
        <v>2022</v>
      </c>
    </row>
    <row r="10" spans="1:16" x14ac:dyDescent="0.2">
      <c r="A10" t="s">
        <v>189</v>
      </c>
      <c r="B10" t="s">
        <v>955</v>
      </c>
      <c r="C10">
        <v>61</v>
      </c>
      <c r="D10" t="s">
        <v>160</v>
      </c>
      <c r="E10" t="s">
        <v>972</v>
      </c>
      <c r="F10">
        <v>2023</v>
      </c>
      <c r="G10" t="s">
        <v>1058</v>
      </c>
      <c r="H10">
        <v>2016</v>
      </c>
      <c r="I10" t="s">
        <v>1134</v>
      </c>
      <c r="J10">
        <v>2024</v>
      </c>
      <c r="K10" t="s">
        <v>192</v>
      </c>
      <c r="L10">
        <v>2018</v>
      </c>
      <c r="M10" t="s">
        <v>1177</v>
      </c>
      <c r="N10">
        <v>2024</v>
      </c>
      <c r="O10" t="s">
        <v>1156</v>
      </c>
      <c r="P10">
        <v>2024</v>
      </c>
    </row>
    <row r="11" spans="1:16" x14ac:dyDescent="0.2">
      <c r="A11" t="s">
        <v>194</v>
      </c>
      <c r="B11" t="s">
        <v>195</v>
      </c>
      <c r="C11">
        <v>70</v>
      </c>
      <c r="D11" t="s">
        <v>160</v>
      </c>
      <c r="E11" t="s">
        <v>972</v>
      </c>
      <c r="F11">
        <v>2023</v>
      </c>
      <c r="G11" t="s">
        <v>1059</v>
      </c>
      <c r="H11">
        <v>2024</v>
      </c>
      <c r="I11" t="s">
        <v>997</v>
      </c>
      <c r="J11">
        <v>2023</v>
      </c>
      <c r="K11" t="s">
        <v>192</v>
      </c>
      <c r="L11">
        <v>2018</v>
      </c>
      <c r="M11" t="s">
        <v>272</v>
      </c>
      <c r="N11" t="s">
        <v>272</v>
      </c>
      <c r="O11" t="s">
        <v>199</v>
      </c>
      <c r="P11">
        <v>2023</v>
      </c>
    </row>
    <row r="12" spans="1:16" x14ac:dyDescent="0.2">
      <c r="A12" t="s">
        <v>200</v>
      </c>
      <c r="B12" t="s">
        <v>201</v>
      </c>
      <c r="C12">
        <v>82</v>
      </c>
      <c r="D12" t="s">
        <v>146</v>
      </c>
      <c r="E12" t="s">
        <v>272</v>
      </c>
      <c r="F12" t="s">
        <v>272</v>
      </c>
      <c r="G12" t="s">
        <v>202</v>
      </c>
      <c r="H12">
        <v>2018</v>
      </c>
      <c r="I12" t="s">
        <v>1135</v>
      </c>
      <c r="J12">
        <v>2023</v>
      </c>
      <c r="K12" t="s">
        <v>895</v>
      </c>
      <c r="L12">
        <v>2018</v>
      </c>
      <c r="M12" t="s">
        <v>1228</v>
      </c>
      <c r="N12">
        <v>2023</v>
      </c>
      <c r="O12" t="s">
        <v>1040</v>
      </c>
      <c r="P12">
        <v>2023</v>
      </c>
    </row>
    <row r="13" spans="1:16" x14ac:dyDescent="0.2">
      <c r="A13" t="s">
        <v>207</v>
      </c>
      <c r="B13" t="s">
        <v>956</v>
      </c>
      <c r="C13">
        <v>71</v>
      </c>
      <c r="D13" t="s">
        <v>160</v>
      </c>
      <c r="E13" t="s">
        <v>973</v>
      </c>
      <c r="F13">
        <v>2024</v>
      </c>
      <c r="G13" t="s">
        <v>202</v>
      </c>
      <c r="H13">
        <v>2018</v>
      </c>
      <c r="I13" t="s">
        <v>1105</v>
      </c>
      <c r="J13">
        <v>2024</v>
      </c>
      <c r="K13" t="s">
        <v>895</v>
      </c>
      <c r="L13">
        <v>2018</v>
      </c>
      <c r="M13" t="s">
        <v>1186</v>
      </c>
      <c r="N13">
        <v>2024</v>
      </c>
      <c r="O13" t="s">
        <v>211</v>
      </c>
      <c r="P13">
        <v>2024</v>
      </c>
    </row>
    <row r="14" spans="1:16" x14ac:dyDescent="0.2">
      <c r="A14" t="s">
        <v>212</v>
      </c>
      <c r="B14" t="s">
        <v>213</v>
      </c>
      <c r="C14">
        <v>23</v>
      </c>
      <c r="D14" t="s">
        <v>160</v>
      </c>
      <c r="E14" t="s">
        <v>965</v>
      </c>
      <c r="F14">
        <v>2023</v>
      </c>
      <c r="G14" t="s">
        <v>1060</v>
      </c>
      <c r="H14">
        <v>2023</v>
      </c>
      <c r="I14" t="s">
        <v>1136</v>
      </c>
      <c r="J14">
        <v>2023</v>
      </c>
      <c r="K14" t="s">
        <v>895</v>
      </c>
      <c r="L14">
        <v>2018</v>
      </c>
      <c r="M14" t="s">
        <v>1229</v>
      </c>
      <c r="N14">
        <v>2024</v>
      </c>
      <c r="O14" t="s">
        <v>1041</v>
      </c>
      <c r="P14">
        <v>2023</v>
      </c>
    </row>
    <row r="15" spans="1:16" x14ac:dyDescent="0.2">
      <c r="A15" t="s">
        <v>217</v>
      </c>
      <c r="B15" t="s">
        <v>218</v>
      </c>
      <c r="C15">
        <v>21</v>
      </c>
      <c r="D15" t="s">
        <v>146</v>
      </c>
      <c r="E15" t="s">
        <v>974</v>
      </c>
      <c r="F15">
        <v>2022</v>
      </c>
      <c r="G15" t="s">
        <v>1061</v>
      </c>
      <c r="H15">
        <v>2016</v>
      </c>
      <c r="I15" t="s">
        <v>1137</v>
      </c>
      <c r="J15">
        <v>2023</v>
      </c>
      <c r="K15" t="s">
        <v>895</v>
      </c>
      <c r="L15">
        <v>2018</v>
      </c>
      <c r="M15" t="s">
        <v>1125</v>
      </c>
      <c r="N15">
        <v>2023</v>
      </c>
      <c r="O15" t="s">
        <v>1042</v>
      </c>
      <c r="P15">
        <v>2020</v>
      </c>
    </row>
    <row r="16" spans="1:16" x14ac:dyDescent="0.2">
      <c r="A16" t="s">
        <v>224</v>
      </c>
      <c r="B16" t="s">
        <v>854</v>
      </c>
      <c r="C16">
        <v>42</v>
      </c>
      <c r="D16" t="s">
        <v>146</v>
      </c>
      <c r="E16" t="s">
        <v>975</v>
      </c>
      <c r="F16">
        <v>2024</v>
      </c>
      <c r="G16" t="s">
        <v>1062</v>
      </c>
      <c r="H16">
        <v>2023</v>
      </c>
      <c r="I16" t="s">
        <v>1138</v>
      </c>
      <c r="J16">
        <v>2024</v>
      </c>
      <c r="K16" t="s">
        <v>895</v>
      </c>
      <c r="L16">
        <v>2018</v>
      </c>
      <c r="M16" t="s">
        <v>1230</v>
      </c>
      <c r="N16">
        <v>2023</v>
      </c>
      <c r="O16" t="s">
        <v>1286</v>
      </c>
      <c r="P16">
        <v>2023</v>
      </c>
    </row>
    <row r="17" spans="1:16" x14ac:dyDescent="0.2">
      <c r="A17" t="s">
        <v>230</v>
      </c>
      <c r="B17" t="s">
        <v>231</v>
      </c>
      <c r="C17">
        <v>34</v>
      </c>
      <c r="D17" t="s">
        <v>146</v>
      </c>
      <c r="E17" t="s">
        <v>965</v>
      </c>
      <c r="F17">
        <v>2023</v>
      </c>
      <c r="G17" t="s">
        <v>272</v>
      </c>
      <c r="H17" t="s">
        <v>272</v>
      </c>
      <c r="I17" t="s">
        <v>216</v>
      </c>
      <c r="J17">
        <v>2023</v>
      </c>
      <c r="K17" t="s">
        <v>895</v>
      </c>
      <c r="L17">
        <v>2018</v>
      </c>
      <c r="M17" t="s">
        <v>993</v>
      </c>
      <c r="N17">
        <v>2023</v>
      </c>
      <c r="O17" t="s">
        <v>1221</v>
      </c>
      <c r="P17">
        <v>2023</v>
      </c>
    </row>
    <row r="18" spans="1:16" x14ac:dyDescent="0.2">
      <c r="A18" t="s">
        <v>235</v>
      </c>
      <c r="B18" t="s">
        <v>236</v>
      </c>
      <c r="C18">
        <v>62</v>
      </c>
      <c r="D18" t="s">
        <v>160</v>
      </c>
      <c r="E18" t="s">
        <v>966</v>
      </c>
      <c r="F18">
        <v>2024</v>
      </c>
      <c r="G18" t="s">
        <v>1063</v>
      </c>
      <c r="H18">
        <v>2023</v>
      </c>
      <c r="I18" t="s">
        <v>1139</v>
      </c>
      <c r="J18">
        <v>2024</v>
      </c>
      <c r="K18" t="s">
        <v>895</v>
      </c>
      <c r="L18">
        <v>2018</v>
      </c>
      <c r="M18" t="s">
        <v>1226</v>
      </c>
      <c r="N18">
        <v>2023</v>
      </c>
      <c r="O18" t="s">
        <v>1287</v>
      </c>
      <c r="P18">
        <v>2022</v>
      </c>
    </row>
    <row r="19" spans="1:16" x14ac:dyDescent="0.2">
      <c r="A19" t="s">
        <v>240</v>
      </c>
      <c r="B19" t="s">
        <v>241</v>
      </c>
      <c r="C19">
        <v>48</v>
      </c>
      <c r="D19" t="s">
        <v>146</v>
      </c>
      <c r="E19" t="s">
        <v>976</v>
      </c>
      <c r="F19">
        <v>2024</v>
      </c>
      <c r="G19" t="s">
        <v>1064</v>
      </c>
      <c r="H19">
        <v>2019</v>
      </c>
      <c r="I19" t="s">
        <v>1140</v>
      </c>
      <c r="J19">
        <v>2023</v>
      </c>
      <c r="K19" t="s">
        <v>245</v>
      </c>
      <c r="L19">
        <v>2017</v>
      </c>
      <c r="M19" t="s">
        <v>1231</v>
      </c>
      <c r="N19">
        <v>2024</v>
      </c>
      <c r="O19" t="s">
        <v>974</v>
      </c>
      <c r="P19">
        <v>2022</v>
      </c>
    </row>
    <row r="20" spans="1:16" x14ac:dyDescent="0.2">
      <c r="A20" t="s">
        <v>247</v>
      </c>
      <c r="B20" t="s">
        <v>248</v>
      </c>
      <c r="C20">
        <v>55</v>
      </c>
      <c r="D20" t="s">
        <v>146</v>
      </c>
      <c r="E20" t="s">
        <v>977</v>
      </c>
      <c r="F20">
        <v>2023</v>
      </c>
      <c r="G20" t="s">
        <v>1065</v>
      </c>
      <c r="H20">
        <v>2023</v>
      </c>
      <c r="I20" t="s">
        <v>1141</v>
      </c>
      <c r="J20">
        <v>2024</v>
      </c>
      <c r="K20" t="s">
        <v>245</v>
      </c>
      <c r="L20">
        <v>2017</v>
      </c>
      <c r="M20" t="s">
        <v>707</v>
      </c>
      <c r="N20">
        <v>2023</v>
      </c>
      <c r="O20" t="s">
        <v>930</v>
      </c>
      <c r="P20">
        <v>2023</v>
      </c>
    </row>
    <row r="21" spans="1:16" x14ac:dyDescent="0.2">
      <c r="A21" t="s">
        <v>252</v>
      </c>
      <c r="B21" t="s">
        <v>253</v>
      </c>
      <c r="C21">
        <v>32</v>
      </c>
      <c r="D21" t="s">
        <v>160</v>
      </c>
      <c r="E21" t="s">
        <v>965</v>
      </c>
      <c r="F21">
        <v>2023</v>
      </c>
      <c r="G21" t="s">
        <v>1066</v>
      </c>
      <c r="H21">
        <v>2017</v>
      </c>
      <c r="I21" t="s">
        <v>1142</v>
      </c>
      <c r="J21">
        <v>2024</v>
      </c>
      <c r="K21" t="s">
        <v>245</v>
      </c>
      <c r="L21">
        <v>2017</v>
      </c>
      <c r="M21" t="s">
        <v>1232</v>
      </c>
      <c r="N21">
        <v>2024</v>
      </c>
      <c r="O21" t="s">
        <v>971</v>
      </c>
      <c r="P21">
        <v>2023</v>
      </c>
    </row>
    <row r="22" spans="1:16" x14ac:dyDescent="0.2">
      <c r="A22" t="s">
        <v>257</v>
      </c>
      <c r="B22" t="s">
        <v>957</v>
      </c>
      <c r="C22">
        <v>51</v>
      </c>
      <c r="D22" t="s">
        <v>146</v>
      </c>
      <c r="E22" t="s">
        <v>978</v>
      </c>
      <c r="F22">
        <v>2023</v>
      </c>
      <c r="G22" t="s">
        <v>1067</v>
      </c>
      <c r="H22">
        <v>2024</v>
      </c>
      <c r="I22" t="s">
        <v>1104</v>
      </c>
      <c r="J22">
        <v>2023</v>
      </c>
      <c r="K22" t="s">
        <v>245</v>
      </c>
      <c r="L22">
        <v>2017</v>
      </c>
      <c r="M22" t="s">
        <v>1230</v>
      </c>
      <c r="N22">
        <v>2023</v>
      </c>
      <c r="O22" t="s">
        <v>971</v>
      </c>
      <c r="P22">
        <v>2023</v>
      </c>
    </row>
    <row r="23" spans="1:16" x14ac:dyDescent="0.2">
      <c r="A23" t="s">
        <v>261</v>
      </c>
      <c r="B23" t="s">
        <v>262</v>
      </c>
      <c r="C23">
        <v>78</v>
      </c>
      <c r="D23" t="s">
        <v>146</v>
      </c>
      <c r="E23" t="s">
        <v>979</v>
      </c>
      <c r="F23">
        <v>2024</v>
      </c>
      <c r="G23" t="s">
        <v>1068</v>
      </c>
      <c r="H23">
        <v>2023</v>
      </c>
      <c r="I23" t="s">
        <v>1127</v>
      </c>
      <c r="J23">
        <v>2023</v>
      </c>
      <c r="K23" t="s">
        <v>896</v>
      </c>
      <c r="L23">
        <v>2017</v>
      </c>
      <c r="M23" t="s">
        <v>993</v>
      </c>
      <c r="N23">
        <v>2023</v>
      </c>
      <c r="O23" t="s">
        <v>1261</v>
      </c>
      <c r="P23">
        <v>2023</v>
      </c>
    </row>
    <row r="24" spans="1:16" x14ac:dyDescent="0.2">
      <c r="A24" t="s">
        <v>266</v>
      </c>
      <c r="B24" t="s">
        <v>267</v>
      </c>
      <c r="C24">
        <v>47</v>
      </c>
      <c r="D24" t="s">
        <v>160</v>
      </c>
      <c r="E24" t="s">
        <v>980</v>
      </c>
      <c r="F24">
        <v>2024</v>
      </c>
      <c r="G24" t="s">
        <v>1069</v>
      </c>
      <c r="H24">
        <v>2024</v>
      </c>
      <c r="I24" t="s">
        <v>1328</v>
      </c>
      <c r="J24">
        <v>2023</v>
      </c>
      <c r="K24" t="s">
        <v>897</v>
      </c>
      <c r="L24">
        <v>2016</v>
      </c>
      <c r="M24" t="s">
        <v>1022</v>
      </c>
      <c r="N24">
        <v>2024</v>
      </c>
      <c r="O24" t="s">
        <v>272</v>
      </c>
      <c r="P24" t="s">
        <v>272</v>
      </c>
    </row>
    <row r="25" spans="1:16" x14ac:dyDescent="0.2">
      <c r="A25" t="s">
        <v>273</v>
      </c>
      <c r="B25" t="s">
        <v>274</v>
      </c>
      <c r="C25">
        <v>85</v>
      </c>
      <c r="D25" t="s">
        <v>160</v>
      </c>
      <c r="E25" t="s">
        <v>981</v>
      </c>
      <c r="F25">
        <v>2024</v>
      </c>
      <c r="G25" t="s">
        <v>1070</v>
      </c>
      <c r="H25">
        <v>2024</v>
      </c>
      <c r="I25" t="s">
        <v>1073</v>
      </c>
      <c r="J25">
        <v>2024</v>
      </c>
      <c r="K25" t="s">
        <v>897</v>
      </c>
      <c r="L25">
        <v>2016</v>
      </c>
      <c r="M25" t="s">
        <v>1233</v>
      </c>
      <c r="N25">
        <v>2023</v>
      </c>
      <c r="O25" t="s">
        <v>272</v>
      </c>
      <c r="P25" t="s">
        <v>272</v>
      </c>
    </row>
    <row r="26" spans="1:16" x14ac:dyDescent="0.2">
      <c r="A26" t="s">
        <v>279</v>
      </c>
      <c r="B26" t="s">
        <v>280</v>
      </c>
      <c r="C26">
        <v>83</v>
      </c>
      <c r="D26" t="s">
        <v>146</v>
      </c>
      <c r="E26" t="s">
        <v>982</v>
      </c>
      <c r="F26">
        <v>2024</v>
      </c>
      <c r="G26" t="s">
        <v>1071</v>
      </c>
      <c r="H26">
        <v>2018</v>
      </c>
      <c r="I26" t="s">
        <v>1143</v>
      </c>
      <c r="J26">
        <v>2023</v>
      </c>
      <c r="K26" t="s">
        <v>898</v>
      </c>
      <c r="L26">
        <v>2018</v>
      </c>
      <c r="M26" t="s">
        <v>1234</v>
      </c>
      <c r="N26">
        <v>2024</v>
      </c>
      <c r="O26" t="s">
        <v>1288</v>
      </c>
      <c r="P26">
        <v>2023</v>
      </c>
    </row>
    <row r="27" spans="1:16" x14ac:dyDescent="0.2">
      <c r="A27" t="s">
        <v>285</v>
      </c>
      <c r="B27" t="s">
        <v>286</v>
      </c>
      <c r="C27">
        <v>61</v>
      </c>
      <c r="D27" t="s">
        <v>146</v>
      </c>
      <c r="E27" t="s">
        <v>983</v>
      </c>
      <c r="F27">
        <v>2023</v>
      </c>
      <c r="G27" t="s">
        <v>1072</v>
      </c>
      <c r="H27">
        <v>2023</v>
      </c>
      <c r="I27" t="s">
        <v>1144</v>
      </c>
      <c r="J27">
        <v>2024</v>
      </c>
      <c r="K27" t="s">
        <v>899</v>
      </c>
      <c r="L27">
        <v>2018</v>
      </c>
      <c r="M27" t="s">
        <v>1235</v>
      </c>
      <c r="N27">
        <v>2024</v>
      </c>
      <c r="O27" t="s">
        <v>974</v>
      </c>
      <c r="P27">
        <v>2022</v>
      </c>
    </row>
    <row r="28" spans="1:16" x14ac:dyDescent="0.2">
      <c r="A28" t="s">
        <v>291</v>
      </c>
      <c r="B28" t="s">
        <v>292</v>
      </c>
      <c r="C28">
        <v>64</v>
      </c>
      <c r="D28" t="s">
        <v>146</v>
      </c>
      <c r="E28" t="s">
        <v>984</v>
      </c>
      <c r="F28">
        <v>2023</v>
      </c>
      <c r="G28" t="s">
        <v>272</v>
      </c>
      <c r="H28" t="s">
        <v>272</v>
      </c>
      <c r="I28" t="s">
        <v>1145</v>
      </c>
      <c r="J28">
        <v>2023</v>
      </c>
      <c r="K28" t="s">
        <v>900</v>
      </c>
      <c r="L28">
        <v>2019</v>
      </c>
      <c r="M28" t="s">
        <v>272</v>
      </c>
      <c r="N28" t="s">
        <v>272</v>
      </c>
      <c r="O28" t="s">
        <v>1289</v>
      </c>
      <c r="P28">
        <v>2026</v>
      </c>
    </row>
    <row r="29" spans="1:16" x14ac:dyDescent="0.2">
      <c r="A29" t="s">
        <v>296</v>
      </c>
      <c r="B29" t="s">
        <v>297</v>
      </c>
      <c r="C29">
        <v>81</v>
      </c>
      <c r="D29" t="s">
        <v>160</v>
      </c>
      <c r="E29" t="s">
        <v>965</v>
      </c>
      <c r="F29">
        <v>2023</v>
      </c>
      <c r="G29" t="s">
        <v>1073</v>
      </c>
      <c r="H29">
        <v>2024</v>
      </c>
      <c r="I29" t="s">
        <v>1146</v>
      </c>
      <c r="J29">
        <v>2024</v>
      </c>
      <c r="K29" t="s">
        <v>901</v>
      </c>
      <c r="L29">
        <v>2017</v>
      </c>
      <c r="M29" t="s">
        <v>1236</v>
      </c>
      <c r="N29">
        <v>2024</v>
      </c>
      <c r="O29" t="s">
        <v>1285</v>
      </c>
      <c r="P29">
        <v>2022</v>
      </c>
    </row>
    <row r="30" spans="1:16" x14ac:dyDescent="0.2">
      <c r="A30" t="s">
        <v>300</v>
      </c>
      <c r="B30" t="s">
        <v>301</v>
      </c>
      <c r="C30">
        <v>76</v>
      </c>
      <c r="D30" t="s">
        <v>160</v>
      </c>
      <c r="E30" t="s">
        <v>985</v>
      </c>
      <c r="F30">
        <v>2023</v>
      </c>
      <c r="G30" t="s">
        <v>1045</v>
      </c>
      <c r="H30">
        <v>2023</v>
      </c>
      <c r="I30" t="s">
        <v>1147</v>
      </c>
      <c r="J30">
        <v>2024</v>
      </c>
      <c r="K30" t="s">
        <v>901</v>
      </c>
      <c r="L30">
        <v>2017</v>
      </c>
      <c r="M30" t="s">
        <v>1232</v>
      </c>
      <c r="N30">
        <v>2024</v>
      </c>
      <c r="O30" t="s">
        <v>272</v>
      </c>
      <c r="P30" t="s">
        <v>272</v>
      </c>
    </row>
    <row r="31" spans="1:16" x14ac:dyDescent="0.2">
      <c r="A31" t="s">
        <v>305</v>
      </c>
      <c r="B31" t="s">
        <v>306</v>
      </c>
      <c r="C31">
        <v>25</v>
      </c>
      <c r="D31" t="s">
        <v>160</v>
      </c>
      <c r="E31" t="s">
        <v>986</v>
      </c>
      <c r="F31">
        <v>2024</v>
      </c>
      <c r="G31" t="s">
        <v>1074</v>
      </c>
      <c r="H31">
        <v>2023</v>
      </c>
      <c r="I31" t="s">
        <v>1148</v>
      </c>
      <c r="J31">
        <v>2024</v>
      </c>
      <c r="K31" t="s">
        <v>901</v>
      </c>
      <c r="L31">
        <v>2017</v>
      </c>
      <c r="M31" t="s">
        <v>1100</v>
      </c>
      <c r="N31">
        <v>2024</v>
      </c>
      <c r="O31" t="s">
        <v>971</v>
      </c>
      <c r="P31">
        <v>2023</v>
      </c>
    </row>
    <row r="32" spans="1:16" x14ac:dyDescent="0.2">
      <c r="A32" t="s">
        <v>311</v>
      </c>
      <c r="B32" t="s">
        <v>312</v>
      </c>
      <c r="C32">
        <v>47</v>
      </c>
      <c r="D32" t="s">
        <v>160</v>
      </c>
      <c r="E32" t="s">
        <v>987</v>
      </c>
      <c r="F32">
        <v>2023</v>
      </c>
      <c r="G32" t="s">
        <v>1048</v>
      </c>
      <c r="H32">
        <v>2024</v>
      </c>
      <c r="I32" t="s">
        <v>1149</v>
      </c>
      <c r="J32">
        <v>2023</v>
      </c>
      <c r="K32" t="s">
        <v>430</v>
      </c>
      <c r="L32">
        <v>2019</v>
      </c>
      <c r="M32" t="s">
        <v>1237</v>
      </c>
      <c r="N32">
        <v>2024</v>
      </c>
      <c r="O32" t="s">
        <v>1285</v>
      </c>
      <c r="P32">
        <v>2022</v>
      </c>
    </row>
    <row r="33" spans="1:16" x14ac:dyDescent="0.2">
      <c r="A33" t="s">
        <v>317</v>
      </c>
      <c r="B33" t="s">
        <v>318</v>
      </c>
      <c r="C33">
        <v>47</v>
      </c>
      <c r="D33" t="s">
        <v>146</v>
      </c>
      <c r="E33" t="s">
        <v>965</v>
      </c>
      <c r="F33">
        <v>2023</v>
      </c>
      <c r="G33" t="s">
        <v>1075</v>
      </c>
      <c r="H33">
        <v>2023</v>
      </c>
      <c r="I33" t="s">
        <v>1150</v>
      </c>
      <c r="J33">
        <v>2023</v>
      </c>
      <c r="K33" t="s">
        <v>430</v>
      </c>
      <c r="L33">
        <v>2019</v>
      </c>
      <c r="M33" t="s">
        <v>1238</v>
      </c>
      <c r="N33">
        <v>2023</v>
      </c>
      <c r="O33" t="s">
        <v>1285</v>
      </c>
      <c r="P33">
        <v>2022</v>
      </c>
    </row>
    <row r="34" spans="1:16" x14ac:dyDescent="0.2">
      <c r="A34" t="s">
        <v>322</v>
      </c>
      <c r="B34" t="s">
        <v>323</v>
      </c>
      <c r="C34">
        <v>63</v>
      </c>
      <c r="D34" t="s">
        <v>160</v>
      </c>
      <c r="E34" t="s">
        <v>272</v>
      </c>
      <c r="F34" t="s">
        <v>272</v>
      </c>
      <c r="G34" t="s">
        <v>272</v>
      </c>
      <c r="H34" t="s">
        <v>272</v>
      </c>
      <c r="I34" t="s">
        <v>1151</v>
      </c>
      <c r="J34">
        <v>2024</v>
      </c>
      <c r="K34" t="s">
        <v>430</v>
      </c>
      <c r="L34">
        <v>2019</v>
      </c>
      <c r="M34" t="s">
        <v>272</v>
      </c>
      <c r="N34" t="s">
        <v>272</v>
      </c>
      <c r="O34" t="s">
        <v>1042</v>
      </c>
      <c r="P34">
        <v>2020</v>
      </c>
    </row>
    <row r="35" spans="1:16" x14ac:dyDescent="0.2">
      <c r="A35" t="s">
        <v>325</v>
      </c>
      <c r="B35" t="s">
        <v>326</v>
      </c>
      <c r="C35">
        <v>49</v>
      </c>
      <c r="D35" t="s">
        <v>160</v>
      </c>
      <c r="E35" t="s">
        <v>988</v>
      </c>
      <c r="F35">
        <v>2024</v>
      </c>
      <c r="G35" t="s">
        <v>1041</v>
      </c>
      <c r="H35">
        <v>2023</v>
      </c>
      <c r="I35" t="s">
        <v>211</v>
      </c>
      <c r="J35">
        <v>2024</v>
      </c>
      <c r="K35" t="s">
        <v>902</v>
      </c>
      <c r="L35">
        <v>2016</v>
      </c>
      <c r="M35" t="s">
        <v>1074</v>
      </c>
      <c r="N35">
        <v>2023</v>
      </c>
      <c r="O35" t="s">
        <v>1221</v>
      </c>
      <c r="P35">
        <v>2023</v>
      </c>
    </row>
    <row r="36" spans="1:16" x14ac:dyDescent="0.2">
      <c r="A36" t="s">
        <v>331</v>
      </c>
      <c r="B36" t="s">
        <v>332</v>
      </c>
      <c r="C36">
        <v>81</v>
      </c>
      <c r="D36" t="s">
        <v>146</v>
      </c>
      <c r="E36" t="s">
        <v>989</v>
      </c>
      <c r="F36">
        <v>2023</v>
      </c>
      <c r="G36" t="s">
        <v>1076</v>
      </c>
      <c r="H36">
        <v>2023</v>
      </c>
      <c r="I36" t="s">
        <v>1152</v>
      </c>
      <c r="J36">
        <v>2023</v>
      </c>
      <c r="K36" t="s">
        <v>903</v>
      </c>
      <c r="L36">
        <v>2018</v>
      </c>
      <c r="M36" t="s">
        <v>1239</v>
      </c>
      <c r="N36">
        <v>2024</v>
      </c>
      <c r="O36" t="s">
        <v>1290</v>
      </c>
      <c r="P36">
        <v>2022</v>
      </c>
    </row>
    <row r="37" spans="1:16" x14ac:dyDescent="0.2">
      <c r="A37" t="s">
        <v>338</v>
      </c>
      <c r="B37" t="s">
        <v>339</v>
      </c>
      <c r="C37">
        <v>79</v>
      </c>
      <c r="D37" t="s">
        <v>160</v>
      </c>
      <c r="E37" t="s">
        <v>990</v>
      </c>
      <c r="F37">
        <v>2023</v>
      </c>
      <c r="G37" t="s">
        <v>891</v>
      </c>
      <c r="H37">
        <v>2016</v>
      </c>
      <c r="I37" t="s">
        <v>1150</v>
      </c>
      <c r="J37">
        <v>2023</v>
      </c>
      <c r="K37" t="s">
        <v>903</v>
      </c>
      <c r="L37">
        <v>2018</v>
      </c>
      <c r="M37" t="s">
        <v>1095</v>
      </c>
      <c r="N37">
        <v>2023</v>
      </c>
      <c r="O37" t="s">
        <v>1091</v>
      </c>
      <c r="P37">
        <v>2023</v>
      </c>
    </row>
    <row r="38" spans="1:16" x14ac:dyDescent="0.2">
      <c r="A38" t="s">
        <v>345</v>
      </c>
      <c r="B38" t="s">
        <v>346</v>
      </c>
      <c r="C38">
        <v>81</v>
      </c>
      <c r="D38" t="s">
        <v>160</v>
      </c>
      <c r="E38" t="s">
        <v>991</v>
      </c>
      <c r="F38">
        <v>2024</v>
      </c>
      <c r="G38" t="s">
        <v>157</v>
      </c>
      <c r="H38">
        <v>2024</v>
      </c>
      <c r="I38" t="s">
        <v>1153</v>
      </c>
      <c r="J38">
        <v>2024</v>
      </c>
      <c r="K38" t="s">
        <v>349</v>
      </c>
      <c r="L38">
        <v>2016</v>
      </c>
      <c r="M38" t="s">
        <v>1191</v>
      </c>
      <c r="N38">
        <v>2024</v>
      </c>
      <c r="O38" t="s">
        <v>1221</v>
      </c>
      <c r="P38">
        <v>2023</v>
      </c>
    </row>
    <row r="39" spans="1:16" x14ac:dyDescent="0.2">
      <c r="A39" t="s">
        <v>351</v>
      </c>
      <c r="B39" t="s">
        <v>352</v>
      </c>
      <c r="C39">
        <v>20</v>
      </c>
      <c r="D39" t="s">
        <v>146</v>
      </c>
      <c r="E39" t="s">
        <v>992</v>
      </c>
      <c r="F39">
        <v>2023</v>
      </c>
      <c r="G39" t="s">
        <v>1077</v>
      </c>
      <c r="H39">
        <v>2023</v>
      </c>
      <c r="I39" t="s">
        <v>1154</v>
      </c>
      <c r="J39">
        <v>2024</v>
      </c>
      <c r="K39" t="s">
        <v>349</v>
      </c>
      <c r="L39">
        <v>2016</v>
      </c>
      <c r="M39" t="s">
        <v>1098</v>
      </c>
      <c r="N39">
        <v>2024</v>
      </c>
      <c r="O39" t="s">
        <v>1291</v>
      </c>
      <c r="P39">
        <v>2023</v>
      </c>
    </row>
    <row r="40" spans="1:16" x14ac:dyDescent="0.2">
      <c r="A40" t="s">
        <v>358</v>
      </c>
      <c r="B40" t="s">
        <v>359</v>
      </c>
      <c r="C40">
        <v>40</v>
      </c>
      <c r="D40" t="s">
        <v>146</v>
      </c>
      <c r="E40" t="s">
        <v>993</v>
      </c>
      <c r="F40">
        <v>2023</v>
      </c>
      <c r="G40" t="s">
        <v>1078</v>
      </c>
      <c r="H40">
        <v>2019</v>
      </c>
      <c r="I40" t="s">
        <v>1155</v>
      </c>
      <c r="J40">
        <v>2024</v>
      </c>
      <c r="K40" t="s">
        <v>904</v>
      </c>
      <c r="L40">
        <v>2017</v>
      </c>
      <c r="M40" t="s">
        <v>1011</v>
      </c>
      <c r="N40">
        <v>2024</v>
      </c>
      <c r="O40" t="s">
        <v>930</v>
      </c>
      <c r="P40">
        <v>2023</v>
      </c>
    </row>
    <row r="41" spans="1:16" x14ac:dyDescent="0.2">
      <c r="A41" t="s">
        <v>365</v>
      </c>
      <c r="B41" t="s">
        <v>366</v>
      </c>
      <c r="C41">
        <v>52</v>
      </c>
      <c r="D41" t="s">
        <v>146</v>
      </c>
      <c r="E41" t="s">
        <v>157</v>
      </c>
      <c r="F41">
        <v>2024</v>
      </c>
      <c r="G41" t="s">
        <v>1079</v>
      </c>
      <c r="H41">
        <v>2021</v>
      </c>
      <c r="I41" t="s">
        <v>1156</v>
      </c>
      <c r="J41">
        <v>2024</v>
      </c>
      <c r="K41" t="s">
        <v>370</v>
      </c>
      <c r="L41">
        <v>2019</v>
      </c>
      <c r="M41" t="s">
        <v>1240</v>
      </c>
      <c r="N41">
        <v>2024</v>
      </c>
      <c r="O41" t="s">
        <v>933</v>
      </c>
      <c r="P41">
        <v>2003</v>
      </c>
    </row>
    <row r="42" spans="1:16" x14ac:dyDescent="0.2">
      <c r="A42" t="s">
        <v>372</v>
      </c>
      <c r="B42" t="s">
        <v>373</v>
      </c>
      <c r="C42">
        <v>77</v>
      </c>
      <c r="D42" t="s">
        <v>146</v>
      </c>
      <c r="E42" t="s">
        <v>994</v>
      </c>
      <c r="F42">
        <v>2024</v>
      </c>
      <c r="G42" t="s">
        <v>1080</v>
      </c>
      <c r="H42">
        <v>2022</v>
      </c>
      <c r="I42" t="s">
        <v>1087</v>
      </c>
      <c r="J42">
        <v>2024</v>
      </c>
      <c r="K42" t="s">
        <v>905</v>
      </c>
      <c r="L42">
        <v>2019</v>
      </c>
      <c r="M42" t="s">
        <v>1241</v>
      </c>
      <c r="N42">
        <v>2024</v>
      </c>
      <c r="O42" t="s">
        <v>930</v>
      </c>
      <c r="P42">
        <v>2023</v>
      </c>
    </row>
    <row r="43" spans="1:16" x14ac:dyDescent="0.2">
      <c r="A43" t="s">
        <v>378</v>
      </c>
      <c r="B43" t="s">
        <v>379</v>
      </c>
      <c r="C43">
        <v>41</v>
      </c>
      <c r="D43" t="s">
        <v>160</v>
      </c>
      <c r="E43" t="s">
        <v>995</v>
      </c>
      <c r="F43">
        <v>2024</v>
      </c>
      <c r="G43" t="s">
        <v>1081</v>
      </c>
      <c r="H43">
        <v>2018</v>
      </c>
      <c r="I43" t="s">
        <v>1157</v>
      </c>
      <c r="J43">
        <v>2023</v>
      </c>
      <c r="K43" t="s">
        <v>906</v>
      </c>
      <c r="L43">
        <v>2019</v>
      </c>
      <c r="M43" t="s">
        <v>1242</v>
      </c>
      <c r="N43">
        <v>2023</v>
      </c>
      <c r="O43" t="s">
        <v>927</v>
      </c>
      <c r="P43">
        <v>2022</v>
      </c>
    </row>
    <row r="44" spans="1:16" x14ac:dyDescent="0.2">
      <c r="A44" t="s">
        <v>384</v>
      </c>
      <c r="B44" t="s">
        <v>385</v>
      </c>
      <c r="C44">
        <v>68</v>
      </c>
      <c r="D44" t="s">
        <v>160</v>
      </c>
      <c r="E44" t="s">
        <v>996</v>
      </c>
      <c r="F44">
        <v>2024</v>
      </c>
      <c r="G44" t="s">
        <v>1330</v>
      </c>
      <c r="H44">
        <v>2025</v>
      </c>
      <c r="I44" t="s">
        <v>1158</v>
      </c>
      <c r="J44">
        <v>2023</v>
      </c>
      <c r="K44" t="s">
        <v>906</v>
      </c>
      <c r="L44">
        <v>2019</v>
      </c>
      <c r="M44" t="s">
        <v>272</v>
      </c>
      <c r="N44" t="s">
        <v>272</v>
      </c>
      <c r="O44" t="s">
        <v>927</v>
      </c>
      <c r="P44">
        <v>2022</v>
      </c>
    </row>
    <row r="45" spans="1:16" x14ac:dyDescent="0.2">
      <c r="A45" t="s">
        <v>388</v>
      </c>
      <c r="B45" t="s">
        <v>389</v>
      </c>
      <c r="C45">
        <v>78</v>
      </c>
      <c r="D45" t="s">
        <v>160</v>
      </c>
      <c r="E45" t="s">
        <v>965</v>
      </c>
      <c r="F45">
        <v>2023</v>
      </c>
      <c r="G45" t="s">
        <v>810</v>
      </c>
      <c r="H45">
        <v>2017</v>
      </c>
      <c r="I45" t="s">
        <v>1051</v>
      </c>
      <c r="J45">
        <v>2024</v>
      </c>
      <c r="K45" t="s">
        <v>907</v>
      </c>
      <c r="L45">
        <v>2018</v>
      </c>
      <c r="M45" t="s">
        <v>1111</v>
      </c>
      <c r="N45">
        <v>2023</v>
      </c>
      <c r="O45" t="s">
        <v>971</v>
      </c>
      <c r="P45">
        <v>2023</v>
      </c>
    </row>
    <row r="46" spans="1:16" x14ac:dyDescent="0.2">
      <c r="A46" t="s">
        <v>394</v>
      </c>
      <c r="B46" t="s">
        <v>395</v>
      </c>
      <c r="C46">
        <v>80</v>
      </c>
      <c r="D46" t="s">
        <v>160</v>
      </c>
      <c r="E46" t="s">
        <v>997</v>
      </c>
      <c r="F46">
        <v>2023</v>
      </c>
      <c r="G46" t="s">
        <v>397</v>
      </c>
      <c r="H46">
        <v>2018</v>
      </c>
      <c r="I46" t="s">
        <v>1023</v>
      </c>
      <c r="J46">
        <v>2024</v>
      </c>
      <c r="K46" t="s">
        <v>908</v>
      </c>
      <c r="L46">
        <v>2018</v>
      </c>
      <c r="M46" t="s">
        <v>272</v>
      </c>
      <c r="N46" t="s">
        <v>272</v>
      </c>
      <c r="O46" t="s">
        <v>1033</v>
      </c>
      <c r="P46">
        <v>2023</v>
      </c>
    </row>
    <row r="47" spans="1:16" x14ac:dyDescent="0.2">
      <c r="A47" t="s">
        <v>400</v>
      </c>
      <c r="B47" t="s">
        <v>401</v>
      </c>
      <c r="C47">
        <v>61</v>
      </c>
      <c r="D47" t="s">
        <v>146</v>
      </c>
      <c r="E47" t="s">
        <v>932</v>
      </c>
      <c r="F47">
        <v>2024</v>
      </c>
      <c r="G47" t="s">
        <v>1082</v>
      </c>
      <c r="H47">
        <v>2017</v>
      </c>
      <c r="I47" t="s">
        <v>1159</v>
      </c>
      <c r="J47">
        <v>2023</v>
      </c>
      <c r="K47" t="s">
        <v>908</v>
      </c>
      <c r="L47">
        <v>2018</v>
      </c>
      <c r="M47" t="s">
        <v>272</v>
      </c>
      <c r="N47" t="s">
        <v>272</v>
      </c>
      <c r="O47" t="s">
        <v>1292</v>
      </c>
      <c r="P47">
        <v>2024</v>
      </c>
    </row>
    <row r="48" spans="1:16" x14ac:dyDescent="0.2">
      <c r="A48" t="s">
        <v>405</v>
      </c>
      <c r="B48" t="s">
        <v>406</v>
      </c>
      <c r="C48">
        <v>79</v>
      </c>
      <c r="D48" t="s">
        <v>146</v>
      </c>
      <c r="E48" t="s">
        <v>998</v>
      </c>
      <c r="F48">
        <v>2023</v>
      </c>
      <c r="G48" t="s">
        <v>810</v>
      </c>
      <c r="H48">
        <v>2017</v>
      </c>
      <c r="I48" t="s">
        <v>1160</v>
      </c>
      <c r="J48">
        <v>2024</v>
      </c>
      <c r="K48" t="s">
        <v>908</v>
      </c>
      <c r="L48">
        <v>2018</v>
      </c>
      <c r="M48" t="s">
        <v>1134</v>
      </c>
      <c r="N48">
        <v>2024</v>
      </c>
      <c r="O48" t="s">
        <v>1221</v>
      </c>
      <c r="P48">
        <v>2023</v>
      </c>
    </row>
    <row r="49" spans="1:16" x14ac:dyDescent="0.2">
      <c r="A49" t="s">
        <v>410</v>
      </c>
      <c r="B49" t="s">
        <v>411</v>
      </c>
      <c r="C49">
        <v>34</v>
      </c>
      <c r="D49" t="s">
        <v>160</v>
      </c>
      <c r="E49" t="s">
        <v>999</v>
      </c>
      <c r="F49">
        <v>2024</v>
      </c>
      <c r="G49" t="s">
        <v>1083</v>
      </c>
      <c r="H49">
        <v>2023</v>
      </c>
      <c r="I49" t="s">
        <v>1161</v>
      </c>
      <c r="J49">
        <v>2023</v>
      </c>
      <c r="K49" t="s">
        <v>909</v>
      </c>
      <c r="L49">
        <v>2017</v>
      </c>
      <c r="M49" t="s">
        <v>1243</v>
      </c>
      <c r="N49">
        <v>2023</v>
      </c>
      <c r="O49" t="s">
        <v>1293</v>
      </c>
      <c r="P49">
        <v>2023</v>
      </c>
    </row>
    <row r="50" spans="1:16" x14ac:dyDescent="0.2">
      <c r="A50" t="s">
        <v>416</v>
      </c>
      <c r="B50" t="s">
        <v>417</v>
      </c>
      <c r="C50">
        <v>81</v>
      </c>
      <c r="D50" t="s">
        <v>160</v>
      </c>
      <c r="E50" t="s">
        <v>1000</v>
      </c>
      <c r="F50">
        <v>2023</v>
      </c>
      <c r="G50" t="s">
        <v>790</v>
      </c>
      <c r="H50">
        <v>2018</v>
      </c>
      <c r="I50" t="s">
        <v>1162</v>
      </c>
      <c r="J50">
        <v>2023</v>
      </c>
      <c r="K50" t="s">
        <v>909</v>
      </c>
      <c r="L50">
        <v>2017</v>
      </c>
      <c r="M50" t="s">
        <v>272</v>
      </c>
      <c r="N50" t="s">
        <v>272</v>
      </c>
      <c r="O50" t="s">
        <v>1293</v>
      </c>
      <c r="P50">
        <v>2023</v>
      </c>
    </row>
    <row r="51" spans="1:16" x14ac:dyDescent="0.2">
      <c r="A51" t="s">
        <v>421</v>
      </c>
      <c r="B51" t="s">
        <v>958</v>
      </c>
      <c r="C51">
        <v>81</v>
      </c>
      <c r="D51" t="s">
        <v>160</v>
      </c>
      <c r="E51" t="s">
        <v>1001</v>
      </c>
      <c r="F51">
        <v>2023</v>
      </c>
      <c r="G51" t="s">
        <v>1081</v>
      </c>
      <c r="H51">
        <v>2018</v>
      </c>
      <c r="I51" t="s">
        <v>1163</v>
      </c>
      <c r="J51">
        <v>2023</v>
      </c>
      <c r="K51" t="s">
        <v>909</v>
      </c>
      <c r="L51">
        <v>2017</v>
      </c>
      <c r="M51" t="s">
        <v>1244</v>
      </c>
      <c r="N51">
        <v>2024</v>
      </c>
      <c r="O51" t="s">
        <v>974</v>
      </c>
      <c r="P51">
        <v>2022</v>
      </c>
    </row>
    <row r="52" spans="1:16" x14ac:dyDescent="0.2">
      <c r="A52" t="s">
        <v>425</v>
      </c>
      <c r="B52" t="s">
        <v>426</v>
      </c>
      <c r="C52">
        <v>66</v>
      </c>
      <c r="D52" t="s">
        <v>160</v>
      </c>
      <c r="E52" t="s">
        <v>1002</v>
      </c>
      <c r="F52">
        <v>2023</v>
      </c>
      <c r="G52" t="s">
        <v>1084</v>
      </c>
      <c r="H52">
        <v>2019</v>
      </c>
      <c r="I52" t="s">
        <v>1164</v>
      </c>
      <c r="J52">
        <v>2023</v>
      </c>
      <c r="K52" t="s">
        <v>315</v>
      </c>
      <c r="L52">
        <v>2019</v>
      </c>
      <c r="M52" t="s">
        <v>272</v>
      </c>
      <c r="N52" t="s">
        <v>272</v>
      </c>
      <c r="O52" t="s">
        <v>1285</v>
      </c>
      <c r="P52">
        <v>2022</v>
      </c>
    </row>
    <row r="53" spans="1:16" x14ac:dyDescent="0.2">
      <c r="A53" t="s">
        <v>431</v>
      </c>
      <c r="B53" t="s">
        <v>432</v>
      </c>
      <c r="C53">
        <v>81</v>
      </c>
      <c r="D53" t="s">
        <v>146</v>
      </c>
      <c r="E53" t="s">
        <v>1003</v>
      </c>
      <c r="F53">
        <v>2023</v>
      </c>
      <c r="G53" t="s">
        <v>891</v>
      </c>
      <c r="H53">
        <v>2016</v>
      </c>
      <c r="I53" t="s">
        <v>1165</v>
      </c>
      <c r="J53">
        <v>2023</v>
      </c>
      <c r="K53" t="s">
        <v>435</v>
      </c>
      <c r="L53">
        <v>2019</v>
      </c>
      <c r="M53" t="s">
        <v>1245</v>
      </c>
      <c r="N53">
        <v>2023</v>
      </c>
      <c r="O53" t="s">
        <v>927</v>
      </c>
      <c r="P53">
        <v>2022</v>
      </c>
    </row>
    <row r="54" spans="1:16" x14ac:dyDescent="0.2">
      <c r="A54" t="s">
        <v>437</v>
      </c>
      <c r="B54" t="s">
        <v>438</v>
      </c>
      <c r="C54">
        <v>70</v>
      </c>
      <c r="D54" t="s">
        <v>160</v>
      </c>
      <c r="E54" t="s">
        <v>965</v>
      </c>
      <c r="F54">
        <v>2023</v>
      </c>
      <c r="G54" t="s">
        <v>1085</v>
      </c>
      <c r="H54">
        <v>2018</v>
      </c>
      <c r="I54" t="s">
        <v>1166</v>
      </c>
      <c r="J54">
        <v>2023</v>
      </c>
      <c r="K54" t="s">
        <v>910</v>
      </c>
      <c r="L54">
        <v>2019</v>
      </c>
      <c r="M54" t="s">
        <v>1246</v>
      </c>
      <c r="N54">
        <v>2023</v>
      </c>
      <c r="O54" t="s">
        <v>1294</v>
      </c>
      <c r="P54">
        <v>2022</v>
      </c>
    </row>
    <row r="55" spans="1:16" x14ac:dyDescent="0.2">
      <c r="A55" t="s">
        <v>443</v>
      </c>
      <c r="B55" t="s">
        <v>444</v>
      </c>
      <c r="C55">
        <v>74</v>
      </c>
      <c r="D55" t="s">
        <v>146</v>
      </c>
      <c r="E55" t="s">
        <v>1004</v>
      </c>
      <c r="F55">
        <v>2023</v>
      </c>
      <c r="G55" t="s">
        <v>446</v>
      </c>
      <c r="H55">
        <v>2025</v>
      </c>
      <c r="I55" t="s">
        <v>1167</v>
      </c>
      <c r="J55">
        <v>2023</v>
      </c>
      <c r="K55" t="s">
        <v>911</v>
      </c>
      <c r="L55">
        <v>2018</v>
      </c>
      <c r="M55" t="s">
        <v>1247</v>
      </c>
      <c r="N55">
        <v>2023</v>
      </c>
      <c r="O55" t="s">
        <v>1287</v>
      </c>
      <c r="P55">
        <v>2022</v>
      </c>
    </row>
    <row r="56" spans="1:16" x14ac:dyDescent="0.2">
      <c r="A56" t="s">
        <v>450</v>
      </c>
      <c r="B56" t="s">
        <v>959</v>
      </c>
      <c r="C56">
        <v>83</v>
      </c>
      <c r="D56" t="s">
        <v>160</v>
      </c>
      <c r="E56" t="s">
        <v>1005</v>
      </c>
      <c r="F56">
        <v>2023</v>
      </c>
      <c r="G56" t="s">
        <v>1086</v>
      </c>
      <c r="H56">
        <v>2018</v>
      </c>
      <c r="I56" t="s">
        <v>930</v>
      </c>
      <c r="J56">
        <v>2023</v>
      </c>
      <c r="K56" t="s">
        <v>912</v>
      </c>
      <c r="L56">
        <v>2018</v>
      </c>
      <c r="M56" t="s">
        <v>1248</v>
      </c>
      <c r="N56">
        <v>2024</v>
      </c>
      <c r="O56" t="s">
        <v>971</v>
      </c>
      <c r="P56">
        <v>2023</v>
      </c>
    </row>
    <row r="57" spans="1:16" x14ac:dyDescent="0.2">
      <c r="A57" t="s">
        <v>453</v>
      </c>
      <c r="B57" t="s">
        <v>454</v>
      </c>
      <c r="C57">
        <v>40</v>
      </c>
      <c r="D57" t="s">
        <v>146</v>
      </c>
      <c r="E57" t="s">
        <v>1006</v>
      </c>
      <c r="F57">
        <v>2023</v>
      </c>
      <c r="G57" t="s">
        <v>272</v>
      </c>
      <c r="H57" t="s">
        <v>272</v>
      </c>
      <c r="I57" t="s">
        <v>1074</v>
      </c>
      <c r="J57">
        <v>2023</v>
      </c>
      <c r="K57" t="s">
        <v>912</v>
      </c>
      <c r="L57">
        <v>2018</v>
      </c>
      <c r="M57" t="s">
        <v>979</v>
      </c>
      <c r="N57">
        <v>2024</v>
      </c>
      <c r="O57" t="s">
        <v>1222</v>
      </c>
      <c r="P57">
        <v>2023</v>
      </c>
    </row>
    <row r="58" spans="1:16" x14ac:dyDescent="0.2">
      <c r="A58" t="s">
        <v>458</v>
      </c>
      <c r="B58" t="s">
        <v>459</v>
      </c>
      <c r="C58">
        <v>22</v>
      </c>
      <c r="D58" t="s">
        <v>146</v>
      </c>
      <c r="E58" t="s">
        <v>1007</v>
      </c>
      <c r="F58">
        <v>2023</v>
      </c>
      <c r="G58" t="s">
        <v>1087</v>
      </c>
      <c r="H58">
        <v>2024</v>
      </c>
      <c r="I58" t="s">
        <v>1168</v>
      </c>
      <c r="J58">
        <v>2023</v>
      </c>
      <c r="K58" t="s">
        <v>912</v>
      </c>
      <c r="L58">
        <v>2018</v>
      </c>
      <c r="M58" t="s">
        <v>272</v>
      </c>
      <c r="N58" t="s">
        <v>272</v>
      </c>
      <c r="O58" t="s">
        <v>994</v>
      </c>
      <c r="P58">
        <v>2024</v>
      </c>
    </row>
    <row r="59" spans="1:16" x14ac:dyDescent="0.2">
      <c r="A59" t="s">
        <v>462</v>
      </c>
      <c r="B59" t="s">
        <v>463</v>
      </c>
      <c r="C59">
        <v>70</v>
      </c>
      <c r="D59" t="s">
        <v>160</v>
      </c>
      <c r="E59" t="s">
        <v>965</v>
      </c>
      <c r="F59">
        <v>2023</v>
      </c>
      <c r="G59" t="s">
        <v>272</v>
      </c>
      <c r="H59" t="s">
        <v>272</v>
      </c>
      <c r="I59" t="s">
        <v>1169</v>
      </c>
      <c r="J59">
        <v>2023</v>
      </c>
      <c r="K59" t="s">
        <v>913</v>
      </c>
      <c r="L59">
        <v>2018</v>
      </c>
      <c r="M59" t="s">
        <v>1249</v>
      </c>
      <c r="N59">
        <v>2023</v>
      </c>
      <c r="O59" t="s">
        <v>933</v>
      </c>
      <c r="P59">
        <v>2003</v>
      </c>
    </row>
    <row r="60" spans="1:16" x14ac:dyDescent="0.2">
      <c r="A60" t="s">
        <v>466</v>
      </c>
      <c r="B60" t="s">
        <v>960</v>
      </c>
      <c r="C60">
        <v>26</v>
      </c>
      <c r="D60" t="s">
        <v>160</v>
      </c>
      <c r="E60" t="s">
        <v>1008</v>
      </c>
      <c r="F60">
        <v>2024</v>
      </c>
      <c r="G60" t="s">
        <v>272</v>
      </c>
      <c r="H60" t="s">
        <v>272</v>
      </c>
      <c r="I60" t="s">
        <v>1170</v>
      </c>
      <c r="J60">
        <v>2023</v>
      </c>
      <c r="K60" t="s">
        <v>469</v>
      </c>
      <c r="L60">
        <v>2017</v>
      </c>
      <c r="M60" t="s">
        <v>1250</v>
      </c>
      <c r="N60">
        <v>2024</v>
      </c>
      <c r="O60" t="s">
        <v>933</v>
      </c>
      <c r="P60">
        <v>2003</v>
      </c>
    </row>
    <row r="61" spans="1:16" x14ac:dyDescent="0.2">
      <c r="A61" t="s">
        <v>471</v>
      </c>
      <c r="B61" t="s">
        <v>472</v>
      </c>
      <c r="C61">
        <v>40</v>
      </c>
      <c r="D61" t="s">
        <v>160</v>
      </c>
      <c r="E61" t="s">
        <v>1009</v>
      </c>
      <c r="F61">
        <v>2024</v>
      </c>
      <c r="G61" t="s">
        <v>1063</v>
      </c>
      <c r="H61">
        <v>2023</v>
      </c>
      <c r="I61" t="s">
        <v>1171</v>
      </c>
      <c r="J61">
        <v>2023</v>
      </c>
      <c r="K61" t="s">
        <v>469</v>
      </c>
      <c r="L61">
        <v>2017</v>
      </c>
      <c r="M61" t="s">
        <v>1251</v>
      </c>
      <c r="N61">
        <v>2024</v>
      </c>
      <c r="O61" t="s">
        <v>1295</v>
      </c>
      <c r="P61">
        <v>2023</v>
      </c>
    </row>
    <row r="62" spans="1:16" x14ac:dyDescent="0.2">
      <c r="A62" t="s">
        <v>475</v>
      </c>
      <c r="B62" t="s">
        <v>476</v>
      </c>
      <c r="C62">
        <v>58</v>
      </c>
      <c r="D62" t="s">
        <v>160</v>
      </c>
      <c r="E62" t="s">
        <v>1010</v>
      </c>
      <c r="F62">
        <v>2024</v>
      </c>
      <c r="G62" t="s">
        <v>272</v>
      </c>
      <c r="H62" t="s">
        <v>272</v>
      </c>
      <c r="I62" t="s">
        <v>1172</v>
      </c>
      <c r="J62">
        <v>2023</v>
      </c>
      <c r="K62" t="s">
        <v>469</v>
      </c>
      <c r="L62">
        <v>2017</v>
      </c>
      <c r="M62" t="s">
        <v>272</v>
      </c>
      <c r="N62" t="s">
        <v>272</v>
      </c>
      <c r="O62" t="s">
        <v>929</v>
      </c>
      <c r="P62">
        <v>2022</v>
      </c>
    </row>
    <row r="63" spans="1:16" x14ac:dyDescent="0.2">
      <c r="A63" t="s">
        <v>478</v>
      </c>
      <c r="B63" t="s">
        <v>479</v>
      </c>
      <c r="C63">
        <v>37</v>
      </c>
      <c r="D63" t="s">
        <v>146</v>
      </c>
      <c r="E63" t="s">
        <v>1011</v>
      </c>
      <c r="F63">
        <v>2024</v>
      </c>
      <c r="G63" t="s">
        <v>1088</v>
      </c>
      <c r="H63">
        <v>2024</v>
      </c>
      <c r="I63" t="s">
        <v>978</v>
      </c>
      <c r="J63">
        <v>2023</v>
      </c>
      <c r="K63" t="s">
        <v>482</v>
      </c>
      <c r="L63">
        <v>2019</v>
      </c>
      <c r="M63" t="s">
        <v>1252</v>
      </c>
      <c r="N63">
        <v>2024</v>
      </c>
      <c r="O63" t="s">
        <v>1285</v>
      </c>
      <c r="P63">
        <v>2022</v>
      </c>
    </row>
    <row r="64" spans="1:16" x14ac:dyDescent="0.2">
      <c r="A64" t="s">
        <v>484</v>
      </c>
      <c r="B64" t="s">
        <v>485</v>
      </c>
      <c r="C64">
        <v>23</v>
      </c>
      <c r="D64" t="s">
        <v>160</v>
      </c>
      <c r="E64" t="s">
        <v>1012</v>
      </c>
      <c r="F64">
        <v>2024</v>
      </c>
      <c r="G64" t="s">
        <v>1089</v>
      </c>
      <c r="H64">
        <v>2023</v>
      </c>
      <c r="I64" t="s">
        <v>1173</v>
      </c>
      <c r="J64">
        <v>2023</v>
      </c>
      <c r="K64" t="s">
        <v>482</v>
      </c>
      <c r="L64">
        <v>2019</v>
      </c>
      <c r="M64" t="s">
        <v>272</v>
      </c>
      <c r="N64" t="s">
        <v>272</v>
      </c>
      <c r="O64" t="s">
        <v>187</v>
      </c>
      <c r="P64">
        <v>2023</v>
      </c>
    </row>
    <row r="65" spans="1:16" x14ac:dyDescent="0.2">
      <c r="A65" t="s">
        <v>488</v>
      </c>
      <c r="B65" t="s">
        <v>489</v>
      </c>
      <c r="C65">
        <v>79</v>
      </c>
      <c r="D65" t="s">
        <v>146</v>
      </c>
      <c r="E65" t="s">
        <v>1013</v>
      </c>
      <c r="F65">
        <v>2024</v>
      </c>
      <c r="G65" t="s">
        <v>1090</v>
      </c>
      <c r="H65">
        <v>2023</v>
      </c>
      <c r="I65" t="s">
        <v>1174</v>
      </c>
      <c r="J65">
        <v>2024</v>
      </c>
      <c r="K65" t="s">
        <v>482</v>
      </c>
      <c r="L65">
        <v>2019</v>
      </c>
      <c r="M65" t="s">
        <v>1062</v>
      </c>
      <c r="N65">
        <v>2023</v>
      </c>
      <c r="O65" t="s">
        <v>933</v>
      </c>
      <c r="P65">
        <v>2003</v>
      </c>
    </row>
    <row r="66" spans="1:16" x14ac:dyDescent="0.2">
      <c r="A66" t="s">
        <v>494</v>
      </c>
      <c r="B66" t="s">
        <v>961</v>
      </c>
      <c r="C66">
        <v>33</v>
      </c>
      <c r="D66" t="s">
        <v>146</v>
      </c>
      <c r="E66" t="s">
        <v>1014</v>
      </c>
      <c r="F66">
        <v>2023</v>
      </c>
      <c r="G66" t="s">
        <v>1091</v>
      </c>
      <c r="H66">
        <v>2023</v>
      </c>
      <c r="I66" t="s">
        <v>1175</v>
      </c>
      <c r="J66">
        <v>2024</v>
      </c>
      <c r="K66" t="s">
        <v>498</v>
      </c>
      <c r="L66">
        <v>2017</v>
      </c>
      <c r="M66" t="s">
        <v>272</v>
      </c>
      <c r="N66" t="s">
        <v>272</v>
      </c>
      <c r="O66" t="s">
        <v>1221</v>
      </c>
      <c r="P66">
        <v>2023</v>
      </c>
    </row>
    <row r="67" spans="1:16" x14ac:dyDescent="0.2">
      <c r="A67" t="s">
        <v>499</v>
      </c>
      <c r="B67" t="s">
        <v>500</v>
      </c>
      <c r="C67">
        <v>28</v>
      </c>
      <c r="D67" t="s">
        <v>146</v>
      </c>
      <c r="E67" t="s">
        <v>965</v>
      </c>
      <c r="F67">
        <v>2023</v>
      </c>
      <c r="G67" t="s">
        <v>272</v>
      </c>
      <c r="H67" t="s">
        <v>272</v>
      </c>
      <c r="I67" t="s">
        <v>1176</v>
      </c>
      <c r="J67">
        <v>2024</v>
      </c>
      <c r="K67" t="s">
        <v>502</v>
      </c>
      <c r="L67">
        <v>2019</v>
      </c>
      <c r="M67" t="s">
        <v>1253</v>
      </c>
      <c r="N67">
        <v>2023</v>
      </c>
      <c r="O67" t="s">
        <v>1287</v>
      </c>
      <c r="P67">
        <v>2022</v>
      </c>
    </row>
    <row r="68" spans="1:16" x14ac:dyDescent="0.2">
      <c r="A68" t="s">
        <v>503</v>
      </c>
      <c r="B68" t="s">
        <v>504</v>
      </c>
      <c r="C68">
        <v>43</v>
      </c>
      <c r="D68" t="s">
        <v>160</v>
      </c>
      <c r="E68" t="s">
        <v>1015</v>
      </c>
      <c r="F68">
        <v>2023</v>
      </c>
      <c r="G68" t="s">
        <v>1092</v>
      </c>
      <c r="H68">
        <v>2023</v>
      </c>
      <c r="I68" t="s">
        <v>1177</v>
      </c>
      <c r="J68">
        <v>2024</v>
      </c>
      <c r="K68" t="s">
        <v>914</v>
      </c>
      <c r="L68">
        <v>2018</v>
      </c>
      <c r="M68" t="s">
        <v>1147</v>
      </c>
      <c r="N68">
        <v>2024</v>
      </c>
      <c r="O68" t="s">
        <v>1222</v>
      </c>
      <c r="P68">
        <v>2023</v>
      </c>
    </row>
    <row r="69" spans="1:16" x14ac:dyDescent="0.2">
      <c r="A69" t="s">
        <v>509</v>
      </c>
      <c r="B69" t="s">
        <v>510</v>
      </c>
      <c r="C69">
        <v>72</v>
      </c>
      <c r="D69" t="s">
        <v>146</v>
      </c>
      <c r="E69" t="s">
        <v>1016</v>
      </c>
      <c r="F69">
        <v>2023</v>
      </c>
      <c r="G69" t="s">
        <v>1093</v>
      </c>
      <c r="H69">
        <v>2024</v>
      </c>
      <c r="I69" t="s">
        <v>1109</v>
      </c>
      <c r="J69">
        <v>2024</v>
      </c>
      <c r="K69" t="s">
        <v>914</v>
      </c>
      <c r="L69">
        <v>2018</v>
      </c>
      <c r="M69" t="s">
        <v>272</v>
      </c>
      <c r="N69" t="s">
        <v>272</v>
      </c>
      <c r="O69" t="s">
        <v>272</v>
      </c>
      <c r="P69" t="s">
        <v>272</v>
      </c>
    </row>
    <row r="70" spans="1:16" x14ac:dyDescent="0.2">
      <c r="A70" t="s">
        <v>515</v>
      </c>
      <c r="B70" t="s">
        <v>516</v>
      </c>
      <c r="C70">
        <v>21</v>
      </c>
      <c r="D70" t="s">
        <v>160</v>
      </c>
      <c r="E70" t="s">
        <v>965</v>
      </c>
      <c r="F70">
        <v>2023</v>
      </c>
      <c r="G70" t="s">
        <v>1094</v>
      </c>
      <c r="H70">
        <v>2024</v>
      </c>
      <c r="I70" t="s">
        <v>1178</v>
      </c>
      <c r="J70">
        <v>2024</v>
      </c>
      <c r="K70" t="s">
        <v>891</v>
      </c>
      <c r="L70">
        <v>2016</v>
      </c>
      <c r="M70" t="s">
        <v>1254</v>
      </c>
      <c r="N70">
        <v>2023</v>
      </c>
      <c r="O70" t="s">
        <v>1287</v>
      </c>
      <c r="P70">
        <v>2022</v>
      </c>
    </row>
    <row r="71" spans="1:16" x14ac:dyDescent="0.2">
      <c r="A71" t="s">
        <v>519</v>
      </c>
      <c r="B71" t="s">
        <v>520</v>
      </c>
      <c r="C71">
        <v>79</v>
      </c>
      <c r="D71" t="s">
        <v>146</v>
      </c>
      <c r="E71" t="s">
        <v>1017</v>
      </c>
      <c r="F71">
        <v>2023</v>
      </c>
      <c r="G71" t="s">
        <v>971</v>
      </c>
      <c r="H71">
        <v>2023</v>
      </c>
      <c r="I71" t="s">
        <v>1179</v>
      </c>
      <c r="J71">
        <v>2024</v>
      </c>
      <c r="K71" t="s">
        <v>891</v>
      </c>
      <c r="L71">
        <v>2016</v>
      </c>
      <c r="M71" t="s">
        <v>1255</v>
      </c>
      <c r="N71">
        <v>2024</v>
      </c>
      <c r="O71" t="s">
        <v>930</v>
      </c>
      <c r="P71">
        <v>2023</v>
      </c>
    </row>
    <row r="72" spans="1:16" x14ac:dyDescent="0.2">
      <c r="A72" t="s">
        <v>524</v>
      </c>
      <c r="B72" t="s">
        <v>962</v>
      </c>
      <c r="C72">
        <v>63</v>
      </c>
      <c r="D72" t="s">
        <v>146</v>
      </c>
      <c r="E72" t="s">
        <v>1018</v>
      </c>
      <c r="F72">
        <v>2024</v>
      </c>
      <c r="G72" t="s">
        <v>526</v>
      </c>
      <c r="H72">
        <v>2017</v>
      </c>
      <c r="I72" t="s">
        <v>1180</v>
      </c>
      <c r="J72">
        <v>2023</v>
      </c>
      <c r="K72" t="s">
        <v>891</v>
      </c>
      <c r="L72">
        <v>2016</v>
      </c>
      <c r="M72" t="s">
        <v>272</v>
      </c>
      <c r="N72" t="s">
        <v>272</v>
      </c>
      <c r="O72" t="s">
        <v>1042</v>
      </c>
      <c r="P72">
        <v>2020</v>
      </c>
    </row>
    <row r="73" spans="1:16" x14ac:dyDescent="0.2">
      <c r="A73" t="s">
        <v>528</v>
      </c>
      <c r="B73" t="s">
        <v>529</v>
      </c>
      <c r="C73">
        <v>27</v>
      </c>
      <c r="D73" t="s">
        <v>146</v>
      </c>
      <c r="E73" t="s">
        <v>1019</v>
      </c>
      <c r="F73">
        <v>2024</v>
      </c>
      <c r="G73" t="s">
        <v>1040</v>
      </c>
      <c r="H73">
        <v>2023</v>
      </c>
      <c r="I73" t="s">
        <v>1181</v>
      </c>
      <c r="J73">
        <v>2024</v>
      </c>
      <c r="K73" t="s">
        <v>891</v>
      </c>
      <c r="L73">
        <v>2016</v>
      </c>
      <c r="M73" t="s">
        <v>272</v>
      </c>
      <c r="N73" t="s">
        <v>272</v>
      </c>
      <c r="O73" t="s">
        <v>974</v>
      </c>
      <c r="P73">
        <v>2022</v>
      </c>
    </row>
    <row r="74" spans="1:16" x14ac:dyDescent="0.2">
      <c r="A74" t="s">
        <v>533</v>
      </c>
      <c r="B74" t="s">
        <v>534</v>
      </c>
      <c r="C74">
        <v>66</v>
      </c>
      <c r="D74" t="s">
        <v>160</v>
      </c>
      <c r="E74" t="s">
        <v>1020</v>
      </c>
      <c r="F74">
        <v>2023</v>
      </c>
      <c r="G74" t="s">
        <v>272</v>
      </c>
      <c r="H74" t="s">
        <v>272</v>
      </c>
      <c r="I74" t="s">
        <v>199</v>
      </c>
      <c r="J74">
        <v>2023</v>
      </c>
      <c r="K74" t="s">
        <v>915</v>
      </c>
      <c r="L74">
        <v>2017</v>
      </c>
      <c r="M74" t="s">
        <v>272</v>
      </c>
      <c r="N74" t="s">
        <v>272</v>
      </c>
      <c r="O74" t="s">
        <v>1285</v>
      </c>
      <c r="P74">
        <v>2022</v>
      </c>
    </row>
    <row r="75" spans="1:16" x14ac:dyDescent="0.2">
      <c r="A75" t="s">
        <v>537</v>
      </c>
      <c r="B75" t="s">
        <v>538</v>
      </c>
      <c r="C75">
        <v>54</v>
      </c>
      <c r="D75" t="s">
        <v>160</v>
      </c>
      <c r="E75" t="s">
        <v>1021</v>
      </c>
      <c r="F75">
        <v>2023</v>
      </c>
      <c r="G75" t="s">
        <v>1095</v>
      </c>
      <c r="H75">
        <v>2023</v>
      </c>
      <c r="I75" t="s">
        <v>1182</v>
      </c>
      <c r="J75">
        <v>2023</v>
      </c>
      <c r="K75" t="s">
        <v>916</v>
      </c>
      <c r="L75">
        <v>2017</v>
      </c>
      <c r="M75" t="s">
        <v>1141</v>
      </c>
      <c r="N75">
        <v>2024</v>
      </c>
      <c r="O75" t="s">
        <v>930</v>
      </c>
      <c r="P75">
        <v>2023</v>
      </c>
    </row>
    <row r="76" spans="1:16" x14ac:dyDescent="0.2">
      <c r="A76" t="s">
        <v>543</v>
      </c>
      <c r="B76" t="s">
        <v>544</v>
      </c>
      <c r="C76">
        <v>55</v>
      </c>
      <c r="D76" t="s">
        <v>160</v>
      </c>
      <c r="E76" t="s">
        <v>1022</v>
      </c>
      <c r="F76">
        <v>2024</v>
      </c>
      <c r="G76" t="s">
        <v>1050</v>
      </c>
      <c r="H76">
        <v>2024</v>
      </c>
      <c r="I76" t="s">
        <v>1183</v>
      </c>
      <c r="J76">
        <v>2024</v>
      </c>
      <c r="K76" t="s">
        <v>903</v>
      </c>
      <c r="L76">
        <v>2018</v>
      </c>
      <c r="M76" t="s">
        <v>1256</v>
      </c>
      <c r="N76">
        <v>2023</v>
      </c>
      <c r="O76" t="s">
        <v>1042</v>
      </c>
      <c r="P76">
        <v>2020</v>
      </c>
    </row>
    <row r="77" spans="1:16" x14ac:dyDescent="0.2">
      <c r="A77" t="s">
        <v>548</v>
      </c>
      <c r="B77" t="s">
        <v>549</v>
      </c>
      <c r="C77">
        <v>69</v>
      </c>
      <c r="D77" t="s">
        <v>160</v>
      </c>
      <c r="E77" t="s">
        <v>1023</v>
      </c>
      <c r="F77">
        <v>2024</v>
      </c>
      <c r="G77" t="s">
        <v>1096</v>
      </c>
      <c r="H77">
        <v>2023</v>
      </c>
      <c r="I77" t="s">
        <v>1184</v>
      </c>
      <c r="J77">
        <v>2023</v>
      </c>
      <c r="K77" t="s">
        <v>903</v>
      </c>
      <c r="L77">
        <v>2018</v>
      </c>
      <c r="M77" t="s">
        <v>1257</v>
      </c>
      <c r="N77">
        <v>2024</v>
      </c>
      <c r="O77" t="s">
        <v>1279</v>
      </c>
      <c r="P77">
        <v>2024</v>
      </c>
    </row>
    <row r="78" spans="1:16" x14ac:dyDescent="0.2">
      <c r="A78" t="s">
        <v>553</v>
      </c>
      <c r="B78" t="s">
        <v>554</v>
      </c>
      <c r="C78">
        <v>23</v>
      </c>
      <c r="D78" t="s">
        <v>146</v>
      </c>
      <c r="E78" t="s">
        <v>976</v>
      </c>
      <c r="F78">
        <v>2024</v>
      </c>
      <c r="G78" t="s">
        <v>1097</v>
      </c>
      <c r="H78">
        <v>2023</v>
      </c>
      <c r="I78" t="s">
        <v>1185</v>
      </c>
      <c r="J78">
        <v>2024</v>
      </c>
      <c r="K78" t="s">
        <v>903</v>
      </c>
      <c r="L78">
        <v>2018</v>
      </c>
      <c r="M78" t="s">
        <v>987</v>
      </c>
      <c r="N78">
        <v>2023</v>
      </c>
      <c r="O78" t="s">
        <v>272</v>
      </c>
      <c r="P78" t="s">
        <v>272</v>
      </c>
    </row>
    <row r="79" spans="1:16" x14ac:dyDescent="0.2">
      <c r="A79" t="s">
        <v>559</v>
      </c>
      <c r="B79" t="s">
        <v>560</v>
      </c>
      <c r="C79">
        <v>22</v>
      </c>
      <c r="D79" t="s">
        <v>146</v>
      </c>
      <c r="E79" t="s">
        <v>1024</v>
      </c>
      <c r="F79">
        <v>2024</v>
      </c>
      <c r="G79" t="s">
        <v>211</v>
      </c>
      <c r="H79">
        <v>2024</v>
      </c>
      <c r="I79" t="s">
        <v>1186</v>
      </c>
      <c r="J79">
        <v>2024</v>
      </c>
      <c r="K79" t="s">
        <v>903</v>
      </c>
      <c r="L79">
        <v>2018</v>
      </c>
      <c r="M79" t="s">
        <v>272</v>
      </c>
      <c r="N79" t="s">
        <v>272</v>
      </c>
      <c r="O79" t="s">
        <v>930</v>
      </c>
      <c r="P79">
        <v>2023</v>
      </c>
    </row>
    <row r="80" spans="1:16" x14ac:dyDescent="0.2">
      <c r="A80" t="s">
        <v>563</v>
      </c>
      <c r="B80" t="s">
        <v>963</v>
      </c>
      <c r="C80">
        <v>21</v>
      </c>
      <c r="D80" t="s">
        <v>146</v>
      </c>
      <c r="E80" t="s">
        <v>1025</v>
      </c>
      <c r="F80">
        <v>2024</v>
      </c>
      <c r="G80" t="s">
        <v>1098</v>
      </c>
      <c r="H80">
        <v>2024</v>
      </c>
      <c r="I80" t="s">
        <v>1187</v>
      </c>
      <c r="J80">
        <v>2024</v>
      </c>
      <c r="K80" t="s">
        <v>903</v>
      </c>
      <c r="L80">
        <v>2018</v>
      </c>
      <c r="M80" t="s">
        <v>1258</v>
      </c>
      <c r="N80">
        <v>2023</v>
      </c>
      <c r="O80" t="s">
        <v>1296</v>
      </c>
      <c r="P80">
        <v>2024</v>
      </c>
    </row>
    <row r="81" spans="1:16" x14ac:dyDescent="0.2">
      <c r="A81" t="s">
        <v>569</v>
      </c>
      <c r="B81" t="s">
        <v>570</v>
      </c>
      <c r="C81">
        <v>25</v>
      </c>
      <c r="D81" t="s">
        <v>160</v>
      </c>
      <c r="E81" t="s">
        <v>1026</v>
      </c>
      <c r="F81">
        <v>2023</v>
      </c>
      <c r="G81" t="s">
        <v>1099</v>
      </c>
      <c r="H81">
        <v>2023</v>
      </c>
      <c r="I81" t="s">
        <v>1091</v>
      </c>
      <c r="J81">
        <v>2023</v>
      </c>
      <c r="K81" t="s">
        <v>572</v>
      </c>
      <c r="L81">
        <v>2016</v>
      </c>
      <c r="M81" t="s">
        <v>1259</v>
      </c>
      <c r="N81">
        <v>2024</v>
      </c>
      <c r="O81" t="s">
        <v>929</v>
      </c>
      <c r="P81">
        <v>2022</v>
      </c>
    </row>
    <row r="82" spans="1:16" x14ac:dyDescent="0.2">
      <c r="A82" t="s">
        <v>574</v>
      </c>
      <c r="B82" t="s">
        <v>575</v>
      </c>
      <c r="C82">
        <v>73</v>
      </c>
      <c r="D82" t="s">
        <v>146</v>
      </c>
      <c r="E82" t="s">
        <v>965</v>
      </c>
      <c r="F82">
        <v>2023</v>
      </c>
      <c r="G82" t="s">
        <v>1100</v>
      </c>
      <c r="H82">
        <v>2024</v>
      </c>
      <c r="I82" t="s">
        <v>1188</v>
      </c>
      <c r="J82">
        <v>2024</v>
      </c>
      <c r="K82" t="s">
        <v>917</v>
      </c>
      <c r="L82">
        <v>2016</v>
      </c>
      <c r="M82" t="s">
        <v>272</v>
      </c>
      <c r="N82" t="s">
        <v>272</v>
      </c>
      <c r="O82" t="s">
        <v>1042</v>
      </c>
      <c r="P82">
        <v>2020</v>
      </c>
    </row>
    <row r="83" spans="1:16" x14ac:dyDescent="0.2">
      <c r="A83" t="s">
        <v>579</v>
      </c>
      <c r="B83" t="s">
        <v>580</v>
      </c>
      <c r="C83">
        <v>23</v>
      </c>
      <c r="D83" t="s">
        <v>146</v>
      </c>
      <c r="E83" t="s">
        <v>272</v>
      </c>
      <c r="F83" t="s">
        <v>272</v>
      </c>
      <c r="G83" t="s">
        <v>1101</v>
      </c>
      <c r="H83">
        <v>2023</v>
      </c>
      <c r="I83" t="s">
        <v>1189</v>
      </c>
      <c r="J83">
        <v>2023</v>
      </c>
      <c r="K83" t="s">
        <v>315</v>
      </c>
      <c r="L83">
        <v>2019</v>
      </c>
      <c r="M83" t="s">
        <v>1018</v>
      </c>
      <c r="N83">
        <v>2024</v>
      </c>
      <c r="O83" t="s">
        <v>272</v>
      </c>
      <c r="P83" t="s">
        <v>272</v>
      </c>
    </row>
    <row r="84" spans="1:16" x14ac:dyDescent="0.2">
      <c r="A84" t="s">
        <v>583</v>
      </c>
      <c r="B84" t="s">
        <v>584</v>
      </c>
      <c r="C84">
        <v>73</v>
      </c>
      <c r="D84" t="s">
        <v>146</v>
      </c>
      <c r="E84" t="s">
        <v>1004</v>
      </c>
      <c r="F84">
        <v>2023</v>
      </c>
      <c r="G84" t="s">
        <v>526</v>
      </c>
      <c r="H84">
        <v>2017</v>
      </c>
      <c r="I84" t="s">
        <v>1190</v>
      </c>
      <c r="J84">
        <v>2024</v>
      </c>
      <c r="K84" t="s">
        <v>315</v>
      </c>
      <c r="L84">
        <v>2019</v>
      </c>
      <c r="M84" t="s">
        <v>1188</v>
      </c>
      <c r="N84">
        <v>2024</v>
      </c>
      <c r="O84" t="s">
        <v>1006</v>
      </c>
      <c r="P84">
        <v>2023</v>
      </c>
    </row>
    <row r="85" spans="1:16" x14ac:dyDescent="0.2">
      <c r="A85" t="s">
        <v>588</v>
      </c>
      <c r="B85" t="s">
        <v>589</v>
      </c>
      <c r="C85">
        <v>82</v>
      </c>
      <c r="D85" t="s">
        <v>160</v>
      </c>
      <c r="E85" t="s">
        <v>1027</v>
      </c>
      <c r="F85">
        <v>2023</v>
      </c>
      <c r="G85" t="s">
        <v>1102</v>
      </c>
      <c r="H85">
        <v>2016</v>
      </c>
      <c r="I85" t="s">
        <v>1191</v>
      </c>
      <c r="J85">
        <v>2024</v>
      </c>
      <c r="K85" t="s">
        <v>914</v>
      </c>
      <c r="L85">
        <v>2018</v>
      </c>
      <c r="M85" t="s">
        <v>272</v>
      </c>
      <c r="N85" t="s">
        <v>272</v>
      </c>
      <c r="O85" t="s">
        <v>1124</v>
      </c>
      <c r="P85">
        <v>2024</v>
      </c>
    </row>
    <row r="86" spans="1:16" x14ac:dyDescent="0.2">
      <c r="A86" t="s">
        <v>593</v>
      </c>
      <c r="B86" t="s">
        <v>594</v>
      </c>
      <c r="C86">
        <v>37</v>
      </c>
      <c r="D86" t="s">
        <v>160</v>
      </c>
      <c r="E86" t="s">
        <v>965</v>
      </c>
      <c r="F86">
        <v>2023</v>
      </c>
      <c r="G86" t="s">
        <v>1103</v>
      </c>
      <c r="H86">
        <v>2023</v>
      </c>
      <c r="I86" t="s">
        <v>1192</v>
      </c>
      <c r="J86">
        <v>2023</v>
      </c>
      <c r="K86" t="s">
        <v>914</v>
      </c>
      <c r="L86">
        <v>2018</v>
      </c>
      <c r="M86" t="s">
        <v>1260</v>
      </c>
      <c r="N86">
        <v>2024</v>
      </c>
      <c r="O86" t="s">
        <v>597</v>
      </c>
      <c r="P86">
        <v>2023</v>
      </c>
    </row>
    <row r="87" spans="1:16" x14ac:dyDescent="0.2">
      <c r="A87" t="s">
        <v>598</v>
      </c>
      <c r="B87" t="s">
        <v>599</v>
      </c>
      <c r="C87">
        <v>63</v>
      </c>
      <c r="D87" t="s">
        <v>146</v>
      </c>
      <c r="E87" t="s">
        <v>965</v>
      </c>
      <c r="F87">
        <v>2023</v>
      </c>
      <c r="G87" t="s">
        <v>1104</v>
      </c>
      <c r="H87">
        <v>2023</v>
      </c>
      <c r="I87" t="s">
        <v>1193</v>
      </c>
      <c r="J87">
        <v>2023</v>
      </c>
      <c r="K87" t="s">
        <v>918</v>
      </c>
      <c r="L87">
        <v>2019</v>
      </c>
      <c r="M87" t="s">
        <v>1261</v>
      </c>
      <c r="N87">
        <v>2023</v>
      </c>
      <c r="O87" t="s">
        <v>272</v>
      </c>
      <c r="P87" t="s">
        <v>272</v>
      </c>
    </row>
    <row r="88" spans="1:16" x14ac:dyDescent="0.2">
      <c r="A88" t="s">
        <v>602</v>
      </c>
      <c r="B88" t="s">
        <v>603</v>
      </c>
      <c r="C88">
        <v>53</v>
      </c>
      <c r="D88" t="s">
        <v>160</v>
      </c>
      <c r="E88" t="s">
        <v>1028</v>
      </c>
      <c r="F88">
        <v>2023</v>
      </c>
      <c r="G88" t="s">
        <v>1105</v>
      </c>
      <c r="H88">
        <v>2024</v>
      </c>
      <c r="I88" t="s">
        <v>1194</v>
      </c>
      <c r="J88">
        <v>2023</v>
      </c>
      <c r="K88" t="s">
        <v>918</v>
      </c>
      <c r="L88">
        <v>2019</v>
      </c>
      <c r="M88" t="s">
        <v>1262</v>
      </c>
      <c r="N88">
        <v>2024</v>
      </c>
      <c r="O88" t="s">
        <v>974</v>
      </c>
      <c r="P88">
        <v>2022</v>
      </c>
    </row>
    <row r="89" spans="1:16" x14ac:dyDescent="0.2">
      <c r="A89" t="s">
        <v>607</v>
      </c>
      <c r="B89" t="s">
        <v>608</v>
      </c>
      <c r="C89">
        <v>81</v>
      </c>
      <c r="D89" t="s">
        <v>160</v>
      </c>
      <c r="E89" t="s">
        <v>965</v>
      </c>
      <c r="F89">
        <v>2023</v>
      </c>
      <c r="G89" t="s">
        <v>1106</v>
      </c>
      <c r="H89">
        <v>2024</v>
      </c>
      <c r="I89" t="s">
        <v>1195</v>
      </c>
      <c r="J89">
        <v>2024</v>
      </c>
      <c r="K89" t="s">
        <v>918</v>
      </c>
      <c r="L89">
        <v>2019</v>
      </c>
      <c r="M89" t="s">
        <v>1263</v>
      </c>
      <c r="N89">
        <v>2023</v>
      </c>
      <c r="O89" t="s">
        <v>930</v>
      </c>
      <c r="P89">
        <v>2023</v>
      </c>
    </row>
    <row r="90" spans="1:16" x14ac:dyDescent="0.2">
      <c r="A90" t="s">
        <v>612</v>
      </c>
      <c r="B90" t="s">
        <v>964</v>
      </c>
      <c r="C90">
        <v>41</v>
      </c>
      <c r="D90" t="s">
        <v>146</v>
      </c>
      <c r="E90" t="s">
        <v>1029</v>
      </c>
      <c r="F90">
        <v>2023</v>
      </c>
      <c r="G90" t="s">
        <v>397</v>
      </c>
      <c r="H90">
        <v>2018</v>
      </c>
      <c r="I90" t="s">
        <v>1196</v>
      </c>
      <c r="J90">
        <v>2024</v>
      </c>
      <c r="K90" t="s">
        <v>615</v>
      </c>
      <c r="L90">
        <v>2018</v>
      </c>
      <c r="M90" t="s">
        <v>1264</v>
      </c>
      <c r="N90">
        <v>2023</v>
      </c>
      <c r="O90" t="s">
        <v>1042</v>
      </c>
      <c r="P90">
        <v>2020</v>
      </c>
    </row>
    <row r="91" spans="1:16" x14ac:dyDescent="0.2">
      <c r="A91" t="s">
        <v>616</v>
      </c>
      <c r="B91" t="s">
        <v>617</v>
      </c>
      <c r="C91">
        <v>33</v>
      </c>
      <c r="D91" t="s">
        <v>160</v>
      </c>
      <c r="E91" t="s">
        <v>1030</v>
      </c>
      <c r="F91">
        <v>2023</v>
      </c>
      <c r="G91" t="s">
        <v>1031</v>
      </c>
      <c r="H91">
        <v>2024</v>
      </c>
      <c r="I91" t="s">
        <v>1197</v>
      </c>
      <c r="J91">
        <v>2024</v>
      </c>
      <c r="K91" t="s">
        <v>615</v>
      </c>
      <c r="L91">
        <v>2018</v>
      </c>
      <c r="M91" t="s">
        <v>1265</v>
      </c>
      <c r="N91">
        <v>2023</v>
      </c>
      <c r="O91" t="s">
        <v>971</v>
      </c>
      <c r="P91">
        <v>2023</v>
      </c>
    </row>
    <row r="92" spans="1:16" x14ac:dyDescent="0.2">
      <c r="A92" t="s">
        <v>622</v>
      </c>
      <c r="B92" t="s">
        <v>623</v>
      </c>
      <c r="C92">
        <v>67</v>
      </c>
      <c r="D92" t="s">
        <v>160</v>
      </c>
      <c r="E92" t="s">
        <v>1031</v>
      </c>
      <c r="F92">
        <v>2024</v>
      </c>
      <c r="G92" t="s">
        <v>1107</v>
      </c>
      <c r="H92">
        <v>2023</v>
      </c>
      <c r="I92" t="s">
        <v>998</v>
      </c>
      <c r="J92">
        <v>2023</v>
      </c>
      <c r="K92" t="s">
        <v>615</v>
      </c>
      <c r="L92">
        <v>2018</v>
      </c>
      <c r="M92" t="s">
        <v>272</v>
      </c>
      <c r="N92" t="s">
        <v>272</v>
      </c>
      <c r="O92" t="s">
        <v>933</v>
      </c>
      <c r="P92">
        <v>2003</v>
      </c>
    </row>
    <row r="93" spans="1:16" x14ac:dyDescent="0.2">
      <c r="A93" t="s">
        <v>627</v>
      </c>
      <c r="B93" t="s">
        <v>628</v>
      </c>
      <c r="C93">
        <v>34</v>
      </c>
      <c r="D93" t="s">
        <v>160</v>
      </c>
      <c r="E93" t="s">
        <v>965</v>
      </c>
      <c r="F93">
        <v>2023</v>
      </c>
      <c r="G93" t="s">
        <v>1102</v>
      </c>
      <c r="H93">
        <v>2016</v>
      </c>
      <c r="I93" t="s">
        <v>1198</v>
      </c>
      <c r="J93">
        <v>2023</v>
      </c>
      <c r="K93" t="s">
        <v>615</v>
      </c>
      <c r="L93">
        <v>2018</v>
      </c>
      <c r="M93" t="s">
        <v>1032</v>
      </c>
      <c r="N93">
        <v>2023</v>
      </c>
      <c r="O93" t="s">
        <v>272</v>
      </c>
      <c r="P93" t="s">
        <v>272</v>
      </c>
    </row>
    <row r="94" spans="1:16" x14ac:dyDescent="0.2">
      <c r="A94" t="s">
        <v>631</v>
      </c>
      <c r="B94" t="s">
        <v>632</v>
      </c>
      <c r="C94">
        <v>81</v>
      </c>
      <c r="D94" t="s">
        <v>146</v>
      </c>
      <c r="E94" t="s">
        <v>965</v>
      </c>
      <c r="F94">
        <v>2023</v>
      </c>
      <c r="G94" t="s">
        <v>985</v>
      </c>
      <c r="H94">
        <v>2023</v>
      </c>
      <c r="I94" t="s">
        <v>1199</v>
      </c>
      <c r="J94">
        <v>2024</v>
      </c>
      <c r="K94" t="s">
        <v>615</v>
      </c>
      <c r="L94">
        <v>2018</v>
      </c>
      <c r="M94" t="s">
        <v>1010</v>
      </c>
      <c r="N94">
        <v>2024</v>
      </c>
      <c r="O94" t="s">
        <v>272</v>
      </c>
      <c r="P94" t="s">
        <v>272</v>
      </c>
    </row>
    <row r="95" spans="1:16" x14ac:dyDescent="0.2">
      <c r="A95" t="s">
        <v>636</v>
      </c>
      <c r="B95" t="s">
        <v>637</v>
      </c>
      <c r="C95">
        <v>59</v>
      </c>
      <c r="D95" t="s">
        <v>160</v>
      </c>
      <c r="E95" t="s">
        <v>1032</v>
      </c>
      <c r="F95">
        <v>2023</v>
      </c>
      <c r="G95" t="s">
        <v>992</v>
      </c>
      <c r="H95">
        <v>2023</v>
      </c>
      <c r="I95" t="s">
        <v>1200</v>
      </c>
      <c r="J95">
        <v>2024</v>
      </c>
      <c r="K95" t="s">
        <v>615</v>
      </c>
      <c r="L95">
        <v>2018</v>
      </c>
      <c r="M95" t="s">
        <v>1266</v>
      </c>
      <c r="N95">
        <v>2023</v>
      </c>
      <c r="O95" t="s">
        <v>1297</v>
      </c>
      <c r="P95">
        <v>2021</v>
      </c>
    </row>
    <row r="96" spans="1:16" x14ac:dyDescent="0.2">
      <c r="A96" t="s">
        <v>641</v>
      </c>
      <c r="B96" t="s">
        <v>642</v>
      </c>
      <c r="C96">
        <v>72</v>
      </c>
      <c r="D96" t="s">
        <v>146</v>
      </c>
      <c r="E96" t="s">
        <v>986</v>
      </c>
      <c r="F96">
        <v>2024</v>
      </c>
      <c r="G96" t="s">
        <v>1108</v>
      </c>
      <c r="H96">
        <v>2023</v>
      </c>
      <c r="I96" t="s">
        <v>1201</v>
      </c>
      <c r="J96">
        <v>2016</v>
      </c>
      <c r="K96" t="s">
        <v>615</v>
      </c>
      <c r="L96">
        <v>2018</v>
      </c>
      <c r="M96" t="s">
        <v>1267</v>
      </c>
      <c r="N96">
        <v>2024</v>
      </c>
      <c r="O96" t="s">
        <v>272</v>
      </c>
      <c r="P96" t="s">
        <v>272</v>
      </c>
    </row>
    <row r="97" spans="1:16" x14ac:dyDescent="0.2">
      <c r="A97" t="s">
        <v>646</v>
      </c>
      <c r="B97" t="s">
        <v>647</v>
      </c>
      <c r="C97">
        <v>43</v>
      </c>
      <c r="D97" t="s">
        <v>146</v>
      </c>
      <c r="E97" t="s">
        <v>1033</v>
      </c>
      <c r="F97">
        <v>2023</v>
      </c>
      <c r="G97" t="s">
        <v>1109</v>
      </c>
      <c r="H97">
        <v>2024</v>
      </c>
      <c r="I97" t="s">
        <v>1202</v>
      </c>
      <c r="J97">
        <v>2016</v>
      </c>
      <c r="K97" t="s">
        <v>919</v>
      </c>
      <c r="L97">
        <v>2018</v>
      </c>
      <c r="M97" t="s">
        <v>1268</v>
      </c>
      <c r="N97">
        <v>2024</v>
      </c>
      <c r="O97" t="s">
        <v>933</v>
      </c>
      <c r="P97">
        <v>2003</v>
      </c>
    </row>
    <row r="98" spans="1:16" x14ac:dyDescent="0.2">
      <c r="A98" t="s">
        <v>650</v>
      </c>
      <c r="B98" t="s">
        <v>651</v>
      </c>
      <c r="C98">
        <v>45</v>
      </c>
      <c r="D98" t="s">
        <v>160</v>
      </c>
      <c r="E98" t="s">
        <v>1321</v>
      </c>
      <c r="F98">
        <v>2024</v>
      </c>
      <c r="G98" t="s">
        <v>674</v>
      </c>
      <c r="H98">
        <v>2024</v>
      </c>
      <c r="I98" t="s">
        <v>1203</v>
      </c>
      <c r="J98">
        <v>2016</v>
      </c>
      <c r="K98" t="s">
        <v>920</v>
      </c>
      <c r="L98">
        <v>2019</v>
      </c>
      <c r="M98" t="s">
        <v>1269</v>
      </c>
      <c r="N98">
        <v>2023</v>
      </c>
      <c r="O98" t="s">
        <v>272</v>
      </c>
      <c r="P98" t="s">
        <v>272</v>
      </c>
    </row>
    <row r="99" spans="1:16" x14ac:dyDescent="0.2">
      <c r="A99" t="s">
        <v>655</v>
      </c>
      <c r="B99" t="s">
        <v>656</v>
      </c>
      <c r="C99">
        <v>79</v>
      </c>
      <c r="D99" t="s">
        <v>146</v>
      </c>
      <c r="E99" t="s">
        <v>1034</v>
      </c>
      <c r="F99">
        <v>2023</v>
      </c>
      <c r="G99" t="s">
        <v>1102</v>
      </c>
      <c r="H99">
        <v>2016</v>
      </c>
      <c r="I99" t="s">
        <v>1204</v>
      </c>
      <c r="J99">
        <v>2016</v>
      </c>
      <c r="K99" t="s">
        <v>920</v>
      </c>
      <c r="L99">
        <v>2019</v>
      </c>
      <c r="M99" t="s">
        <v>272</v>
      </c>
      <c r="N99" t="s">
        <v>272</v>
      </c>
      <c r="O99" t="s">
        <v>1221</v>
      </c>
      <c r="P99">
        <v>2023</v>
      </c>
    </row>
    <row r="100" spans="1:16" x14ac:dyDescent="0.2">
      <c r="A100" t="s">
        <v>659</v>
      </c>
      <c r="B100" t="s">
        <v>660</v>
      </c>
      <c r="C100">
        <v>60</v>
      </c>
      <c r="D100" t="s">
        <v>146</v>
      </c>
      <c r="E100" t="s">
        <v>965</v>
      </c>
      <c r="F100">
        <v>2023</v>
      </c>
      <c r="G100" t="s">
        <v>1033</v>
      </c>
      <c r="H100">
        <v>2023</v>
      </c>
      <c r="I100" t="s">
        <v>1205</v>
      </c>
      <c r="J100">
        <v>2016</v>
      </c>
      <c r="K100" t="s">
        <v>920</v>
      </c>
      <c r="L100">
        <v>2019</v>
      </c>
      <c r="M100" t="s">
        <v>272</v>
      </c>
      <c r="N100" t="s">
        <v>272</v>
      </c>
      <c r="O100" t="s">
        <v>272</v>
      </c>
      <c r="P100" t="s">
        <v>272</v>
      </c>
    </row>
    <row r="101" spans="1:16" x14ac:dyDescent="0.2">
      <c r="A101" t="s">
        <v>663</v>
      </c>
      <c r="B101" t="s">
        <v>664</v>
      </c>
      <c r="C101">
        <v>72</v>
      </c>
      <c r="D101" t="s">
        <v>146</v>
      </c>
      <c r="E101" t="s">
        <v>665</v>
      </c>
      <c r="F101">
        <v>2023</v>
      </c>
      <c r="G101" t="s">
        <v>1110</v>
      </c>
      <c r="H101">
        <v>2018</v>
      </c>
      <c r="I101" t="s">
        <v>1206</v>
      </c>
      <c r="J101">
        <v>2016</v>
      </c>
      <c r="K101" t="s">
        <v>668</v>
      </c>
      <c r="L101">
        <v>2019</v>
      </c>
      <c r="M101" t="s">
        <v>272</v>
      </c>
      <c r="N101" t="s">
        <v>272</v>
      </c>
      <c r="O101" t="s">
        <v>1287</v>
      </c>
      <c r="P101">
        <v>2022</v>
      </c>
    </row>
    <row r="102" spans="1:16" x14ac:dyDescent="0.2">
      <c r="A102" t="s">
        <v>669</v>
      </c>
      <c r="B102" t="s">
        <v>670</v>
      </c>
      <c r="C102">
        <v>48</v>
      </c>
      <c r="D102" t="s">
        <v>146</v>
      </c>
      <c r="E102" t="s">
        <v>965</v>
      </c>
      <c r="F102">
        <v>2023</v>
      </c>
      <c r="G102" t="s">
        <v>1111</v>
      </c>
      <c r="H102">
        <v>2023</v>
      </c>
      <c r="I102" t="s">
        <v>1207</v>
      </c>
      <c r="J102">
        <v>2016</v>
      </c>
      <c r="K102" t="s">
        <v>921</v>
      </c>
      <c r="L102">
        <v>2017</v>
      </c>
      <c r="M102" t="s">
        <v>1270</v>
      </c>
      <c r="N102">
        <v>2023</v>
      </c>
      <c r="O102" t="s">
        <v>1298</v>
      </c>
      <c r="P102">
        <v>2024</v>
      </c>
    </row>
    <row r="103" spans="1:16" x14ac:dyDescent="0.2">
      <c r="A103" t="s">
        <v>675</v>
      </c>
      <c r="B103" t="s">
        <v>676</v>
      </c>
      <c r="C103">
        <v>34</v>
      </c>
      <c r="D103" t="s">
        <v>160</v>
      </c>
      <c r="E103" t="s">
        <v>1015</v>
      </c>
      <c r="F103">
        <v>2023</v>
      </c>
      <c r="G103" t="s">
        <v>1112</v>
      </c>
      <c r="H103">
        <v>2023</v>
      </c>
      <c r="I103" t="s">
        <v>1208</v>
      </c>
      <c r="J103">
        <v>2017</v>
      </c>
      <c r="K103" t="s">
        <v>680</v>
      </c>
      <c r="L103">
        <v>2016</v>
      </c>
      <c r="M103" t="s">
        <v>1271</v>
      </c>
      <c r="N103">
        <v>2024</v>
      </c>
      <c r="O103" t="s">
        <v>1299</v>
      </c>
      <c r="P103">
        <v>2024</v>
      </c>
    </row>
    <row r="104" spans="1:16" x14ac:dyDescent="0.2">
      <c r="A104" t="s">
        <v>683</v>
      </c>
      <c r="B104" t="s">
        <v>684</v>
      </c>
      <c r="C104">
        <v>64</v>
      </c>
      <c r="D104" t="s">
        <v>160</v>
      </c>
      <c r="E104" t="s">
        <v>994</v>
      </c>
      <c r="F104">
        <v>2024</v>
      </c>
      <c r="G104" t="s">
        <v>1102</v>
      </c>
      <c r="H104">
        <v>2016</v>
      </c>
      <c r="I104" t="s">
        <v>1209</v>
      </c>
      <c r="J104">
        <v>2023</v>
      </c>
      <c r="K104" t="s">
        <v>922</v>
      </c>
      <c r="L104">
        <v>2018</v>
      </c>
      <c r="M104" t="s">
        <v>272</v>
      </c>
      <c r="N104" t="s">
        <v>272</v>
      </c>
      <c r="O104" t="s">
        <v>933</v>
      </c>
      <c r="P104">
        <v>2003</v>
      </c>
    </row>
    <row r="105" spans="1:16" x14ac:dyDescent="0.2">
      <c r="A105" t="s">
        <v>688</v>
      </c>
      <c r="B105" t="s">
        <v>689</v>
      </c>
      <c r="C105">
        <v>84</v>
      </c>
      <c r="D105" t="s">
        <v>146</v>
      </c>
      <c r="E105" t="s">
        <v>965</v>
      </c>
      <c r="F105">
        <v>2023</v>
      </c>
      <c r="G105" t="s">
        <v>187</v>
      </c>
      <c r="H105">
        <v>2023</v>
      </c>
      <c r="I105" t="s">
        <v>1210</v>
      </c>
      <c r="J105">
        <v>2024</v>
      </c>
      <c r="K105" t="s">
        <v>272</v>
      </c>
      <c r="L105" t="s">
        <v>272</v>
      </c>
      <c r="M105" t="s">
        <v>272</v>
      </c>
      <c r="N105" t="s">
        <v>272</v>
      </c>
      <c r="O105" t="s">
        <v>692</v>
      </c>
      <c r="P105">
        <v>2024</v>
      </c>
    </row>
    <row r="106" spans="1:16" x14ac:dyDescent="0.2">
      <c r="A106" t="s">
        <v>693</v>
      </c>
      <c r="B106" t="s">
        <v>694</v>
      </c>
      <c r="C106">
        <v>28</v>
      </c>
      <c r="D106" t="s">
        <v>160</v>
      </c>
      <c r="E106" t="s">
        <v>965</v>
      </c>
      <c r="F106">
        <v>2023</v>
      </c>
      <c r="G106" t="s">
        <v>972</v>
      </c>
      <c r="H106">
        <v>2023</v>
      </c>
      <c r="I106" t="s">
        <v>1211</v>
      </c>
      <c r="J106">
        <v>2024</v>
      </c>
      <c r="K106" t="s">
        <v>923</v>
      </c>
      <c r="L106">
        <v>2024</v>
      </c>
      <c r="M106" t="s">
        <v>1272</v>
      </c>
      <c r="N106">
        <v>2024</v>
      </c>
      <c r="O106" t="s">
        <v>1287</v>
      </c>
      <c r="P106">
        <v>2022</v>
      </c>
    </row>
    <row r="107" spans="1:16" x14ac:dyDescent="0.2">
      <c r="A107" t="s">
        <v>698</v>
      </c>
      <c r="B107" t="s">
        <v>699</v>
      </c>
      <c r="C107">
        <v>20</v>
      </c>
      <c r="D107" t="s">
        <v>160</v>
      </c>
      <c r="E107" t="s">
        <v>970</v>
      </c>
      <c r="F107">
        <v>2023</v>
      </c>
      <c r="G107" t="s">
        <v>1113</v>
      </c>
      <c r="H107">
        <v>2024</v>
      </c>
      <c r="I107" t="s">
        <v>1201</v>
      </c>
      <c r="J107">
        <v>2016</v>
      </c>
      <c r="K107" t="s">
        <v>272</v>
      </c>
      <c r="L107" t="s">
        <v>272</v>
      </c>
      <c r="M107" t="s">
        <v>1273</v>
      </c>
      <c r="N107">
        <v>2023</v>
      </c>
      <c r="O107" t="s">
        <v>1300</v>
      </c>
      <c r="P107">
        <v>2024</v>
      </c>
    </row>
    <row r="108" spans="1:16" x14ac:dyDescent="0.2">
      <c r="A108" t="s">
        <v>703</v>
      </c>
      <c r="B108" t="s">
        <v>704</v>
      </c>
      <c r="C108">
        <v>27</v>
      </c>
      <c r="D108" t="s">
        <v>160</v>
      </c>
      <c r="E108" t="s">
        <v>1035</v>
      </c>
      <c r="F108">
        <v>2024</v>
      </c>
      <c r="G108" t="s">
        <v>926</v>
      </c>
      <c r="H108">
        <v>2024</v>
      </c>
      <c r="I108" t="s">
        <v>1202</v>
      </c>
      <c r="J108">
        <v>2016</v>
      </c>
      <c r="K108" t="s">
        <v>707</v>
      </c>
      <c r="L108">
        <v>2023</v>
      </c>
      <c r="M108" t="s">
        <v>272</v>
      </c>
      <c r="N108" t="s">
        <v>272</v>
      </c>
      <c r="O108" t="s">
        <v>272</v>
      </c>
      <c r="P108" t="s">
        <v>272</v>
      </c>
    </row>
    <row r="109" spans="1:16" x14ac:dyDescent="0.2">
      <c r="A109" t="s">
        <v>708</v>
      </c>
      <c r="B109" t="s">
        <v>709</v>
      </c>
      <c r="C109">
        <v>82</v>
      </c>
      <c r="D109" t="s">
        <v>160</v>
      </c>
      <c r="E109" t="s">
        <v>157</v>
      </c>
      <c r="F109">
        <v>2024</v>
      </c>
      <c r="G109" t="s">
        <v>1068</v>
      </c>
      <c r="H109">
        <v>2023</v>
      </c>
      <c r="I109" t="s">
        <v>1203</v>
      </c>
      <c r="J109">
        <v>2016</v>
      </c>
      <c r="K109" t="s">
        <v>1221</v>
      </c>
      <c r="L109">
        <v>2023</v>
      </c>
      <c r="M109" t="s">
        <v>1265</v>
      </c>
      <c r="N109">
        <v>2023</v>
      </c>
      <c r="O109" t="s">
        <v>974</v>
      </c>
      <c r="P109">
        <v>2022</v>
      </c>
    </row>
    <row r="110" spans="1:16" x14ac:dyDescent="0.2">
      <c r="A110" t="s">
        <v>713</v>
      </c>
      <c r="B110" t="s">
        <v>714</v>
      </c>
      <c r="C110">
        <v>30</v>
      </c>
      <c r="D110" t="s">
        <v>146</v>
      </c>
      <c r="E110" t="s">
        <v>1036</v>
      </c>
      <c r="F110">
        <v>2023</v>
      </c>
      <c r="G110" t="s">
        <v>1102</v>
      </c>
      <c r="H110">
        <v>2016</v>
      </c>
      <c r="I110" t="s">
        <v>1204</v>
      </c>
      <c r="J110">
        <v>2016</v>
      </c>
      <c r="K110" t="s">
        <v>716</v>
      </c>
      <c r="L110">
        <v>2023</v>
      </c>
      <c r="M110" t="s">
        <v>1274</v>
      </c>
      <c r="N110">
        <v>2024</v>
      </c>
      <c r="O110" t="s">
        <v>1301</v>
      </c>
      <c r="P110">
        <v>2023</v>
      </c>
    </row>
    <row r="111" spans="1:16" x14ac:dyDescent="0.2">
      <c r="A111" t="s">
        <v>719</v>
      </c>
      <c r="B111" t="s">
        <v>720</v>
      </c>
      <c r="C111">
        <v>27</v>
      </c>
      <c r="D111" t="s">
        <v>146</v>
      </c>
      <c r="E111" t="s">
        <v>1037</v>
      </c>
      <c r="F111">
        <v>2024</v>
      </c>
      <c r="G111" t="s">
        <v>1114</v>
      </c>
      <c r="H111">
        <v>2024</v>
      </c>
      <c r="I111" t="s">
        <v>1205</v>
      </c>
      <c r="J111">
        <v>2016</v>
      </c>
      <c r="K111" t="s">
        <v>272</v>
      </c>
      <c r="L111" t="s">
        <v>272</v>
      </c>
      <c r="M111" t="s">
        <v>272</v>
      </c>
      <c r="N111" t="s">
        <v>272</v>
      </c>
      <c r="O111" t="s">
        <v>930</v>
      </c>
      <c r="P111">
        <v>2023</v>
      </c>
    </row>
    <row r="112" spans="1:16" x14ac:dyDescent="0.2">
      <c r="A112" t="s">
        <v>723</v>
      </c>
      <c r="B112" t="s">
        <v>724</v>
      </c>
      <c r="C112">
        <v>21</v>
      </c>
      <c r="D112" t="s">
        <v>146</v>
      </c>
      <c r="E112" t="s">
        <v>1038</v>
      </c>
      <c r="F112">
        <v>2023</v>
      </c>
      <c r="G112" t="s">
        <v>1115</v>
      </c>
      <c r="H112">
        <v>2017</v>
      </c>
      <c r="I112" t="s">
        <v>1206</v>
      </c>
      <c r="J112">
        <v>2016</v>
      </c>
      <c r="K112" t="s">
        <v>924</v>
      </c>
      <c r="L112">
        <v>2024</v>
      </c>
      <c r="M112" t="s">
        <v>1275</v>
      </c>
      <c r="N112">
        <v>2023</v>
      </c>
      <c r="O112" t="s">
        <v>1221</v>
      </c>
      <c r="P112">
        <v>2023</v>
      </c>
    </row>
    <row r="113" spans="1:16" x14ac:dyDescent="0.2">
      <c r="A113" t="s">
        <v>729</v>
      </c>
      <c r="B113" t="s">
        <v>730</v>
      </c>
      <c r="C113">
        <v>54</v>
      </c>
      <c r="D113" t="s">
        <v>160</v>
      </c>
      <c r="E113" t="s">
        <v>1039</v>
      </c>
      <c r="F113">
        <v>2023</v>
      </c>
      <c r="G113" t="s">
        <v>1116</v>
      </c>
      <c r="H113">
        <v>2023</v>
      </c>
      <c r="I113" t="s">
        <v>1207</v>
      </c>
      <c r="J113">
        <v>2016</v>
      </c>
      <c r="K113" t="s">
        <v>925</v>
      </c>
      <c r="L113">
        <v>2023</v>
      </c>
      <c r="M113" t="s">
        <v>272</v>
      </c>
      <c r="N113" t="s">
        <v>272</v>
      </c>
      <c r="O113" t="s">
        <v>1221</v>
      </c>
      <c r="P113">
        <v>2023</v>
      </c>
    </row>
    <row r="114" spans="1:16" x14ac:dyDescent="0.2">
      <c r="A114" t="s">
        <v>734</v>
      </c>
      <c r="B114" t="s">
        <v>735</v>
      </c>
      <c r="C114">
        <v>54</v>
      </c>
      <c r="D114" t="s">
        <v>160</v>
      </c>
      <c r="E114" t="s">
        <v>199</v>
      </c>
      <c r="F114">
        <v>2023</v>
      </c>
      <c r="G114" t="s">
        <v>1102</v>
      </c>
      <c r="H114">
        <v>2016</v>
      </c>
      <c r="I114" t="s">
        <v>1208</v>
      </c>
      <c r="J114">
        <v>2017</v>
      </c>
      <c r="K114" t="s">
        <v>926</v>
      </c>
      <c r="L114">
        <v>2024</v>
      </c>
      <c r="M114" t="s">
        <v>1159</v>
      </c>
      <c r="N114">
        <v>2023</v>
      </c>
      <c r="O114" t="s">
        <v>971</v>
      </c>
      <c r="P114">
        <v>2023</v>
      </c>
    </row>
    <row r="115" spans="1:16" x14ac:dyDescent="0.2">
      <c r="A115" t="s">
        <v>738</v>
      </c>
      <c r="B115" t="s">
        <v>739</v>
      </c>
      <c r="C115">
        <v>52</v>
      </c>
      <c r="D115" t="s">
        <v>146</v>
      </c>
      <c r="E115" t="s">
        <v>1040</v>
      </c>
      <c r="F115">
        <v>2023</v>
      </c>
      <c r="G115" t="s">
        <v>1102</v>
      </c>
      <c r="H115">
        <v>2016</v>
      </c>
      <c r="I115" t="s">
        <v>1212</v>
      </c>
      <c r="J115">
        <v>2017</v>
      </c>
      <c r="K115" t="s">
        <v>974</v>
      </c>
      <c r="L115">
        <v>2022</v>
      </c>
      <c r="M115" t="s">
        <v>1276</v>
      </c>
      <c r="N115">
        <v>2023</v>
      </c>
      <c r="O115" t="s">
        <v>1302</v>
      </c>
      <c r="P115">
        <v>2024</v>
      </c>
    </row>
    <row r="116" spans="1:16" x14ac:dyDescent="0.2">
      <c r="A116" t="s">
        <v>743</v>
      </c>
      <c r="B116" t="s">
        <v>744</v>
      </c>
      <c r="C116">
        <v>24</v>
      </c>
      <c r="D116" t="s">
        <v>146</v>
      </c>
      <c r="E116" t="s">
        <v>211</v>
      </c>
      <c r="F116">
        <v>2024</v>
      </c>
      <c r="G116" t="s">
        <v>1117</v>
      </c>
      <c r="H116">
        <v>2024</v>
      </c>
      <c r="I116" t="s">
        <v>1213</v>
      </c>
      <c r="J116">
        <v>2017</v>
      </c>
      <c r="K116" t="s">
        <v>1222</v>
      </c>
      <c r="L116">
        <v>2023</v>
      </c>
      <c r="M116" t="s">
        <v>1277</v>
      </c>
      <c r="N116">
        <v>2023</v>
      </c>
      <c r="O116" t="s">
        <v>1221</v>
      </c>
      <c r="P116">
        <v>2023</v>
      </c>
    </row>
    <row r="117" spans="1:16" x14ac:dyDescent="0.2">
      <c r="A117" t="s">
        <v>748</v>
      </c>
      <c r="B117" t="s">
        <v>749</v>
      </c>
      <c r="C117">
        <v>60</v>
      </c>
      <c r="D117" t="s">
        <v>160</v>
      </c>
      <c r="E117" t="s">
        <v>1041</v>
      </c>
      <c r="F117">
        <v>2023</v>
      </c>
      <c r="G117" t="s">
        <v>1118</v>
      </c>
      <c r="H117">
        <v>2024</v>
      </c>
      <c r="I117" t="s">
        <v>1214</v>
      </c>
      <c r="J117">
        <v>2017</v>
      </c>
      <c r="K117" t="s">
        <v>928</v>
      </c>
      <c r="L117">
        <v>2023</v>
      </c>
      <c r="M117" t="s">
        <v>272</v>
      </c>
      <c r="N117" t="s">
        <v>272</v>
      </c>
      <c r="O117" t="s">
        <v>930</v>
      </c>
      <c r="P117">
        <v>2023</v>
      </c>
    </row>
    <row r="118" spans="1:16" x14ac:dyDescent="0.2">
      <c r="A118" t="s">
        <v>753</v>
      </c>
      <c r="B118" t="s">
        <v>754</v>
      </c>
      <c r="C118">
        <v>47</v>
      </c>
      <c r="D118" t="s">
        <v>146</v>
      </c>
      <c r="E118" t="s">
        <v>1042</v>
      </c>
      <c r="F118">
        <v>2020</v>
      </c>
      <c r="G118" t="s">
        <v>1119</v>
      </c>
      <c r="H118">
        <v>2024</v>
      </c>
      <c r="I118" t="s">
        <v>1215</v>
      </c>
      <c r="J118">
        <v>2017</v>
      </c>
      <c r="K118" t="s">
        <v>974</v>
      </c>
      <c r="L118">
        <v>2022</v>
      </c>
      <c r="M118" t="s">
        <v>984</v>
      </c>
      <c r="N118">
        <v>2023</v>
      </c>
      <c r="O118" t="s">
        <v>272</v>
      </c>
      <c r="P118" t="s">
        <v>272</v>
      </c>
    </row>
    <row r="119" spans="1:16" x14ac:dyDescent="0.2">
      <c r="A119" t="s">
        <v>758</v>
      </c>
      <c r="B119" t="s">
        <v>759</v>
      </c>
      <c r="C119">
        <v>26</v>
      </c>
      <c r="D119" t="s">
        <v>160</v>
      </c>
      <c r="E119" t="s">
        <v>272</v>
      </c>
      <c r="F119" t="s">
        <v>272</v>
      </c>
      <c r="G119" t="s">
        <v>1120</v>
      </c>
      <c r="H119">
        <v>2024</v>
      </c>
      <c r="I119" t="s">
        <v>1216</v>
      </c>
      <c r="J119">
        <v>2017</v>
      </c>
      <c r="K119" t="s">
        <v>1222</v>
      </c>
      <c r="L119">
        <v>2023</v>
      </c>
      <c r="M119" t="s">
        <v>1278</v>
      </c>
      <c r="N119">
        <v>2024</v>
      </c>
      <c r="O119" t="s">
        <v>1222</v>
      </c>
      <c r="P119">
        <v>2023</v>
      </c>
    </row>
    <row r="120" spans="1:16" x14ac:dyDescent="0.2">
      <c r="A120" t="s">
        <v>763</v>
      </c>
      <c r="B120" t="s">
        <v>764</v>
      </c>
      <c r="C120">
        <v>31</v>
      </c>
      <c r="D120" t="s">
        <v>160</v>
      </c>
      <c r="E120" t="s">
        <v>1043</v>
      </c>
      <c r="F120">
        <v>2024</v>
      </c>
      <c r="G120" t="s">
        <v>1121</v>
      </c>
      <c r="H120">
        <v>2024</v>
      </c>
      <c r="I120" t="s">
        <v>1217</v>
      </c>
      <c r="J120">
        <v>2017</v>
      </c>
      <c r="K120" t="s">
        <v>272</v>
      </c>
      <c r="L120" t="s">
        <v>272</v>
      </c>
      <c r="M120" t="s">
        <v>272</v>
      </c>
      <c r="N120" t="s">
        <v>272</v>
      </c>
      <c r="O120" t="s">
        <v>1303</v>
      </c>
      <c r="P120">
        <v>2024</v>
      </c>
    </row>
    <row r="121" spans="1:16" x14ac:dyDescent="0.2">
      <c r="A121" t="s">
        <v>768</v>
      </c>
      <c r="B121" t="s">
        <v>769</v>
      </c>
      <c r="C121">
        <v>53</v>
      </c>
      <c r="D121" t="s">
        <v>146</v>
      </c>
      <c r="E121" t="s">
        <v>965</v>
      </c>
      <c r="F121">
        <v>2023</v>
      </c>
      <c r="G121" t="s">
        <v>1122</v>
      </c>
      <c r="H121">
        <v>2024</v>
      </c>
      <c r="I121" t="s">
        <v>1218</v>
      </c>
      <c r="J121">
        <v>2017</v>
      </c>
      <c r="K121" t="s">
        <v>1042</v>
      </c>
      <c r="L121">
        <v>2020</v>
      </c>
      <c r="M121" t="s">
        <v>1279</v>
      </c>
      <c r="N121">
        <v>2024</v>
      </c>
      <c r="O121" t="s">
        <v>272</v>
      </c>
      <c r="P121" t="s">
        <v>272</v>
      </c>
    </row>
    <row r="122" spans="1:16" x14ac:dyDescent="0.2">
      <c r="A122" t="s">
        <v>773</v>
      </c>
      <c r="B122" t="s">
        <v>774</v>
      </c>
      <c r="C122">
        <v>52</v>
      </c>
      <c r="D122" t="s">
        <v>146</v>
      </c>
      <c r="E122" t="s">
        <v>1044</v>
      </c>
      <c r="F122">
        <v>2024</v>
      </c>
      <c r="G122" t="s">
        <v>1123</v>
      </c>
      <c r="H122">
        <v>2019</v>
      </c>
      <c r="I122" t="s">
        <v>904</v>
      </c>
      <c r="J122">
        <v>2017</v>
      </c>
      <c r="K122" t="s">
        <v>272</v>
      </c>
      <c r="L122" t="s">
        <v>272</v>
      </c>
      <c r="M122" t="s">
        <v>1280</v>
      </c>
      <c r="N122">
        <v>2024</v>
      </c>
      <c r="O122" t="s">
        <v>1304</v>
      </c>
      <c r="P122">
        <v>2023</v>
      </c>
    </row>
    <row r="123" spans="1:16" x14ac:dyDescent="0.2">
      <c r="A123" t="s">
        <v>779</v>
      </c>
      <c r="B123" t="s">
        <v>780</v>
      </c>
      <c r="C123">
        <v>49</v>
      </c>
      <c r="D123" t="s">
        <v>160</v>
      </c>
      <c r="E123" t="s">
        <v>1045</v>
      </c>
      <c r="F123">
        <v>2023</v>
      </c>
      <c r="G123" t="s">
        <v>1115</v>
      </c>
      <c r="H123">
        <v>2017</v>
      </c>
      <c r="I123" t="s">
        <v>1219</v>
      </c>
      <c r="J123">
        <v>2017</v>
      </c>
      <c r="K123" t="s">
        <v>1042</v>
      </c>
      <c r="L123">
        <v>2020</v>
      </c>
      <c r="M123" t="s">
        <v>1077</v>
      </c>
      <c r="N123">
        <v>2023</v>
      </c>
      <c r="O123" t="s">
        <v>1305</v>
      </c>
      <c r="P123">
        <v>2023</v>
      </c>
    </row>
    <row r="124" spans="1:16" x14ac:dyDescent="0.2">
      <c r="A124" t="s">
        <v>784</v>
      </c>
      <c r="B124" t="s">
        <v>785</v>
      </c>
      <c r="C124">
        <v>67</v>
      </c>
      <c r="D124" t="s">
        <v>160</v>
      </c>
      <c r="E124" t="s">
        <v>1046</v>
      </c>
      <c r="F124">
        <v>2024</v>
      </c>
      <c r="G124" t="s">
        <v>1124</v>
      </c>
      <c r="H124">
        <v>2024</v>
      </c>
      <c r="I124" t="s">
        <v>922</v>
      </c>
      <c r="J124">
        <v>2018</v>
      </c>
      <c r="K124" t="s">
        <v>929</v>
      </c>
      <c r="L124">
        <v>2022</v>
      </c>
      <c r="M124" t="s">
        <v>272</v>
      </c>
      <c r="N124" t="s">
        <v>272</v>
      </c>
      <c r="O124" t="s">
        <v>1306</v>
      </c>
      <c r="P124">
        <v>2023</v>
      </c>
    </row>
    <row r="125" spans="1:16" x14ac:dyDescent="0.2">
      <c r="A125" t="s">
        <v>787</v>
      </c>
      <c r="B125" t="s">
        <v>788</v>
      </c>
      <c r="C125">
        <v>42</v>
      </c>
      <c r="D125" t="s">
        <v>160</v>
      </c>
      <c r="E125" t="s">
        <v>965</v>
      </c>
      <c r="F125">
        <v>2023</v>
      </c>
      <c r="G125" t="s">
        <v>1125</v>
      </c>
      <c r="H125">
        <v>2023</v>
      </c>
      <c r="I125" t="s">
        <v>1128</v>
      </c>
      <c r="J125">
        <v>2018</v>
      </c>
      <c r="K125" t="s">
        <v>1042</v>
      </c>
      <c r="L125">
        <v>2020</v>
      </c>
      <c r="M125" t="s">
        <v>1075</v>
      </c>
      <c r="N125">
        <v>2023</v>
      </c>
      <c r="O125" t="s">
        <v>1287</v>
      </c>
      <c r="P125">
        <v>2022</v>
      </c>
    </row>
    <row r="126" spans="1:16" x14ac:dyDescent="0.2">
      <c r="A126" t="s">
        <v>792</v>
      </c>
      <c r="B126" t="s">
        <v>793</v>
      </c>
      <c r="C126">
        <v>81</v>
      </c>
      <c r="D126" t="s">
        <v>146</v>
      </c>
      <c r="E126" t="s">
        <v>1047</v>
      </c>
      <c r="F126">
        <v>2024</v>
      </c>
      <c r="G126" t="s">
        <v>1126</v>
      </c>
      <c r="H126">
        <v>2023</v>
      </c>
      <c r="I126" t="s">
        <v>1220</v>
      </c>
      <c r="J126">
        <v>2018</v>
      </c>
      <c r="K126" t="s">
        <v>272</v>
      </c>
      <c r="L126" t="s">
        <v>272</v>
      </c>
      <c r="M126" t="s">
        <v>272</v>
      </c>
      <c r="N126" t="s">
        <v>272</v>
      </c>
      <c r="O126" t="s">
        <v>930</v>
      </c>
      <c r="P126">
        <v>2023</v>
      </c>
    </row>
    <row r="127" spans="1:16" x14ac:dyDescent="0.2">
      <c r="A127" t="s">
        <v>797</v>
      </c>
      <c r="B127" t="s">
        <v>798</v>
      </c>
      <c r="C127">
        <v>56</v>
      </c>
      <c r="D127" t="s">
        <v>160</v>
      </c>
      <c r="E127" t="s">
        <v>1048</v>
      </c>
      <c r="F127">
        <v>2024</v>
      </c>
      <c r="G127" t="s">
        <v>1127</v>
      </c>
      <c r="H127">
        <v>2023</v>
      </c>
      <c r="I127" t="s">
        <v>801</v>
      </c>
      <c r="J127">
        <v>2018</v>
      </c>
      <c r="K127" t="s">
        <v>272</v>
      </c>
      <c r="L127" t="s">
        <v>272</v>
      </c>
      <c r="M127" t="s">
        <v>272</v>
      </c>
      <c r="N127" t="s">
        <v>272</v>
      </c>
      <c r="O127" t="s">
        <v>1042</v>
      </c>
      <c r="P127">
        <v>2020</v>
      </c>
    </row>
    <row r="128" spans="1:16" x14ac:dyDescent="0.2">
      <c r="A128" t="s">
        <v>802</v>
      </c>
      <c r="B128" t="s">
        <v>803</v>
      </c>
      <c r="C128">
        <v>63</v>
      </c>
      <c r="D128" t="s">
        <v>146</v>
      </c>
      <c r="E128" t="s">
        <v>1049</v>
      </c>
      <c r="F128">
        <v>2024</v>
      </c>
      <c r="G128" t="s">
        <v>272</v>
      </c>
      <c r="H128" t="s">
        <v>272</v>
      </c>
      <c r="I128" t="s">
        <v>202</v>
      </c>
      <c r="J128">
        <v>2018</v>
      </c>
      <c r="K128" t="s">
        <v>272</v>
      </c>
      <c r="L128" t="s">
        <v>272</v>
      </c>
      <c r="M128" t="s">
        <v>272</v>
      </c>
      <c r="N128" t="s">
        <v>272</v>
      </c>
      <c r="O128" t="s">
        <v>272</v>
      </c>
      <c r="P128" t="s">
        <v>272</v>
      </c>
    </row>
    <row r="129" spans="1:16" x14ac:dyDescent="0.2">
      <c r="A129" t="s">
        <v>805</v>
      </c>
      <c r="B129" t="s">
        <v>806</v>
      </c>
      <c r="C129">
        <v>54</v>
      </c>
      <c r="D129" t="s">
        <v>160</v>
      </c>
      <c r="E129" t="s">
        <v>965</v>
      </c>
      <c r="F129">
        <v>2023</v>
      </c>
      <c r="G129" t="s">
        <v>1128</v>
      </c>
      <c r="H129">
        <v>2018</v>
      </c>
      <c r="I129" t="s">
        <v>807</v>
      </c>
      <c r="J129">
        <v>2018</v>
      </c>
      <c r="K129" t="s">
        <v>930</v>
      </c>
      <c r="L129">
        <v>2023</v>
      </c>
      <c r="M129" t="s">
        <v>1037</v>
      </c>
      <c r="N129">
        <v>2024</v>
      </c>
      <c r="O129" t="s">
        <v>187</v>
      </c>
      <c r="P129">
        <v>2023</v>
      </c>
    </row>
    <row r="130" spans="1:16" x14ac:dyDescent="0.2">
      <c r="A130" t="s">
        <v>808</v>
      </c>
      <c r="B130" t="s">
        <v>809</v>
      </c>
      <c r="C130">
        <v>84</v>
      </c>
      <c r="D130" t="s">
        <v>146</v>
      </c>
      <c r="E130" t="s">
        <v>272</v>
      </c>
      <c r="F130" t="s">
        <v>272</v>
      </c>
      <c r="G130" t="s">
        <v>810</v>
      </c>
      <c r="H130">
        <v>2017</v>
      </c>
      <c r="I130" t="s">
        <v>811</v>
      </c>
      <c r="J130">
        <v>2018</v>
      </c>
      <c r="K130" t="s">
        <v>931</v>
      </c>
      <c r="L130">
        <v>2024</v>
      </c>
      <c r="M130" t="s">
        <v>1281</v>
      </c>
      <c r="N130">
        <v>2023</v>
      </c>
      <c r="O130" t="s">
        <v>1156</v>
      </c>
      <c r="P130">
        <v>2024</v>
      </c>
    </row>
    <row r="131" spans="1:16" x14ac:dyDescent="0.2">
      <c r="A131" t="s">
        <v>815</v>
      </c>
      <c r="B131" t="s">
        <v>816</v>
      </c>
      <c r="C131">
        <v>66</v>
      </c>
      <c r="D131" t="s">
        <v>146</v>
      </c>
      <c r="E131" t="s">
        <v>1050</v>
      </c>
      <c r="F131">
        <v>2024</v>
      </c>
      <c r="G131" t="s">
        <v>810</v>
      </c>
      <c r="H131">
        <v>2017</v>
      </c>
      <c r="I131" t="s">
        <v>818</v>
      </c>
      <c r="J131">
        <v>2018</v>
      </c>
      <c r="K131" t="s">
        <v>272</v>
      </c>
      <c r="L131" t="s">
        <v>272</v>
      </c>
      <c r="M131" t="s">
        <v>1282</v>
      </c>
      <c r="N131">
        <v>2024</v>
      </c>
      <c r="O131" t="s">
        <v>272</v>
      </c>
      <c r="P131" t="s">
        <v>272</v>
      </c>
    </row>
    <row r="132" spans="1:16" x14ac:dyDescent="0.2">
      <c r="A132" t="s">
        <v>820</v>
      </c>
      <c r="B132" t="s">
        <v>821</v>
      </c>
      <c r="C132">
        <v>22</v>
      </c>
      <c r="D132" t="s">
        <v>146</v>
      </c>
      <c r="E132" t="s">
        <v>1051</v>
      </c>
      <c r="F132">
        <v>2024</v>
      </c>
      <c r="G132" t="s">
        <v>823</v>
      </c>
      <c r="H132">
        <v>2016</v>
      </c>
      <c r="I132" t="s">
        <v>192</v>
      </c>
      <c r="J132">
        <v>2018</v>
      </c>
      <c r="K132" t="s">
        <v>932</v>
      </c>
      <c r="L132">
        <v>2024</v>
      </c>
      <c r="M132" t="s">
        <v>272</v>
      </c>
      <c r="N132" t="s">
        <v>272</v>
      </c>
      <c r="O132" t="s">
        <v>1289</v>
      </c>
      <c r="P132">
        <v>2026</v>
      </c>
    </row>
    <row r="133" spans="1:16" x14ac:dyDescent="0.2">
      <c r="A133" t="s">
        <v>825</v>
      </c>
      <c r="B133" t="s">
        <v>826</v>
      </c>
      <c r="C133">
        <v>20</v>
      </c>
      <c r="D133" t="s">
        <v>160</v>
      </c>
      <c r="E133" t="s">
        <v>983</v>
      </c>
      <c r="F133">
        <v>2023</v>
      </c>
      <c r="G133" t="s">
        <v>1129</v>
      </c>
      <c r="H133">
        <v>2023</v>
      </c>
      <c r="I133" t="s">
        <v>192</v>
      </c>
      <c r="J133">
        <v>2018</v>
      </c>
      <c r="K133" t="s">
        <v>933</v>
      </c>
      <c r="L133">
        <v>2003</v>
      </c>
      <c r="M133" t="s">
        <v>272</v>
      </c>
      <c r="N133" t="s">
        <v>272</v>
      </c>
      <c r="O133" t="s">
        <v>988</v>
      </c>
      <c r="P133">
        <v>2024</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4"/>
  <sheetViews>
    <sheetView topLeftCell="J1" workbookViewId="0">
      <selection activeCell="M5" sqref="M5"/>
    </sheetView>
  </sheetViews>
  <sheetFormatPr defaultRowHeight="14.25" x14ac:dyDescent="0.2"/>
  <cols>
    <col min="1" max="1" width="11.75" bestFit="1" customWidth="1"/>
    <col min="2" max="2" width="10.625" bestFit="1" customWidth="1"/>
    <col min="3" max="3" width="6.375" bestFit="1" customWidth="1"/>
    <col min="4" max="4" width="9.375" bestFit="1" customWidth="1"/>
    <col min="5" max="5" width="16.875" bestFit="1" customWidth="1"/>
    <col min="6" max="6" width="16.25" bestFit="1" customWidth="1"/>
    <col min="7" max="7" width="21.25" bestFit="1" customWidth="1"/>
    <col min="8" max="8" width="14.5" bestFit="1" customWidth="1"/>
    <col min="9" max="9" width="16.375" bestFit="1" customWidth="1"/>
    <col min="10" max="10" width="20.75" bestFit="1" customWidth="1"/>
    <col min="12" max="12" width="24.25" bestFit="1" customWidth="1"/>
    <col min="13" max="13" width="21.875" bestFit="1" customWidth="1"/>
    <col min="15" max="15" width="13.375" bestFit="1" customWidth="1"/>
    <col min="16" max="16" width="13.25" bestFit="1" customWidth="1"/>
    <col min="17" max="17" width="17.875" bestFit="1" customWidth="1"/>
    <col min="18" max="18" width="11.5" bestFit="1" customWidth="1"/>
    <col min="19" max="19" width="13.375" bestFit="1" customWidth="1"/>
    <col min="20" max="20" width="17.25" bestFit="1" customWidth="1"/>
  </cols>
  <sheetData>
    <row r="1" spans="1:20" x14ac:dyDescent="0.2">
      <c r="O1" s="35" t="s">
        <v>1342</v>
      </c>
      <c r="P1" s="35"/>
      <c r="Q1" s="35"/>
      <c r="R1" s="35"/>
      <c r="S1" s="35"/>
      <c r="T1" s="35"/>
    </row>
    <row r="2" spans="1:20" x14ac:dyDescent="0.2">
      <c r="A2" t="s">
        <v>135</v>
      </c>
      <c r="B2" t="s">
        <v>136</v>
      </c>
      <c r="C2" t="s">
        <v>137</v>
      </c>
      <c r="D2" t="s">
        <v>138</v>
      </c>
      <c r="E2" s="6" t="s">
        <v>1322</v>
      </c>
      <c r="F2" s="6" t="s">
        <v>1323</v>
      </c>
      <c r="G2" s="6" t="s">
        <v>1324</v>
      </c>
      <c r="H2" s="6" t="s">
        <v>1325</v>
      </c>
      <c r="I2" s="6" t="s">
        <v>1326</v>
      </c>
      <c r="J2" s="6" t="s">
        <v>1327</v>
      </c>
      <c r="L2" s="6" t="s">
        <v>1341</v>
      </c>
      <c r="O2" t="s">
        <v>1322</v>
      </c>
      <c r="P2" t="s">
        <v>1323</v>
      </c>
      <c r="Q2" t="s">
        <v>1324</v>
      </c>
      <c r="R2" t="s">
        <v>1325</v>
      </c>
      <c r="S2" t="s">
        <v>1326</v>
      </c>
      <c r="T2" t="s">
        <v>1327</v>
      </c>
    </row>
    <row r="3" spans="1:20" x14ac:dyDescent="0.2">
      <c r="A3" t="s">
        <v>145</v>
      </c>
      <c r="B3" t="s">
        <v>952</v>
      </c>
      <c r="C3">
        <v>71</v>
      </c>
      <c r="D3" t="s">
        <v>146</v>
      </c>
      <c r="E3">
        <v>2023</v>
      </c>
      <c r="F3">
        <v>2024</v>
      </c>
      <c r="G3">
        <v>2016</v>
      </c>
      <c r="H3">
        <v>2018</v>
      </c>
      <c r="I3" s="6">
        <v>2023</v>
      </c>
      <c r="J3">
        <v>2023</v>
      </c>
      <c r="L3" t="b">
        <f>AND(E3&lt;&gt;"",F3&lt;&gt;"",G3&lt;&gt;"",H3&lt;&gt;"",I3&lt;&gt;"",J3&lt;&gt;"",E3&lt;=F3,F3&lt;=G3,G3&lt;=H3,H3&lt;=I3,I3&lt;=J3)</f>
        <v>0</v>
      </c>
      <c r="O3">
        <f>SMALL(Table47[[#This Row],[Admission Year]:[Follow Up Visit Year]],1)</f>
        <v>2016</v>
      </c>
      <c r="P3">
        <f>SMALL(Table47[[#This Row],[Admission Year]:[Follow Up Visit Year]],2)</f>
        <v>2018</v>
      </c>
      <c r="Q3">
        <f>SMALL(Table47[[#This Row],[Admission Year]:[Follow Up Visit Year]],3)</f>
        <v>2023</v>
      </c>
      <c r="R3">
        <f>SMALL(Table47[[#This Row],[Admission Year]:[Follow Up Visit Year]],4)</f>
        <v>2023</v>
      </c>
      <c r="S3">
        <f>SMALL(Table47[[#This Row],[Admission Year]:[Follow Up Visit Year]],5)</f>
        <v>2023</v>
      </c>
      <c r="T3">
        <f>SMALL(Table47[[#This Row],[Admission Year]:[Follow Up Visit Year]],6)</f>
        <v>2024</v>
      </c>
    </row>
    <row r="4" spans="1:20" x14ac:dyDescent="0.2">
      <c r="A4" t="s">
        <v>151</v>
      </c>
      <c r="B4" t="s">
        <v>152</v>
      </c>
      <c r="C4">
        <v>34</v>
      </c>
      <c r="D4" t="s">
        <v>146</v>
      </c>
      <c r="E4">
        <v>2024</v>
      </c>
      <c r="F4">
        <v>2023</v>
      </c>
      <c r="G4">
        <v>2017</v>
      </c>
      <c r="H4">
        <v>2016</v>
      </c>
      <c r="I4">
        <v>2024</v>
      </c>
      <c r="J4">
        <v>2024</v>
      </c>
      <c r="L4" t="b">
        <f t="shared" ref="L4:L67" si="0">AND(E4&lt;&gt;"",F4&lt;&gt;"",G4&lt;&gt;"",H4&lt;&gt;"",I4&lt;&gt;"",J4&lt;&gt;"",E4&lt;=F4,F4&lt;=G4,G4&lt;=H4,H4&lt;=I4,I4&lt;=J4)</f>
        <v>0</v>
      </c>
      <c r="M4" t="s">
        <v>1354</v>
      </c>
      <c r="O4">
        <f>SMALL(Table47[[#This Row],[Admission Year]:[Follow Up Visit Year]],1)</f>
        <v>2016</v>
      </c>
      <c r="P4">
        <f>SMALL(Table47[[#This Row],[Admission Year]:[Follow Up Visit Year]],2)</f>
        <v>2017</v>
      </c>
      <c r="Q4">
        <f>SMALL(Table47[[#This Row],[Admission Year]:[Follow Up Visit Year]],3)</f>
        <v>2023</v>
      </c>
      <c r="R4">
        <f>SMALL(Table47[[#This Row],[Admission Year]:[Follow Up Visit Year]],4)</f>
        <v>2024</v>
      </c>
      <c r="S4">
        <f>SMALL(Table47[[#This Row],[Admission Year]:[Follow Up Visit Year]],5)</f>
        <v>2024</v>
      </c>
      <c r="T4">
        <f>SMALL(Table47[[#This Row],[Admission Year]:[Follow Up Visit Year]],6)</f>
        <v>2024</v>
      </c>
    </row>
    <row r="5" spans="1:20" x14ac:dyDescent="0.2">
      <c r="A5" t="s">
        <v>158</v>
      </c>
      <c r="B5" t="s">
        <v>159</v>
      </c>
      <c r="C5">
        <v>57</v>
      </c>
      <c r="D5" t="s">
        <v>160</v>
      </c>
      <c r="E5">
        <v>2022</v>
      </c>
      <c r="F5">
        <v>2016</v>
      </c>
      <c r="G5">
        <v>2018</v>
      </c>
      <c r="H5">
        <v>2018</v>
      </c>
      <c r="I5">
        <v>2023</v>
      </c>
      <c r="J5">
        <v>2003</v>
      </c>
      <c r="L5" t="b">
        <f t="shared" si="0"/>
        <v>0</v>
      </c>
      <c r="M5">
        <f>COUNTIF(L3:L134,L3)</f>
        <v>132</v>
      </c>
      <c r="O5">
        <f>SMALL(Table47[[#This Row],[Admission Year]:[Follow Up Visit Year]],1)</f>
        <v>2003</v>
      </c>
      <c r="P5">
        <f>SMALL(Table47[[#This Row],[Admission Year]:[Follow Up Visit Year]],2)</f>
        <v>2016</v>
      </c>
      <c r="Q5">
        <f>SMALL(Table47[[#This Row],[Admission Year]:[Follow Up Visit Year]],3)</f>
        <v>2018</v>
      </c>
      <c r="R5">
        <f>SMALL(Table47[[#This Row],[Admission Year]:[Follow Up Visit Year]],4)</f>
        <v>2018</v>
      </c>
      <c r="S5">
        <f>SMALL(Table47[[#This Row],[Admission Year]:[Follow Up Visit Year]],5)</f>
        <v>2022</v>
      </c>
      <c r="T5">
        <f>SMALL(Table47[[#This Row],[Admission Year]:[Follow Up Visit Year]],6)</f>
        <v>2023</v>
      </c>
    </row>
    <row r="6" spans="1:20" x14ac:dyDescent="0.2">
      <c r="A6" t="s">
        <v>166</v>
      </c>
      <c r="B6" t="s">
        <v>167</v>
      </c>
      <c r="C6">
        <v>24</v>
      </c>
      <c r="D6" t="s">
        <v>160</v>
      </c>
      <c r="E6">
        <v>2024</v>
      </c>
      <c r="F6">
        <v>2024</v>
      </c>
      <c r="G6">
        <v>2018</v>
      </c>
      <c r="H6">
        <v>2018</v>
      </c>
      <c r="I6">
        <v>2024</v>
      </c>
      <c r="J6">
        <v>2023</v>
      </c>
      <c r="L6" t="b">
        <f t="shared" si="0"/>
        <v>0</v>
      </c>
      <c r="O6">
        <f>SMALL(Table47[[#This Row],[Admission Year]:[Follow Up Visit Year]],1)</f>
        <v>2018</v>
      </c>
      <c r="P6">
        <f>SMALL(Table47[[#This Row],[Admission Year]:[Follow Up Visit Year]],2)</f>
        <v>2018</v>
      </c>
      <c r="Q6">
        <f>SMALL(Table47[[#This Row],[Admission Year]:[Follow Up Visit Year]],3)</f>
        <v>2023</v>
      </c>
      <c r="R6">
        <f>SMALL(Table47[[#This Row],[Admission Year]:[Follow Up Visit Year]],4)</f>
        <v>2024</v>
      </c>
      <c r="S6">
        <f>SMALL(Table47[[#This Row],[Admission Year]:[Follow Up Visit Year]],5)</f>
        <v>2024</v>
      </c>
      <c r="T6">
        <f>SMALL(Table47[[#This Row],[Admission Year]:[Follow Up Visit Year]],6)</f>
        <v>2024</v>
      </c>
    </row>
    <row r="7" spans="1:20" x14ac:dyDescent="0.2">
      <c r="A7" t="s">
        <v>172</v>
      </c>
      <c r="B7" t="s">
        <v>173</v>
      </c>
      <c r="C7">
        <v>33</v>
      </c>
      <c r="D7" t="s">
        <v>146</v>
      </c>
      <c r="E7">
        <v>2024</v>
      </c>
      <c r="F7">
        <v>2023</v>
      </c>
      <c r="G7">
        <v>2018</v>
      </c>
      <c r="H7">
        <v>2017</v>
      </c>
      <c r="I7">
        <v>2023</v>
      </c>
      <c r="J7">
        <v>2023</v>
      </c>
      <c r="L7" t="b">
        <f t="shared" si="0"/>
        <v>0</v>
      </c>
      <c r="O7">
        <f>SMALL(Table47[[#This Row],[Admission Year]:[Follow Up Visit Year]],1)</f>
        <v>2017</v>
      </c>
      <c r="P7">
        <f>SMALL(Table47[[#This Row],[Admission Year]:[Follow Up Visit Year]],2)</f>
        <v>2018</v>
      </c>
      <c r="Q7">
        <f>SMALL(Table47[[#This Row],[Admission Year]:[Follow Up Visit Year]],3)</f>
        <v>2023</v>
      </c>
      <c r="R7">
        <f>SMALL(Table47[[#This Row],[Admission Year]:[Follow Up Visit Year]],4)</f>
        <v>2023</v>
      </c>
      <c r="S7">
        <f>SMALL(Table47[[#This Row],[Admission Year]:[Follow Up Visit Year]],5)</f>
        <v>2023</v>
      </c>
      <c r="T7">
        <f>SMALL(Table47[[#This Row],[Admission Year]:[Follow Up Visit Year]],6)</f>
        <v>2024</v>
      </c>
    </row>
    <row r="8" spans="1:20" x14ac:dyDescent="0.2">
      <c r="A8" t="s">
        <v>178</v>
      </c>
      <c r="B8" t="s">
        <v>953</v>
      </c>
      <c r="C8">
        <v>46</v>
      </c>
      <c r="D8" t="s">
        <v>160</v>
      </c>
      <c r="E8">
        <v>2023</v>
      </c>
      <c r="F8">
        <v>2016</v>
      </c>
      <c r="G8">
        <v>2024</v>
      </c>
      <c r="H8">
        <v>2017</v>
      </c>
      <c r="I8">
        <v>2023</v>
      </c>
      <c r="J8">
        <v>2022</v>
      </c>
      <c r="L8" t="b">
        <f t="shared" si="0"/>
        <v>0</v>
      </c>
      <c r="O8">
        <f>SMALL(Table47[[#This Row],[Admission Year]:[Follow Up Visit Year]],1)</f>
        <v>2016</v>
      </c>
      <c r="P8">
        <f>SMALL(Table47[[#This Row],[Admission Year]:[Follow Up Visit Year]],2)</f>
        <v>2017</v>
      </c>
      <c r="Q8">
        <f>SMALL(Table47[[#This Row],[Admission Year]:[Follow Up Visit Year]],3)</f>
        <v>2022</v>
      </c>
      <c r="R8">
        <f>SMALL(Table47[[#This Row],[Admission Year]:[Follow Up Visit Year]],4)</f>
        <v>2023</v>
      </c>
      <c r="S8">
        <f>SMALL(Table47[[#This Row],[Admission Year]:[Follow Up Visit Year]],5)</f>
        <v>2023</v>
      </c>
      <c r="T8">
        <f>SMALL(Table47[[#This Row],[Admission Year]:[Follow Up Visit Year]],6)</f>
        <v>2024</v>
      </c>
    </row>
    <row r="9" spans="1:20" x14ac:dyDescent="0.2">
      <c r="A9" t="s">
        <v>183</v>
      </c>
      <c r="B9" t="s">
        <v>954</v>
      </c>
      <c r="C9">
        <v>28</v>
      </c>
      <c r="D9" t="s">
        <v>146</v>
      </c>
      <c r="E9">
        <v>2003</v>
      </c>
      <c r="F9">
        <v>2016</v>
      </c>
      <c r="G9">
        <v>2025</v>
      </c>
      <c r="H9">
        <v>2017</v>
      </c>
      <c r="I9">
        <v>2023</v>
      </c>
      <c r="J9">
        <v>2022</v>
      </c>
      <c r="L9" t="b">
        <f t="shared" si="0"/>
        <v>0</v>
      </c>
      <c r="O9">
        <f>SMALL(Table47[[#This Row],[Admission Year]:[Follow Up Visit Year]],1)</f>
        <v>2003</v>
      </c>
      <c r="P9">
        <f>SMALL(Table47[[#This Row],[Admission Year]:[Follow Up Visit Year]],2)</f>
        <v>2016</v>
      </c>
      <c r="Q9">
        <f>SMALL(Table47[[#This Row],[Admission Year]:[Follow Up Visit Year]],3)</f>
        <v>2017</v>
      </c>
      <c r="R9">
        <f>SMALL(Table47[[#This Row],[Admission Year]:[Follow Up Visit Year]],4)</f>
        <v>2022</v>
      </c>
      <c r="S9">
        <f>SMALL(Table47[[#This Row],[Admission Year]:[Follow Up Visit Year]],5)</f>
        <v>2023</v>
      </c>
      <c r="T9">
        <f>SMALL(Table47[[#This Row],[Admission Year]:[Follow Up Visit Year]],6)</f>
        <v>2025</v>
      </c>
    </row>
    <row r="10" spans="1:20" x14ac:dyDescent="0.2">
      <c r="A10" t="s">
        <v>185</v>
      </c>
      <c r="B10" t="s">
        <v>186</v>
      </c>
      <c r="C10">
        <v>34</v>
      </c>
      <c r="D10" t="s">
        <v>146</v>
      </c>
      <c r="E10">
        <v>2023</v>
      </c>
      <c r="F10">
        <v>2016</v>
      </c>
      <c r="G10">
        <v>2025</v>
      </c>
      <c r="H10">
        <v>2017</v>
      </c>
      <c r="I10">
        <v>2024</v>
      </c>
      <c r="J10">
        <v>2022</v>
      </c>
      <c r="L10" t="b">
        <f t="shared" si="0"/>
        <v>0</v>
      </c>
      <c r="O10">
        <f>SMALL(Table47[[#This Row],[Admission Year]:[Follow Up Visit Year]],1)</f>
        <v>2016</v>
      </c>
      <c r="P10">
        <f>SMALL(Table47[[#This Row],[Admission Year]:[Follow Up Visit Year]],2)</f>
        <v>2017</v>
      </c>
      <c r="Q10">
        <f>SMALL(Table47[[#This Row],[Admission Year]:[Follow Up Visit Year]],3)</f>
        <v>2022</v>
      </c>
      <c r="R10">
        <f>SMALL(Table47[[#This Row],[Admission Year]:[Follow Up Visit Year]],4)</f>
        <v>2023</v>
      </c>
      <c r="S10">
        <f>SMALL(Table47[[#This Row],[Admission Year]:[Follow Up Visit Year]],5)</f>
        <v>2024</v>
      </c>
      <c r="T10">
        <f>SMALL(Table47[[#This Row],[Admission Year]:[Follow Up Visit Year]],6)</f>
        <v>2025</v>
      </c>
    </row>
    <row r="11" spans="1:20" x14ac:dyDescent="0.2">
      <c r="A11" t="s">
        <v>189</v>
      </c>
      <c r="B11" t="s">
        <v>955</v>
      </c>
      <c r="C11">
        <v>61</v>
      </c>
      <c r="D11" t="s">
        <v>160</v>
      </c>
      <c r="E11">
        <v>2023</v>
      </c>
      <c r="F11">
        <v>2016</v>
      </c>
      <c r="G11">
        <v>2024</v>
      </c>
      <c r="H11">
        <v>2018</v>
      </c>
      <c r="I11">
        <v>2024</v>
      </c>
      <c r="J11">
        <v>2024</v>
      </c>
      <c r="L11" t="b">
        <f t="shared" si="0"/>
        <v>0</v>
      </c>
      <c r="O11">
        <f>SMALL(Table47[[#This Row],[Admission Year]:[Follow Up Visit Year]],1)</f>
        <v>2016</v>
      </c>
      <c r="P11">
        <f>SMALL(Table47[[#This Row],[Admission Year]:[Follow Up Visit Year]],2)</f>
        <v>2018</v>
      </c>
      <c r="Q11">
        <f>SMALL(Table47[[#This Row],[Admission Year]:[Follow Up Visit Year]],3)</f>
        <v>2023</v>
      </c>
      <c r="R11">
        <f>SMALL(Table47[[#This Row],[Admission Year]:[Follow Up Visit Year]],4)</f>
        <v>2024</v>
      </c>
      <c r="S11">
        <f>SMALL(Table47[[#This Row],[Admission Year]:[Follow Up Visit Year]],5)</f>
        <v>2024</v>
      </c>
      <c r="T11">
        <f>SMALL(Table47[[#This Row],[Admission Year]:[Follow Up Visit Year]],6)</f>
        <v>2024</v>
      </c>
    </row>
    <row r="12" spans="1:20" x14ac:dyDescent="0.2">
      <c r="A12" t="s">
        <v>194</v>
      </c>
      <c r="B12" t="s">
        <v>195</v>
      </c>
      <c r="C12">
        <v>70</v>
      </c>
      <c r="D12" t="s">
        <v>160</v>
      </c>
      <c r="E12">
        <v>2023</v>
      </c>
      <c r="F12">
        <v>2024</v>
      </c>
      <c r="G12">
        <v>2023</v>
      </c>
      <c r="H12">
        <v>2018</v>
      </c>
      <c r="I12" t="s">
        <v>272</v>
      </c>
      <c r="J12">
        <v>2023</v>
      </c>
      <c r="L12" t="b">
        <f t="shared" si="0"/>
        <v>0</v>
      </c>
      <c r="O12">
        <f>SMALL(Table47[[#This Row],[Admission Year]:[Follow Up Visit Year]],1)</f>
        <v>2018</v>
      </c>
      <c r="P12">
        <f>SMALL(Table47[[#This Row],[Admission Year]:[Follow Up Visit Year]],2)</f>
        <v>2023</v>
      </c>
      <c r="Q12">
        <f>SMALL(Table47[[#This Row],[Admission Year]:[Follow Up Visit Year]],3)</f>
        <v>2023</v>
      </c>
      <c r="R12">
        <f>SMALL(Table47[[#This Row],[Admission Year]:[Follow Up Visit Year]],4)</f>
        <v>2023</v>
      </c>
      <c r="S12">
        <f>SMALL(Table47[[#This Row],[Admission Year]:[Follow Up Visit Year]],5)</f>
        <v>2024</v>
      </c>
      <c r="T12" t="e">
        <f>SMALL(Table47[[#This Row],[Admission Year]:[Follow Up Visit Year]],6)</f>
        <v>#NUM!</v>
      </c>
    </row>
    <row r="13" spans="1:20" x14ac:dyDescent="0.2">
      <c r="A13" t="s">
        <v>200</v>
      </c>
      <c r="B13" t="s">
        <v>201</v>
      </c>
      <c r="C13">
        <v>82</v>
      </c>
      <c r="D13" t="s">
        <v>146</v>
      </c>
      <c r="E13" t="s">
        <v>272</v>
      </c>
      <c r="F13">
        <v>2018</v>
      </c>
      <c r="G13">
        <v>2023</v>
      </c>
      <c r="H13">
        <v>2018</v>
      </c>
      <c r="I13">
        <v>2023</v>
      </c>
      <c r="J13">
        <v>2023</v>
      </c>
      <c r="L13" t="b">
        <f t="shared" si="0"/>
        <v>0</v>
      </c>
      <c r="O13">
        <f>SMALL(Table47[[#This Row],[Admission Year]:[Follow Up Visit Year]],1)</f>
        <v>2018</v>
      </c>
      <c r="P13">
        <f>SMALL(Table47[[#This Row],[Admission Year]:[Follow Up Visit Year]],2)</f>
        <v>2018</v>
      </c>
      <c r="Q13">
        <f>SMALL(Table47[[#This Row],[Admission Year]:[Follow Up Visit Year]],3)</f>
        <v>2023</v>
      </c>
      <c r="R13">
        <f>SMALL(Table47[[#This Row],[Admission Year]:[Follow Up Visit Year]],4)</f>
        <v>2023</v>
      </c>
      <c r="S13">
        <f>SMALL(Table47[[#This Row],[Admission Year]:[Follow Up Visit Year]],5)</f>
        <v>2023</v>
      </c>
      <c r="T13" t="e">
        <f>SMALL(Table47[[#This Row],[Admission Year]:[Follow Up Visit Year]],6)</f>
        <v>#NUM!</v>
      </c>
    </row>
    <row r="14" spans="1:20" x14ac:dyDescent="0.2">
      <c r="A14" t="s">
        <v>207</v>
      </c>
      <c r="B14" t="s">
        <v>956</v>
      </c>
      <c r="C14">
        <v>71</v>
      </c>
      <c r="D14" t="s">
        <v>160</v>
      </c>
      <c r="E14">
        <v>2024</v>
      </c>
      <c r="F14">
        <v>2018</v>
      </c>
      <c r="G14">
        <v>2024</v>
      </c>
      <c r="H14">
        <v>2018</v>
      </c>
      <c r="I14">
        <v>2024</v>
      </c>
      <c r="J14">
        <v>2024</v>
      </c>
      <c r="L14" t="b">
        <f t="shared" si="0"/>
        <v>0</v>
      </c>
      <c r="O14">
        <f>SMALL(Table47[[#This Row],[Admission Year]:[Follow Up Visit Year]],1)</f>
        <v>2018</v>
      </c>
      <c r="P14">
        <f>SMALL(Table47[[#This Row],[Admission Year]:[Follow Up Visit Year]],2)</f>
        <v>2018</v>
      </c>
      <c r="Q14">
        <f>SMALL(Table47[[#This Row],[Admission Year]:[Follow Up Visit Year]],3)</f>
        <v>2024</v>
      </c>
      <c r="R14">
        <f>SMALL(Table47[[#This Row],[Admission Year]:[Follow Up Visit Year]],4)</f>
        <v>2024</v>
      </c>
      <c r="S14">
        <f>SMALL(Table47[[#This Row],[Admission Year]:[Follow Up Visit Year]],5)</f>
        <v>2024</v>
      </c>
      <c r="T14">
        <f>SMALL(Table47[[#This Row],[Admission Year]:[Follow Up Visit Year]],6)</f>
        <v>2024</v>
      </c>
    </row>
    <row r="15" spans="1:20" x14ac:dyDescent="0.2">
      <c r="A15" t="s">
        <v>212</v>
      </c>
      <c r="B15" t="s">
        <v>213</v>
      </c>
      <c r="C15">
        <v>23</v>
      </c>
      <c r="D15" t="s">
        <v>160</v>
      </c>
      <c r="E15">
        <v>2023</v>
      </c>
      <c r="F15">
        <v>2023</v>
      </c>
      <c r="G15">
        <v>2023</v>
      </c>
      <c r="H15">
        <v>2018</v>
      </c>
      <c r="I15">
        <v>2024</v>
      </c>
      <c r="J15">
        <v>2023</v>
      </c>
      <c r="L15" t="b">
        <f t="shared" si="0"/>
        <v>0</v>
      </c>
      <c r="O15">
        <f>SMALL(Table47[[#This Row],[Admission Year]:[Follow Up Visit Year]],1)</f>
        <v>2018</v>
      </c>
      <c r="P15">
        <f>SMALL(Table47[[#This Row],[Admission Year]:[Follow Up Visit Year]],2)</f>
        <v>2023</v>
      </c>
      <c r="Q15">
        <f>SMALL(Table47[[#This Row],[Admission Year]:[Follow Up Visit Year]],3)</f>
        <v>2023</v>
      </c>
      <c r="R15">
        <f>SMALL(Table47[[#This Row],[Admission Year]:[Follow Up Visit Year]],4)</f>
        <v>2023</v>
      </c>
      <c r="S15">
        <f>SMALL(Table47[[#This Row],[Admission Year]:[Follow Up Visit Year]],5)</f>
        <v>2023</v>
      </c>
      <c r="T15">
        <f>SMALL(Table47[[#This Row],[Admission Year]:[Follow Up Visit Year]],6)</f>
        <v>2024</v>
      </c>
    </row>
    <row r="16" spans="1:20" x14ac:dyDescent="0.2">
      <c r="A16" t="s">
        <v>217</v>
      </c>
      <c r="B16" t="s">
        <v>218</v>
      </c>
      <c r="C16">
        <v>21</v>
      </c>
      <c r="D16" t="s">
        <v>146</v>
      </c>
      <c r="E16">
        <v>2022</v>
      </c>
      <c r="F16">
        <v>2016</v>
      </c>
      <c r="G16">
        <v>2023</v>
      </c>
      <c r="H16">
        <v>2018</v>
      </c>
      <c r="I16">
        <v>2023</v>
      </c>
      <c r="J16">
        <v>2020</v>
      </c>
      <c r="L16" t="b">
        <f t="shared" si="0"/>
        <v>0</v>
      </c>
      <c r="O16">
        <f>SMALL(Table47[[#This Row],[Admission Year]:[Follow Up Visit Year]],1)</f>
        <v>2016</v>
      </c>
      <c r="P16">
        <f>SMALL(Table47[[#This Row],[Admission Year]:[Follow Up Visit Year]],2)</f>
        <v>2018</v>
      </c>
      <c r="Q16">
        <f>SMALL(Table47[[#This Row],[Admission Year]:[Follow Up Visit Year]],3)</f>
        <v>2020</v>
      </c>
      <c r="R16">
        <f>SMALL(Table47[[#This Row],[Admission Year]:[Follow Up Visit Year]],4)</f>
        <v>2022</v>
      </c>
      <c r="S16">
        <f>SMALL(Table47[[#This Row],[Admission Year]:[Follow Up Visit Year]],5)</f>
        <v>2023</v>
      </c>
      <c r="T16">
        <f>SMALL(Table47[[#This Row],[Admission Year]:[Follow Up Visit Year]],6)</f>
        <v>2023</v>
      </c>
    </row>
    <row r="17" spans="1:20" x14ac:dyDescent="0.2">
      <c r="A17" t="s">
        <v>224</v>
      </c>
      <c r="B17" t="s">
        <v>854</v>
      </c>
      <c r="C17">
        <v>42</v>
      </c>
      <c r="D17" t="s">
        <v>146</v>
      </c>
      <c r="E17">
        <v>2024</v>
      </c>
      <c r="F17">
        <v>2023</v>
      </c>
      <c r="G17">
        <v>2024</v>
      </c>
      <c r="H17">
        <v>2018</v>
      </c>
      <c r="I17">
        <v>2023</v>
      </c>
      <c r="J17">
        <v>2023</v>
      </c>
      <c r="L17" t="b">
        <f t="shared" si="0"/>
        <v>0</v>
      </c>
      <c r="O17">
        <f>SMALL(Table47[[#This Row],[Admission Year]:[Follow Up Visit Year]],1)</f>
        <v>2018</v>
      </c>
      <c r="P17">
        <f>SMALL(Table47[[#This Row],[Admission Year]:[Follow Up Visit Year]],2)</f>
        <v>2023</v>
      </c>
      <c r="Q17">
        <f>SMALL(Table47[[#This Row],[Admission Year]:[Follow Up Visit Year]],3)</f>
        <v>2023</v>
      </c>
      <c r="R17">
        <f>SMALL(Table47[[#This Row],[Admission Year]:[Follow Up Visit Year]],4)</f>
        <v>2023</v>
      </c>
      <c r="S17">
        <f>SMALL(Table47[[#This Row],[Admission Year]:[Follow Up Visit Year]],5)</f>
        <v>2024</v>
      </c>
      <c r="T17">
        <f>SMALL(Table47[[#This Row],[Admission Year]:[Follow Up Visit Year]],6)</f>
        <v>2024</v>
      </c>
    </row>
    <row r="18" spans="1:20" x14ac:dyDescent="0.2">
      <c r="A18" t="s">
        <v>230</v>
      </c>
      <c r="B18" t="s">
        <v>231</v>
      </c>
      <c r="C18">
        <v>34</v>
      </c>
      <c r="D18" t="s">
        <v>146</v>
      </c>
      <c r="E18">
        <v>2023</v>
      </c>
      <c r="F18" t="s">
        <v>272</v>
      </c>
      <c r="G18">
        <v>2023</v>
      </c>
      <c r="H18">
        <v>2018</v>
      </c>
      <c r="I18">
        <v>2023</v>
      </c>
      <c r="J18">
        <v>2023</v>
      </c>
      <c r="L18" t="b">
        <f t="shared" si="0"/>
        <v>0</v>
      </c>
      <c r="O18">
        <f>SMALL(Table47[[#This Row],[Admission Year]:[Follow Up Visit Year]],1)</f>
        <v>2018</v>
      </c>
      <c r="P18">
        <f>SMALL(Table47[[#This Row],[Admission Year]:[Follow Up Visit Year]],2)</f>
        <v>2023</v>
      </c>
      <c r="Q18">
        <f>SMALL(Table47[[#This Row],[Admission Year]:[Follow Up Visit Year]],3)</f>
        <v>2023</v>
      </c>
      <c r="R18">
        <f>SMALL(Table47[[#This Row],[Admission Year]:[Follow Up Visit Year]],4)</f>
        <v>2023</v>
      </c>
      <c r="S18">
        <f>SMALL(Table47[[#This Row],[Admission Year]:[Follow Up Visit Year]],5)</f>
        <v>2023</v>
      </c>
      <c r="T18" t="e">
        <f>SMALL(Table47[[#This Row],[Admission Year]:[Follow Up Visit Year]],6)</f>
        <v>#NUM!</v>
      </c>
    </row>
    <row r="19" spans="1:20" x14ac:dyDescent="0.2">
      <c r="A19" t="s">
        <v>235</v>
      </c>
      <c r="B19" t="s">
        <v>236</v>
      </c>
      <c r="C19">
        <v>62</v>
      </c>
      <c r="D19" t="s">
        <v>160</v>
      </c>
      <c r="E19">
        <v>2024</v>
      </c>
      <c r="F19">
        <v>2023</v>
      </c>
      <c r="G19">
        <v>2024</v>
      </c>
      <c r="H19">
        <v>2018</v>
      </c>
      <c r="I19">
        <v>2023</v>
      </c>
      <c r="J19">
        <v>2022</v>
      </c>
      <c r="L19" t="b">
        <f t="shared" si="0"/>
        <v>0</v>
      </c>
      <c r="O19">
        <f>SMALL(Table47[[#This Row],[Admission Year]:[Follow Up Visit Year]],1)</f>
        <v>2018</v>
      </c>
      <c r="P19">
        <f>SMALL(Table47[[#This Row],[Admission Year]:[Follow Up Visit Year]],2)</f>
        <v>2022</v>
      </c>
      <c r="Q19">
        <f>SMALL(Table47[[#This Row],[Admission Year]:[Follow Up Visit Year]],3)</f>
        <v>2023</v>
      </c>
      <c r="R19">
        <f>SMALL(Table47[[#This Row],[Admission Year]:[Follow Up Visit Year]],4)</f>
        <v>2023</v>
      </c>
      <c r="S19">
        <f>SMALL(Table47[[#This Row],[Admission Year]:[Follow Up Visit Year]],5)</f>
        <v>2024</v>
      </c>
      <c r="T19">
        <f>SMALL(Table47[[#This Row],[Admission Year]:[Follow Up Visit Year]],6)</f>
        <v>2024</v>
      </c>
    </row>
    <row r="20" spans="1:20" x14ac:dyDescent="0.2">
      <c r="A20" t="s">
        <v>240</v>
      </c>
      <c r="B20" t="s">
        <v>241</v>
      </c>
      <c r="C20">
        <v>48</v>
      </c>
      <c r="D20" t="s">
        <v>146</v>
      </c>
      <c r="E20">
        <v>2024</v>
      </c>
      <c r="F20">
        <v>2019</v>
      </c>
      <c r="G20">
        <v>2023</v>
      </c>
      <c r="H20">
        <v>2017</v>
      </c>
      <c r="I20">
        <v>2024</v>
      </c>
      <c r="J20">
        <v>2022</v>
      </c>
      <c r="L20" t="b">
        <f t="shared" si="0"/>
        <v>0</v>
      </c>
      <c r="O20">
        <f>SMALL(Table47[[#This Row],[Admission Year]:[Follow Up Visit Year]],1)</f>
        <v>2017</v>
      </c>
      <c r="P20">
        <f>SMALL(Table47[[#This Row],[Admission Year]:[Follow Up Visit Year]],2)</f>
        <v>2019</v>
      </c>
      <c r="Q20">
        <f>SMALL(Table47[[#This Row],[Admission Year]:[Follow Up Visit Year]],3)</f>
        <v>2022</v>
      </c>
      <c r="R20">
        <f>SMALL(Table47[[#This Row],[Admission Year]:[Follow Up Visit Year]],4)</f>
        <v>2023</v>
      </c>
      <c r="S20">
        <f>SMALL(Table47[[#This Row],[Admission Year]:[Follow Up Visit Year]],5)</f>
        <v>2024</v>
      </c>
      <c r="T20">
        <f>SMALL(Table47[[#This Row],[Admission Year]:[Follow Up Visit Year]],6)</f>
        <v>2024</v>
      </c>
    </row>
    <row r="21" spans="1:20" x14ac:dyDescent="0.2">
      <c r="A21" t="s">
        <v>247</v>
      </c>
      <c r="B21" t="s">
        <v>248</v>
      </c>
      <c r="C21">
        <v>55</v>
      </c>
      <c r="D21" t="s">
        <v>146</v>
      </c>
      <c r="E21">
        <v>2023</v>
      </c>
      <c r="F21">
        <v>2023</v>
      </c>
      <c r="G21">
        <v>2024</v>
      </c>
      <c r="H21">
        <v>2017</v>
      </c>
      <c r="I21">
        <v>2023</v>
      </c>
      <c r="J21">
        <v>2023</v>
      </c>
      <c r="L21" t="b">
        <f t="shared" si="0"/>
        <v>0</v>
      </c>
      <c r="O21">
        <f>SMALL(Table47[[#This Row],[Admission Year]:[Follow Up Visit Year]],1)</f>
        <v>2017</v>
      </c>
      <c r="P21">
        <f>SMALL(Table47[[#This Row],[Admission Year]:[Follow Up Visit Year]],2)</f>
        <v>2023</v>
      </c>
      <c r="Q21">
        <f>SMALL(Table47[[#This Row],[Admission Year]:[Follow Up Visit Year]],3)</f>
        <v>2023</v>
      </c>
      <c r="R21">
        <f>SMALL(Table47[[#This Row],[Admission Year]:[Follow Up Visit Year]],4)</f>
        <v>2023</v>
      </c>
      <c r="S21">
        <f>SMALL(Table47[[#This Row],[Admission Year]:[Follow Up Visit Year]],5)</f>
        <v>2023</v>
      </c>
      <c r="T21">
        <f>SMALL(Table47[[#This Row],[Admission Year]:[Follow Up Visit Year]],6)</f>
        <v>2024</v>
      </c>
    </row>
    <row r="22" spans="1:20" x14ac:dyDescent="0.2">
      <c r="A22" t="s">
        <v>252</v>
      </c>
      <c r="B22" t="s">
        <v>253</v>
      </c>
      <c r="C22">
        <v>32</v>
      </c>
      <c r="D22" t="s">
        <v>160</v>
      </c>
      <c r="E22">
        <v>2023</v>
      </c>
      <c r="F22">
        <v>2017</v>
      </c>
      <c r="G22">
        <v>2024</v>
      </c>
      <c r="H22">
        <v>2017</v>
      </c>
      <c r="I22">
        <v>2024</v>
      </c>
      <c r="J22">
        <v>2023</v>
      </c>
      <c r="L22" t="b">
        <f t="shared" si="0"/>
        <v>0</v>
      </c>
      <c r="O22">
        <f>SMALL(Table47[[#This Row],[Admission Year]:[Follow Up Visit Year]],1)</f>
        <v>2017</v>
      </c>
      <c r="P22">
        <f>SMALL(Table47[[#This Row],[Admission Year]:[Follow Up Visit Year]],2)</f>
        <v>2017</v>
      </c>
      <c r="Q22">
        <f>SMALL(Table47[[#This Row],[Admission Year]:[Follow Up Visit Year]],3)</f>
        <v>2023</v>
      </c>
      <c r="R22">
        <f>SMALL(Table47[[#This Row],[Admission Year]:[Follow Up Visit Year]],4)</f>
        <v>2023</v>
      </c>
      <c r="S22">
        <f>SMALL(Table47[[#This Row],[Admission Year]:[Follow Up Visit Year]],5)</f>
        <v>2024</v>
      </c>
      <c r="T22">
        <f>SMALL(Table47[[#This Row],[Admission Year]:[Follow Up Visit Year]],6)</f>
        <v>2024</v>
      </c>
    </row>
    <row r="23" spans="1:20" x14ac:dyDescent="0.2">
      <c r="A23" t="s">
        <v>257</v>
      </c>
      <c r="B23" t="s">
        <v>957</v>
      </c>
      <c r="C23">
        <v>51</v>
      </c>
      <c r="D23" t="s">
        <v>146</v>
      </c>
      <c r="E23">
        <v>2023</v>
      </c>
      <c r="F23">
        <v>2024</v>
      </c>
      <c r="G23">
        <v>2023</v>
      </c>
      <c r="H23">
        <v>2017</v>
      </c>
      <c r="I23">
        <v>2023</v>
      </c>
      <c r="J23">
        <v>2023</v>
      </c>
      <c r="L23" t="b">
        <f t="shared" si="0"/>
        <v>0</v>
      </c>
      <c r="O23">
        <f>SMALL(Table47[[#This Row],[Admission Year]:[Follow Up Visit Year]],1)</f>
        <v>2017</v>
      </c>
      <c r="P23">
        <f>SMALL(Table47[[#This Row],[Admission Year]:[Follow Up Visit Year]],2)</f>
        <v>2023</v>
      </c>
      <c r="Q23">
        <f>SMALL(Table47[[#This Row],[Admission Year]:[Follow Up Visit Year]],3)</f>
        <v>2023</v>
      </c>
      <c r="R23">
        <f>SMALL(Table47[[#This Row],[Admission Year]:[Follow Up Visit Year]],4)</f>
        <v>2023</v>
      </c>
      <c r="S23">
        <f>SMALL(Table47[[#This Row],[Admission Year]:[Follow Up Visit Year]],5)</f>
        <v>2023</v>
      </c>
      <c r="T23">
        <f>SMALL(Table47[[#This Row],[Admission Year]:[Follow Up Visit Year]],6)</f>
        <v>2024</v>
      </c>
    </row>
    <row r="24" spans="1:20" x14ac:dyDescent="0.2">
      <c r="A24" t="s">
        <v>261</v>
      </c>
      <c r="B24" t="s">
        <v>262</v>
      </c>
      <c r="C24">
        <v>78</v>
      </c>
      <c r="D24" t="s">
        <v>146</v>
      </c>
      <c r="E24">
        <v>2024</v>
      </c>
      <c r="F24">
        <v>2023</v>
      </c>
      <c r="G24">
        <v>2023</v>
      </c>
      <c r="H24">
        <v>2017</v>
      </c>
      <c r="I24">
        <v>2023</v>
      </c>
      <c r="J24">
        <v>2023</v>
      </c>
      <c r="L24" t="b">
        <f t="shared" si="0"/>
        <v>0</v>
      </c>
      <c r="O24">
        <f>SMALL(Table47[[#This Row],[Admission Year]:[Follow Up Visit Year]],1)</f>
        <v>2017</v>
      </c>
      <c r="P24">
        <f>SMALL(Table47[[#This Row],[Admission Year]:[Follow Up Visit Year]],2)</f>
        <v>2023</v>
      </c>
      <c r="Q24">
        <f>SMALL(Table47[[#This Row],[Admission Year]:[Follow Up Visit Year]],3)</f>
        <v>2023</v>
      </c>
      <c r="R24">
        <f>SMALL(Table47[[#This Row],[Admission Year]:[Follow Up Visit Year]],4)</f>
        <v>2023</v>
      </c>
      <c r="S24">
        <f>SMALL(Table47[[#This Row],[Admission Year]:[Follow Up Visit Year]],5)</f>
        <v>2023</v>
      </c>
      <c r="T24">
        <f>SMALL(Table47[[#This Row],[Admission Year]:[Follow Up Visit Year]],6)</f>
        <v>2024</v>
      </c>
    </row>
    <row r="25" spans="1:20" x14ac:dyDescent="0.2">
      <c r="A25" t="s">
        <v>266</v>
      </c>
      <c r="B25" t="s">
        <v>267</v>
      </c>
      <c r="C25">
        <v>47</v>
      </c>
      <c r="D25" t="s">
        <v>160</v>
      </c>
      <c r="E25">
        <v>2024</v>
      </c>
      <c r="F25">
        <v>2024</v>
      </c>
      <c r="G25">
        <v>2023</v>
      </c>
      <c r="H25">
        <v>2016</v>
      </c>
      <c r="I25">
        <v>2024</v>
      </c>
      <c r="J25" t="s">
        <v>272</v>
      </c>
      <c r="L25" t="b">
        <f t="shared" si="0"/>
        <v>0</v>
      </c>
      <c r="O25">
        <f>SMALL(Table47[[#This Row],[Admission Year]:[Follow Up Visit Year]],1)</f>
        <v>2016</v>
      </c>
      <c r="P25">
        <f>SMALL(Table47[[#This Row],[Admission Year]:[Follow Up Visit Year]],2)</f>
        <v>2023</v>
      </c>
      <c r="Q25">
        <f>SMALL(Table47[[#This Row],[Admission Year]:[Follow Up Visit Year]],3)</f>
        <v>2024</v>
      </c>
      <c r="R25">
        <f>SMALL(Table47[[#This Row],[Admission Year]:[Follow Up Visit Year]],4)</f>
        <v>2024</v>
      </c>
      <c r="S25">
        <f>SMALL(Table47[[#This Row],[Admission Year]:[Follow Up Visit Year]],5)</f>
        <v>2024</v>
      </c>
      <c r="T25" t="e">
        <f>SMALL(Table47[[#This Row],[Admission Year]:[Follow Up Visit Year]],6)</f>
        <v>#NUM!</v>
      </c>
    </row>
    <row r="26" spans="1:20" x14ac:dyDescent="0.2">
      <c r="A26" t="s">
        <v>273</v>
      </c>
      <c r="B26" t="s">
        <v>274</v>
      </c>
      <c r="C26">
        <v>85</v>
      </c>
      <c r="D26" t="s">
        <v>160</v>
      </c>
      <c r="E26">
        <v>2024</v>
      </c>
      <c r="F26">
        <v>2024</v>
      </c>
      <c r="G26">
        <v>2024</v>
      </c>
      <c r="H26">
        <v>2016</v>
      </c>
      <c r="I26">
        <v>2023</v>
      </c>
      <c r="J26" t="s">
        <v>272</v>
      </c>
      <c r="L26" t="b">
        <f t="shared" si="0"/>
        <v>0</v>
      </c>
      <c r="O26">
        <f>SMALL(Table47[[#This Row],[Admission Year]:[Follow Up Visit Year]],1)</f>
        <v>2016</v>
      </c>
      <c r="P26">
        <f>SMALL(Table47[[#This Row],[Admission Year]:[Follow Up Visit Year]],2)</f>
        <v>2023</v>
      </c>
      <c r="Q26">
        <f>SMALL(Table47[[#This Row],[Admission Year]:[Follow Up Visit Year]],3)</f>
        <v>2024</v>
      </c>
      <c r="R26">
        <f>SMALL(Table47[[#This Row],[Admission Year]:[Follow Up Visit Year]],4)</f>
        <v>2024</v>
      </c>
      <c r="S26">
        <f>SMALL(Table47[[#This Row],[Admission Year]:[Follow Up Visit Year]],5)</f>
        <v>2024</v>
      </c>
      <c r="T26" t="e">
        <f>SMALL(Table47[[#This Row],[Admission Year]:[Follow Up Visit Year]],6)</f>
        <v>#NUM!</v>
      </c>
    </row>
    <row r="27" spans="1:20" x14ac:dyDescent="0.2">
      <c r="A27" t="s">
        <v>279</v>
      </c>
      <c r="B27" t="s">
        <v>280</v>
      </c>
      <c r="C27">
        <v>83</v>
      </c>
      <c r="D27" t="s">
        <v>146</v>
      </c>
      <c r="E27">
        <v>2024</v>
      </c>
      <c r="F27">
        <v>2018</v>
      </c>
      <c r="G27">
        <v>2023</v>
      </c>
      <c r="H27">
        <v>2018</v>
      </c>
      <c r="I27">
        <v>2024</v>
      </c>
      <c r="J27">
        <v>2023</v>
      </c>
      <c r="L27" t="b">
        <f t="shared" si="0"/>
        <v>0</v>
      </c>
      <c r="O27">
        <f>SMALL(Table47[[#This Row],[Admission Year]:[Follow Up Visit Year]],1)</f>
        <v>2018</v>
      </c>
      <c r="P27">
        <f>SMALL(Table47[[#This Row],[Admission Year]:[Follow Up Visit Year]],2)</f>
        <v>2018</v>
      </c>
      <c r="Q27">
        <f>SMALL(Table47[[#This Row],[Admission Year]:[Follow Up Visit Year]],3)</f>
        <v>2023</v>
      </c>
      <c r="R27">
        <f>SMALL(Table47[[#This Row],[Admission Year]:[Follow Up Visit Year]],4)</f>
        <v>2023</v>
      </c>
      <c r="S27">
        <f>SMALL(Table47[[#This Row],[Admission Year]:[Follow Up Visit Year]],5)</f>
        <v>2024</v>
      </c>
      <c r="T27">
        <f>SMALL(Table47[[#This Row],[Admission Year]:[Follow Up Visit Year]],6)</f>
        <v>2024</v>
      </c>
    </row>
    <row r="28" spans="1:20" x14ac:dyDescent="0.2">
      <c r="A28" t="s">
        <v>285</v>
      </c>
      <c r="B28" t="s">
        <v>286</v>
      </c>
      <c r="C28">
        <v>61</v>
      </c>
      <c r="D28" t="s">
        <v>146</v>
      </c>
      <c r="E28">
        <v>2023</v>
      </c>
      <c r="F28">
        <v>2023</v>
      </c>
      <c r="G28">
        <v>2024</v>
      </c>
      <c r="H28">
        <v>2018</v>
      </c>
      <c r="I28">
        <v>2024</v>
      </c>
      <c r="J28">
        <v>2022</v>
      </c>
      <c r="L28" t="b">
        <f t="shared" si="0"/>
        <v>0</v>
      </c>
      <c r="O28">
        <f>SMALL(Table47[[#This Row],[Admission Year]:[Follow Up Visit Year]],1)</f>
        <v>2018</v>
      </c>
      <c r="P28">
        <f>SMALL(Table47[[#This Row],[Admission Year]:[Follow Up Visit Year]],2)</f>
        <v>2022</v>
      </c>
      <c r="Q28">
        <f>SMALL(Table47[[#This Row],[Admission Year]:[Follow Up Visit Year]],3)</f>
        <v>2023</v>
      </c>
      <c r="R28">
        <f>SMALL(Table47[[#This Row],[Admission Year]:[Follow Up Visit Year]],4)</f>
        <v>2023</v>
      </c>
      <c r="S28">
        <f>SMALL(Table47[[#This Row],[Admission Year]:[Follow Up Visit Year]],5)</f>
        <v>2024</v>
      </c>
      <c r="T28">
        <f>SMALL(Table47[[#This Row],[Admission Year]:[Follow Up Visit Year]],6)</f>
        <v>2024</v>
      </c>
    </row>
    <row r="29" spans="1:20" x14ac:dyDescent="0.2">
      <c r="A29" t="s">
        <v>291</v>
      </c>
      <c r="B29" t="s">
        <v>292</v>
      </c>
      <c r="C29">
        <v>64</v>
      </c>
      <c r="D29" t="s">
        <v>146</v>
      </c>
      <c r="E29">
        <v>2023</v>
      </c>
      <c r="F29" t="s">
        <v>272</v>
      </c>
      <c r="G29">
        <v>2023</v>
      </c>
      <c r="H29">
        <v>2019</v>
      </c>
      <c r="I29" t="s">
        <v>272</v>
      </c>
      <c r="J29">
        <v>2026</v>
      </c>
      <c r="L29" t="b">
        <f t="shared" si="0"/>
        <v>0</v>
      </c>
      <c r="O29">
        <f>SMALL(Table47[[#This Row],[Admission Year]:[Follow Up Visit Year]],1)</f>
        <v>2019</v>
      </c>
      <c r="P29">
        <f>SMALL(Table47[[#This Row],[Admission Year]:[Follow Up Visit Year]],2)</f>
        <v>2023</v>
      </c>
      <c r="Q29">
        <f>SMALL(Table47[[#This Row],[Admission Year]:[Follow Up Visit Year]],3)</f>
        <v>2023</v>
      </c>
      <c r="R29">
        <f>SMALL(Table47[[#This Row],[Admission Year]:[Follow Up Visit Year]],4)</f>
        <v>2026</v>
      </c>
      <c r="S29" t="e">
        <f>SMALL(Table47[[#This Row],[Admission Year]:[Follow Up Visit Year]],5)</f>
        <v>#NUM!</v>
      </c>
      <c r="T29" t="e">
        <f>SMALL(Table47[[#This Row],[Admission Year]:[Follow Up Visit Year]],6)</f>
        <v>#NUM!</v>
      </c>
    </row>
    <row r="30" spans="1:20" x14ac:dyDescent="0.2">
      <c r="A30" t="s">
        <v>296</v>
      </c>
      <c r="B30" t="s">
        <v>297</v>
      </c>
      <c r="C30">
        <v>81</v>
      </c>
      <c r="D30" t="s">
        <v>160</v>
      </c>
      <c r="E30">
        <v>2023</v>
      </c>
      <c r="F30">
        <v>2024</v>
      </c>
      <c r="G30">
        <v>2024</v>
      </c>
      <c r="H30">
        <v>2017</v>
      </c>
      <c r="I30">
        <v>2024</v>
      </c>
      <c r="J30">
        <v>2022</v>
      </c>
      <c r="L30" t="b">
        <f t="shared" si="0"/>
        <v>0</v>
      </c>
      <c r="O30">
        <f>SMALL(Table47[[#This Row],[Admission Year]:[Follow Up Visit Year]],1)</f>
        <v>2017</v>
      </c>
      <c r="P30">
        <f>SMALL(Table47[[#This Row],[Admission Year]:[Follow Up Visit Year]],2)</f>
        <v>2022</v>
      </c>
      <c r="Q30">
        <f>SMALL(Table47[[#This Row],[Admission Year]:[Follow Up Visit Year]],3)</f>
        <v>2023</v>
      </c>
      <c r="R30">
        <f>SMALL(Table47[[#This Row],[Admission Year]:[Follow Up Visit Year]],4)</f>
        <v>2024</v>
      </c>
      <c r="S30">
        <f>SMALL(Table47[[#This Row],[Admission Year]:[Follow Up Visit Year]],5)</f>
        <v>2024</v>
      </c>
      <c r="T30">
        <f>SMALL(Table47[[#This Row],[Admission Year]:[Follow Up Visit Year]],6)</f>
        <v>2024</v>
      </c>
    </row>
    <row r="31" spans="1:20" x14ac:dyDescent="0.2">
      <c r="A31" t="s">
        <v>300</v>
      </c>
      <c r="B31" t="s">
        <v>301</v>
      </c>
      <c r="C31">
        <v>76</v>
      </c>
      <c r="D31" t="s">
        <v>160</v>
      </c>
      <c r="E31">
        <v>2023</v>
      </c>
      <c r="F31">
        <v>2023</v>
      </c>
      <c r="G31">
        <v>2024</v>
      </c>
      <c r="H31">
        <v>2017</v>
      </c>
      <c r="I31">
        <v>2024</v>
      </c>
      <c r="J31" t="s">
        <v>272</v>
      </c>
      <c r="L31" t="b">
        <f t="shared" si="0"/>
        <v>0</v>
      </c>
      <c r="O31">
        <f>SMALL(Table47[[#This Row],[Admission Year]:[Follow Up Visit Year]],1)</f>
        <v>2017</v>
      </c>
      <c r="P31">
        <f>SMALL(Table47[[#This Row],[Admission Year]:[Follow Up Visit Year]],2)</f>
        <v>2023</v>
      </c>
      <c r="Q31">
        <f>SMALL(Table47[[#This Row],[Admission Year]:[Follow Up Visit Year]],3)</f>
        <v>2023</v>
      </c>
      <c r="R31">
        <f>SMALL(Table47[[#This Row],[Admission Year]:[Follow Up Visit Year]],4)</f>
        <v>2024</v>
      </c>
      <c r="S31">
        <f>SMALL(Table47[[#This Row],[Admission Year]:[Follow Up Visit Year]],5)</f>
        <v>2024</v>
      </c>
      <c r="T31" t="e">
        <f>SMALL(Table47[[#This Row],[Admission Year]:[Follow Up Visit Year]],6)</f>
        <v>#NUM!</v>
      </c>
    </row>
    <row r="32" spans="1:20" x14ac:dyDescent="0.2">
      <c r="A32" t="s">
        <v>305</v>
      </c>
      <c r="B32" t="s">
        <v>306</v>
      </c>
      <c r="C32">
        <v>25</v>
      </c>
      <c r="D32" t="s">
        <v>160</v>
      </c>
      <c r="E32">
        <v>2024</v>
      </c>
      <c r="F32">
        <v>2023</v>
      </c>
      <c r="G32">
        <v>2024</v>
      </c>
      <c r="H32">
        <v>2017</v>
      </c>
      <c r="I32">
        <v>2024</v>
      </c>
      <c r="J32">
        <v>2023</v>
      </c>
      <c r="L32" t="b">
        <f t="shared" si="0"/>
        <v>0</v>
      </c>
      <c r="O32">
        <f>SMALL(Table47[[#This Row],[Admission Year]:[Follow Up Visit Year]],1)</f>
        <v>2017</v>
      </c>
      <c r="P32">
        <f>SMALL(Table47[[#This Row],[Admission Year]:[Follow Up Visit Year]],2)</f>
        <v>2023</v>
      </c>
      <c r="Q32">
        <f>SMALL(Table47[[#This Row],[Admission Year]:[Follow Up Visit Year]],3)</f>
        <v>2023</v>
      </c>
      <c r="R32">
        <f>SMALL(Table47[[#This Row],[Admission Year]:[Follow Up Visit Year]],4)</f>
        <v>2024</v>
      </c>
      <c r="S32">
        <f>SMALL(Table47[[#This Row],[Admission Year]:[Follow Up Visit Year]],5)</f>
        <v>2024</v>
      </c>
      <c r="T32">
        <f>SMALL(Table47[[#This Row],[Admission Year]:[Follow Up Visit Year]],6)</f>
        <v>2024</v>
      </c>
    </row>
    <row r="33" spans="1:20" x14ac:dyDescent="0.2">
      <c r="A33" t="s">
        <v>311</v>
      </c>
      <c r="B33" t="s">
        <v>312</v>
      </c>
      <c r="C33">
        <v>47</v>
      </c>
      <c r="D33" t="s">
        <v>160</v>
      </c>
      <c r="E33">
        <v>2023</v>
      </c>
      <c r="F33">
        <v>2024</v>
      </c>
      <c r="G33">
        <v>2023</v>
      </c>
      <c r="H33">
        <v>2019</v>
      </c>
      <c r="I33">
        <v>2024</v>
      </c>
      <c r="J33">
        <v>2022</v>
      </c>
      <c r="L33" t="b">
        <f t="shared" si="0"/>
        <v>0</v>
      </c>
      <c r="O33">
        <f>SMALL(Table47[[#This Row],[Admission Year]:[Follow Up Visit Year]],1)</f>
        <v>2019</v>
      </c>
      <c r="P33">
        <f>SMALL(Table47[[#This Row],[Admission Year]:[Follow Up Visit Year]],2)</f>
        <v>2022</v>
      </c>
      <c r="Q33">
        <f>SMALL(Table47[[#This Row],[Admission Year]:[Follow Up Visit Year]],3)</f>
        <v>2023</v>
      </c>
      <c r="R33">
        <f>SMALL(Table47[[#This Row],[Admission Year]:[Follow Up Visit Year]],4)</f>
        <v>2023</v>
      </c>
      <c r="S33">
        <f>SMALL(Table47[[#This Row],[Admission Year]:[Follow Up Visit Year]],5)</f>
        <v>2024</v>
      </c>
      <c r="T33">
        <f>SMALL(Table47[[#This Row],[Admission Year]:[Follow Up Visit Year]],6)</f>
        <v>2024</v>
      </c>
    </row>
    <row r="34" spans="1:20" x14ac:dyDescent="0.2">
      <c r="A34" t="s">
        <v>317</v>
      </c>
      <c r="B34" t="s">
        <v>318</v>
      </c>
      <c r="C34">
        <v>47</v>
      </c>
      <c r="D34" t="s">
        <v>146</v>
      </c>
      <c r="E34">
        <v>2023</v>
      </c>
      <c r="F34">
        <v>2023</v>
      </c>
      <c r="G34">
        <v>2023</v>
      </c>
      <c r="H34">
        <v>2019</v>
      </c>
      <c r="I34">
        <v>2023</v>
      </c>
      <c r="J34">
        <v>2022</v>
      </c>
      <c r="L34" t="b">
        <f t="shared" si="0"/>
        <v>0</v>
      </c>
      <c r="O34">
        <f>SMALL(Table47[[#This Row],[Admission Year]:[Follow Up Visit Year]],1)</f>
        <v>2019</v>
      </c>
      <c r="P34">
        <f>SMALL(Table47[[#This Row],[Admission Year]:[Follow Up Visit Year]],2)</f>
        <v>2022</v>
      </c>
      <c r="Q34">
        <f>SMALL(Table47[[#This Row],[Admission Year]:[Follow Up Visit Year]],3)</f>
        <v>2023</v>
      </c>
      <c r="R34">
        <f>SMALL(Table47[[#This Row],[Admission Year]:[Follow Up Visit Year]],4)</f>
        <v>2023</v>
      </c>
      <c r="S34">
        <f>SMALL(Table47[[#This Row],[Admission Year]:[Follow Up Visit Year]],5)</f>
        <v>2023</v>
      </c>
      <c r="T34">
        <f>SMALL(Table47[[#This Row],[Admission Year]:[Follow Up Visit Year]],6)</f>
        <v>2023</v>
      </c>
    </row>
    <row r="35" spans="1:20" x14ac:dyDescent="0.2">
      <c r="A35" t="s">
        <v>322</v>
      </c>
      <c r="B35" t="s">
        <v>323</v>
      </c>
      <c r="C35">
        <v>63</v>
      </c>
      <c r="D35" t="s">
        <v>160</v>
      </c>
      <c r="E35" t="s">
        <v>272</v>
      </c>
      <c r="F35" t="s">
        <v>272</v>
      </c>
      <c r="G35">
        <v>2024</v>
      </c>
      <c r="H35">
        <v>2019</v>
      </c>
      <c r="I35" t="s">
        <v>272</v>
      </c>
      <c r="J35">
        <v>2020</v>
      </c>
      <c r="L35" t="b">
        <f t="shared" si="0"/>
        <v>0</v>
      </c>
      <c r="O35">
        <f>SMALL(Table47[[#This Row],[Admission Year]:[Follow Up Visit Year]],1)</f>
        <v>2019</v>
      </c>
      <c r="P35">
        <f>SMALL(Table47[[#This Row],[Admission Year]:[Follow Up Visit Year]],2)</f>
        <v>2020</v>
      </c>
      <c r="Q35">
        <f>SMALL(Table47[[#This Row],[Admission Year]:[Follow Up Visit Year]],3)</f>
        <v>2024</v>
      </c>
      <c r="R35" t="e">
        <f>SMALL(Table47[[#This Row],[Admission Year]:[Follow Up Visit Year]],4)</f>
        <v>#NUM!</v>
      </c>
      <c r="S35" t="e">
        <f>SMALL(Table47[[#This Row],[Admission Year]:[Follow Up Visit Year]],5)</f>
        <v>#NUM!</v>
      </c>
      <c r="T35" t="e">
        <f>SMALL(Table47[[#This Row],[Admission Year]:[Follow Up Visit Year]],6)</f>
        <v>#NUM!</v>
      </c>
    </row>
    <row r="36" spans="1:20" x14ac:dyDescent="0.2">
      <c r="A36" t="s">
        <v>325</v>
      </c>
      <c r="B36" t="s">
        <v>326</v>
      </c>
      <c r="C36">
        <v>49</v>
      </c>
      <c r="D36" t="s">
        <v>160</v>
      </c>
      <c r="E36">
        <v>2024</v>
      </c>
      <c r="F36">
        <v>2023</v>
      </c>
      <c r="G36">
        <v>2024</v>
      </c>
      <c r="H36">
        <v>2016</v>
      </c>
      <c r="I36">
        <v>2023</v>
      </c>
      <c r="J36">
        <v>2023</v>
      </c>
      <c r="L36" t="b">
        <f t="shared" si="0"/>
        <v>0</v>
      </c>
      <c r="O36">
        <f>SMALL(Table47[[#This Row],[Admission Year]:[Follow Up Visit Year]],1)</f>
        <v>2016</v>
      </c>
      <c r="P36">
        <f>SMALL(Table47[[#This Row],[Admission Year]:[Follow Up Visit Year]],2)</f>
        <v>2023</v>
      </c>
      <c r="Q36">
        <f>SMALL(Table47[[#This Row],[Admission Year]:[Follow Up Visit Year]],3)</f>
        <v>2023</v>
      </c>
      <c r="R36">
        <f>SMALL(Table47[[#This Row],[Admission Year]:[Follow Up Visit Year]],4)</f>
        <v>2023</v>
      </c>
      <c r="S36">
        <f>SMALL(Table47[[#This Row],[Admission Year]:[Follow Up Visit Year]],5)</f>
        <v>2024</v>
      </c>
      <c r="T36">
        <f>SMALL(Table47[[#This Row],[Admission Year]:[Follow Up Visit Year]],6)</f>
        <v>2024</v>
      </c>
    </row>
    <row r="37" spans="1:20" x14ac:dyDescent="0.2">
      <c r="A37" t="s">
        <v>331</v>
      </c>
      <c r="B37" t="s">
        <v>332</v>
      </c>
      <c r="C37">
        <v>81</v>
      </c>
      <c r="D37" t="s">
        <v>146</v>
      </c>
      <c r="E37">
        <v>2023</v>
      </c>
      <c r="F37">
        <v>2023</v>
      </c>
      <c r="G37">
        <v>2023</v>
      </c>
      <c r="H37">
        <v>2018</v>
      </c>
      <c r="I37">
        <v>2024</v>
      </c>
      <c r="J37">
        <v>2022</v>
      </c>
      <c r="L37" t="b">
        <f t="shared" si="0"/>
        <v>0</v>
      </c>
      <c r="O37">
        <f>SMALL(Table47[[#This Row],[Admission Year]:[Follow Up Visit Year]],1)</f>
        <v>2018</v>
      </c>
      <c r="P37">
        <f>SMALL(Table47[[#This Row],[Admission Year]:[Follow Up Visit Year]],2)</f>
        <v>2022</v>
      </c>
      <c r="Q37">
        <f>SMALL(Table47[[#This Row],[Admission Year]:[Follow Up Visit Year]],3)</f>
        <v>2023</v>
      </c>
      <c r="R37">
        <f>SMALL(Table47[[#This Row],[Admission Year]:[Follow Up Visit Year]],4)</f>
        <v>2023</v>
      </c>
      <c r="S37">
        <f>SMALL(Table47[[#This Row],[Admission Year]:[Follow Up Visit Year]],5)</f>
        <v>2023</v>
      </c>
      <c r="T37">
        <f>SMALL(Table47[[#This Row],[Admission Year]:[Follow Up Visit Year]],6)</f>
        <v>2024</v>
      </c>
    </row>
    <row r="38" spans="1:20" x14ac:dyDescent="0.2">
      <c r="A38" t="s">
        <v>338</v>
      </c>
      <c r="B38" t="s">
        <v>339</v>
      </c>
      <c r="C38">
        <v>79</v>
      </c>
      <c r="D38" t="s">
        <v>160</v>
      </c>
      <c r="E38">
        <v>2023</v>
      </c>
      <c r="F38">
        <v>2016</v>
      </c>
      <c r="G38">
        <v>2023</v>
      </c>
      <c r="H38">
        <v>2018</v>
      </c>
      <c r="I38">
        <v>2023</v>
      </c>
      <c r="J38">
        <v>2023</v>
      </c>
      <c r="L38" t="b">
        <f t="shared" si="0"/>
        <v>0</v>
      </c>
      <c r="O38">
        <f>SMALL(Table47[[#This Row],[Admission Year]:[Follow Up Visit Year]],1)</f>
        <v>2016</v>
      </c>
      <c r="P38">
        <f>SMALL(Table47[[#This Row],[Admission Year]:[Follow Up Visit Year]],2)</f>
        <v>2018</v>
      </c>
      <c r="Q38">
        <f>SMALL(Table47[[#This Row],[Admission Year]:[Follow Up Visit Year]],3)</f>
        <v>2023</v>
      </c>
      <c r="R38">
        <f>SMALL(Table47[[#This Row],[Admission Year]:[Follow Up Visit Year]],4)</f>
        <v>2023</v>
      </c>
      <c r="S38">
        <f>SMALL(Table47[[#This Row],[Admission Year]:[Follow Up Visit Year]],5)</f>
        <v>2023</v>
      </c>
      <c r="T38">
        <f>SMALL(Table47[[#This Row],[Admission Year]:[Follow Up Visit Year]],6)</f>
        <v>2023</v>
      </c>
    </row>
    <row r="39" spans="1:20" x14ac:dyDescent="0.2">
      <c r="A39" t="s">
        <v>345</v>
      </c>
      <c r="B39" t="s">
        <v>346</v>
      </c>
      <c r="C39">
        <v>81</v>
      </c>
      <c r="D39" t="s">
        <v>160</v>
      </c>
      <c r="E39">
        <v>2024</v>
      </c>
      <c r="F39">
        <v>2024</v>
      </c>
      <c r="G39">
        <v>2024</v>
      </c>
      <c r="H39">
        <v>2016</v>
      </c>
      <c r="I39">
        <v>2024</v>
      </c>
      <c r="J39">
        <v>2023</v>
      </c>
      <c r="L39" t="b">
        <f t="shared" si="0"/>
        <v>0</v>
      </c>
      <c r="O39">
        <f>SMALL(Table47[[#This Row],[Admission Year]:[Follow Up Visit Year]],1)</f>
        <v>2016</v>
      </c>
      <c r="P39">
        <f>SMALL(Table47[[#This Row],[Admission Year]:[Follow Up Visit Year]],2)</f>
        <v>2023</v>
      </c>
      <c r="Q39">
        <f>SMALL(Table47[[#This Row],[Admission Year]:[Follow Up Visit Year]],3)</f>
        <v>2024</v>
      </c>
      <c r="R39">
        <f>SMALL(Table47[[#This Row],[Admission Year]:[Follow Up Visit Year]],4)</f>
        <v>2024</v>
      </c>
      <c r="S39">
        <f>SMALL(Table47[[#This Row],[Admission Year]:[Follow Up Visit Year]],5)</f>
        <v>2024</v>
      </c>
      <c r="T39">
        <f>SMALL(Table47[[#This Row],[Admission Year]:[Follow Up Visit Year]],6)</f>
        <v>2024</v>
      </c>
    </row>
    <row r="40" spans="1:20" x14ac:dyDescent="0.2">
      <c r="A40" t="s">
        <v>351</v>
      </c>
      <c r="B40" t="s">
        <v>352</v>
      </c>
      <c r="C40">
        <v>20</v>
      </c>
      <c r="D40" t="s">
        <v>146</v>
      </c>
      <c r="E40">
        <v>2023</v>
      </c>
      <c r="F40">
        <v>2023</v>
      </c>
      <c r="G40">
        <v>2024</v>
      </c>
      <c r="H40">
        <v>2016</v>
      </c>
      <c r="I40">
        <v>2024</v>
      </c>
      <c r="J40">
        <v>2023</v>
      </c>
      <c r="L40" t="b">
        <f t="shared" si="0"/>
        <v>0</v>
      </c>
      <c r="O40">
        <f>SMALL(Table47[[#This Row],[Admission Year]:[Follow Up Visit Year]],1)</f>
        <v>2016</v>
      </c>
      <c r="P40">
        <f>SMALL(Table47[[#This Row],[Admission Year]:[Follow Up Visit Year]],2)</f>
        <v>2023</v>
      </c>
      <c r="Q40">
        <f>SMALL(Table47[[#This Row],[Admission Year]:[Follow Up Visit Year]],3)</f>
        <v>2023</v>
      </c>
      <c r="R40">
        <f>SMALL(Table47[[#This Row],[Admission Year]:[Follow Up Visit Year]],4)</f>
        <v>2023</v>
      </c>
      <c r="S40">
        <f>SMALL(Table47[[#This Row],[Admission Year]:[Follow Up Visit Year]],5)</f>
        <v>2024</v>
      </c>
      <c r="T40">
        <f>SMALL(Table47[[#This Row],[Admission Year]:[Follow Up Visit Year]],6)</f>
        <v>2024</v>
      </c>
    </row>
    <row r="41" spans="1:20" x14ac:dyDescent="0.2">
      <c r="A41" t="s">
        <v>358</v>
      </c>
      <c r="B41" t="s">
        <v>359</v>
      </c>
      <c r="C41">
        <v>40</v>
      </c>
      <c r="D41" t="s">
        <v>146</v>
      </c>
      <c r="E41">
        <v>2023</v>
      </c>
      <c r="F41">
        <v>2019</v>
      </c>
      <c r="G41">
        <v>2024</v>
      </c>
      <c r="H41">
        <v>2017</v>
      </c>
      <c r="I41">
        <v>2024</v>
      </c>
      <c r="J41">
        <v>2023</v>
      </c>
      <c r="L41" t="b">
        <f t="shared" si="0"/>
        <v>0</v>
      </c>
      <c r="O41">
        <f>SMALL(Table47[[#This Row],[Admission Year]:[Follow Up Visit Year]],1)</f>
        <v>2017</v>
      </c>
      <c r="P41">
        <f>SMALL(Table47[[#This Row],[Admission Year]:[Follow Up Visit Year]],2)</f>
        <v>2019</v>
      </c>
      <c r="Q41">
        <f>SMALL(Table47[[#This Row],[Admission Year]:[Follow Up Visit Year]],3)</f>
        <v>2023</v>
      </c>
      <c r="R41">
        <f>SMALL(Table47[[#This Row],[Admission Year]:[Follow Up Visit Year]],4)</f>
        <v>2023</v>
      </c>
      <c r="S41">
        <f>SMALL(Table47[[#This Row],[Admission Year]:[Follow Up Visit Year]],5)</f>
        <v>2024</v>
      </c>
      <c r="T41">
        <f>SMALL(Table47[[#This Row],[Admission Year]:[Follow Up Visit Year]],6)</f>
        <v>2024</v>
      </c>
    </row>
    <row r="42" spans="1:20" x14ac:dyDescent="0.2">
      <c r="A42" t="s">
        <v>365</v>
      </c>
      <c r="B42" t="s">
        <v>366</v>
      </c>
      <c r="C42">
        <v>52</v>
      </c>
      <c r="D42" t="s">
        <v>146</v>
      </c>
      <c r="E42">
        <v>2024</v>
      </c>
      <c r="F42">
        <v>2021</v>
      </c>
      <c r="G42">
        <v>2024</v>
      </c>
      <c r="H42">
        <v>2019</v>
      </c>
      <c r="I42">
        <v>2024</v>
      </c>
      <c r="J42">
        <v>2003</v>
      </c>
      <c r="L42" t="b">
        <f t="shared" si="0"/>
        <v>0</v>
      </c>
      <c r="O42">
        <f>SMALL(Table47[[#This Row],[Admission Year]:[Follow Up Visit Year]],1)</f>
        <v>2003</v>
      </c>
      <c r="P42">
        <f>SMALL(Table47[[#This Row],[Admission Year]:[Follow Up Visit Year]],2)</f>
        <v>2019</v>
      </c>
      <c r="Q42">
        <f>SMALL(Table47[[#This Row],[Admission Year]:[Follow Up Visit Year]],3)</f>
        <v>2021</v>
      </c>
      <c r="R42">
        <f>SMALL(Table47[[#This Row],[Admission Year]:[Follow Up Visit Year]],4)</f>
        <v>2024</v>
      </c>
      <c r="S42">
        <f>SMALL(Table47[[#This Row],[Admission Year]:[Follow Up Visit Year]],5)</f>
        <v>2024</v>
      </c>
      <c r="T42">
        <f>SMALL(Table47[[#This Row],[Admission Year]:[Follow Up Visit Year]],6)</f>
        <v>2024</v>
      </c>
    </row>
    <row r="43" spans="1:20" x14ac:dyDescent="0.2">
      <c r="A43" t="s">
        <v>372</v>
      </c>
      <c r="B43" t="s">
        <v>373</v>
      </c>
      <c r="C43">
        <v>77</v>
      </c>
      <c r="D43" t="s">
        <v>146</v>
      </c>
      <c r="E43">
        <v>2024</v>
      </c>
      <c r="F43">
        <v>2022</v>
      </c>
      <c r="G43">
        <v>2024</v>
      </c>
      <c r="H43">
        <v>2019</v>
      </c>
      <c r="I43">
        <v>2024</v>
      </c>
      <c r="J43">
        <v>2023</v>
      </c>
      <c r="L43" t="b">
        <f t="shared" si="0"/>
        <v>0</v>
      </c>
      <c r="O43">
        <f>SMALL(Table47[[#This Row],[Admission Year]:[Follow Up Visit Year]],1)</f>
        <v>2019</v>
      </c>
      <c r="P43">
        <f>SMALL(Table47[[#This Row],[Admission Year]:[Follow Up Visit Year]],2)</f>
        <v>2022</v>
      </c>
      <c r="Q43">
        <f>SMALL(Table47[[#This Row],[Admission Year]:[Follow Up Visit Year]],3)</f>
        <v>2023</v>
      </c>
      <c r="R43">
        <f>SMALL(Table47[[#This Row],[Admission Year]:[Follow Up Visit Year]],4)</f>
        <v>2024</v>
      </c>
      <c r="S43">
        <f>SMALL(Table47[[#This Row],[Admission Year]:[Follow Up Visit Year]],5)</f>
        <v>2024</v>
      </c>
      <c r="T43">
        <f>SMALL(Table47[[#This Row],[Admission Year]:[Follow Up Visit Year]],6)</f>
        <v>2024</v>
      </c>
    </row>
    <row r="44" spans="1:20" x14ac:dyDescent="0.2">
      <c r="A44" t="s">
        <v>378</v>
      </c>
      <c r="B44" t="s">
        <v>379</v>
      </c>
      <c r="C44">
        <v>41</v>
      </c>
      <c r="D44" t="s">
        <v>160</v>
      </c>
      <c r="E44">
        <v>2024</v>
      </c>
      <c r="F44">
        <v>2018</v>
      </c>
      <c r="G44">
        <v>2023</v>
      </c>
      <c r="H44">
        <v>2019</v>
      </c>
      <c r="I44">
        <v>2023</v>
      </c>
      <c r="J44">
        <v>2022</v>
      </c>
      <c r="L44" t="b">
        <f t="shared" si="0"/>
        <v>0</v>
      </c>
      <c r="O44">
        <f>SMALL(Table47[[#This Row],[Admission Year]:[Follow Up Visit Year]],1)</f>
        <v>2018</v>
      </c>
      <c r="P44">
        <f>SMALL(Table47[[#This Row],[Admission Year]:[Follow Up Visit Year]],2)</f>
        <v>2019</v>
      </c>
      <c r="Q44">
        <f>SMALL(Table47[[#This Row],[Admission Year]:[Follow Up Visit Year]],3)</f>
        <v>2022</v>
      </c>
      <c r="R44">
        <f>SMALL(Table47[[#This Row],[Admission Year]:[Follow Up Visit Year]],4)</f>
        <v>2023</v>
      </c>
      <c r="S44">
        <f>SMALL(Table47[[#This Row],[Admission Year]:[Follow Up Visit Year]],5)</f>
        <v>2023</v>
      </c>
      <c r="T44">
        <f>SMALL(Table47[[#This Row],[Admission Year]:[Follow Up Visit Year]],6)</f>
        <v>2024</v>
      </c>
    </row>
    <row r="45" spans="1:20" x14ac:dyDescent="0.2">
      <c r="A45" t="s">
        <v>384</v>
      </c>
      <c r="B45" t="s">
        <v>385</v>
      </c>
      <c r="C45">
        <v>68</v>
      </c>
      <c r="D45" t="s">
        <v>160</v>
      </c>
      <c r="E45">
        <v>2024</v>
      </c>
      <c r="F45">
        <v>2025</v>
      </c>
      <c r="G45">
        <v>2023</v>
      </c>
      <c r="H45">
        <v>2019</v>
      </c>
      <c r="I45" t="s">
        <v>272</v>
      </c>
      <c r="J45">
        <v>2022</v>
      </c>
      <c r="L45" t="b">
        <f t="shared" si="0"/>
        <v>0</v>
      </c>
      <c r="O45">
        <f>SMALL(Table47[[#This Row],[Admission Year]:[Follow Up Visit Year]],1)</f>
        <v>2019</v>
      </c>
      <c r="P45">
        <f>SMALL(Table47[[#This Row],[Admission Year]:[Follow Up Visit Year]],2)</f>
        <v>2022</v>
      </c>
      <c r="Q45">
        <f>SMALL(Table47[[#This Row],[Admission Year]:[Follow Up Visit Year]],3)</f>
        <v>2023</v>
      </c>
      <c r="R45">
        <f>SMALL(Table47[[#This Row],[Admission Year]:[Follow Up Visit Year]],4)</f>
        <v>2024</v>
      </c>
      <c r="S45">
        <f>SMALL(Table47[[#This Row],[Admission Year]:[Follow Up Visit Year]],5)</f>
        <v>2025</v>
      </c>
      <c r="T45" t="e">
        <f>SMALL(Table47[[#This Row],[Admission Year]:[Follow Up Visit Year]],6)</f>
        <v>#NUM!</v>
      </c>
    </row>
    <row r="46" spans="1:20" x14ac:dyDescent="0.2">
      <c r="A46" t="s">
        <v>388</v>
      </c>
      <c r="B46" t="s">
        <v>389</v>
      </c>
      <c r="C46">
        <v>78</v>
      </c>
      <c r="D46" t="s">
        <v>160</v>
      </c>
      <c r="E46">
        <v>2023</v>
      </c>
      <c r="F46">
        <v>2017</v>
      </c>
      <c r="G46">
        <v>2024</v>
      </c>
      <c r="H46">
        <v>2018</v>
      </c>
      <c r="I46">
        <v>2023</v>
      </c>
      <c r="J46">
        <v>2023</v>
      </c>
      <c r="L46" t="b">
        <f t="shared" si="0"/>
        <v>0</v>
      </c>
      <c r="O46">
        <f>SMALL(Table47[[#This Row],[Admission Year]:[Follow Up Visit Year]],1)</f>
        <v>2017</v>
      </c>
      <c r="P46">
        <f>SMALL(Table47[[#This Row],[Admission Year]:[Follow Up Visit Year]],2)</f>
        <v>2018</v>
      </c>
      <c r="Q46">
        <f>SMALL(Table47[[#This Row],[Admission Year]:[Follow Up Visit Year]],3)</f>
        <v>2023</v>
      </c>
      <c r="R46">
        <f>SMALL(Table47[[#This Row],[Admission Year]:[Follow Up Visit Year]],4)</f>
        <v>2023</v>
      </c>
      <c r="S46">
        <f>SMALL(Table47[[#This Row],[Admission Year]:[Follow Up Visit Year]],5)</f>
        <v>2023</v>
      </c>
      <c r="T46">
        <f>SMALL(Table47[[#This Row],[Admission Year]:[Follow Up Visit Year]],6)</f>
        <v>2024</v>
      </c>
    </row>
    <row r="47" spans="1:20" x14ac:dyDescent="0.2">
      <c r="A47" t="s">
        <v>394</v>
      </c>
      <c r="B47" t="s">
        <v>395</v>
      </c>
      <c r="C47">
        <v>80</v>
      </c>
      <c r="D47" t="s">
        <v>160</v>
      </c>
      <c r="E47">
        <v>2023</v>
      </c>
      <c r="F47">
        <v>2018</v>
      </c>
      <c r="G47">
        <v>2024</v>
      </c>
      <c r="H47">
        <v>2018</v>
      </c>
      <c r="I47" t="s">
        <v>272</v>
      </c>
      <c r="J47">
        <v>2023</v>
      </c>
      <c r="L47" t="b">
        <f t="shared" si="0"/>
        <v>0</v>
      </c>
      <c r="O47">
        <f>SMALL(Table47[[#This Row],[Admission Year]:[Follow Up Visit Year]],1)</f>
        <v>2018</v>
      </c>
      <c r="P47">
        <f>SMALL(Table47[[#This Row],[Admission Year]:[Follow Up Visit Year]],2)</f>
        <v>2018</v>
      </c>
      <c r="Q47">
        <f>SMALL(Table47[[#This Row],[Admission Year]:[Follow Up Visit Year]],3)</f>
        <v>2023</v>
      </c>
      <c r="R47">
        <f>SMALL(Table47[[#This Row],[Admission Year]:[Follow Up Visit Year]],4)</f>
        <v>2023</v>
      </c>
      <c r="S47">
        <f>SMALL(Table47[[#This Row],[Admission Year]:[Follow Up Visit Year]],5)</f>
        <v>2024</v>
      </c>
      <c r="T47" t="e">
        <f>SMALL(Table47[[#This Row],[Admission Year]:[Follow Up Visit Year]],6)</f>
        <v>#NUM!</v>
      </c>
    </row>
    <row r="48" spans="1:20" x14ac:dyDescent="0.2">
      <c r="A48" t="s">
        <v>400</v>
      </c>
      <c r="B48" t="s">
        <v>401</v>
      </c>
      <c r="C48">
        <v>61</v>
      </c>
      <c r="D48" t="s">
        <v>146</v>
      </c>
      <c r="E48">
        <v>2024</v>
      </c>
      <c r="F48">
        <v>2017</v>
      </c>
      <c r="G48">
        <v>2023</v>
      </c>
      <c r="H48">
        <v>2018</v>
      </c>
      <c r="I48" t="s">
        <v>272</v>
      </c>
      <c r="J48">
        <v>2024</v>
      </c>
      <c r="L48" t="b">
        <f t="shared" si="0"/>
        <v>0</v>
      </c>
      <c r="O48">
        <f>SMALL(Table47[[#This Row],[Admission Year]:[Follow Up Visit Year]],1)</f>
        <v>2017</v>
      </c>
      <c r="P48">
        <f>SMALL(Table47[[#This Row],[Admission Year]:[Follow Up Visit Year]],2)</f>
        <v>2018</v>
      </c>
      <c r="Q48">
        <f>SMALL(Table47[[#This Row],[Admission Year]:[Follow Up Visit Year]],3)</f>
        <v>2023</v>
      </c>
      <c r="R48">
        <f>SMALL(Table47[[#This Row],[Admission Year]:[Follow Up Visit Year]],4)</f>
        <v>2024</v>
      </c>
      <c r="S48">
        <f>SMALL(Table47[[#This Row],[Admission Year]:[Follow Up Visit Year]],5)</f>
        <v>2024</v>
      </c>
      <c r="T48" t="e">
        <f>SMALL(Table47[[#This Row],[Admission Year]:[Follow Up Visit Year]],6)</f>
        <v>#NUM!</v>
      </c>
    </row>
    <row r="49" spans="1:20" x14ac:dyDescent="0.2">
      <c r="A49" t="s">
        <v>405</v>
      </c>
      <c r="B49" t="s">
        <v>406</v>
      </c>
      <c r="C49">
        <v>79</v>
      </c>
      <c r="D49" t="s">
        <v>146</v>
      </c>
      <c r="E49">
        <v>2023</v>
      </c>
      <c r="F49">
        <v>2017</v>
      </c>
      <c r="G49">
        <v>2024</v>
      </c>
      <c r="H49">
        <v>2018</v>
      </c>
      <c r="I49">
        <v>2024</v>
      </c>
      <c r="J49">
        <v>2023</v>
      </c>
      <c r="L49" t="b">
        <f t="shared" si="0"/>
        <v>0</v>
      </c>
      <c r="O49">
        <f>SMALL(Table47[[#This Row],[Admission Year]:[Follow Up Visit Year]],1)</f>
        <v>2017</v>
      </c>
      <c r="P49">
        <f>SMALL(Table47[[#This Row],[Admission Year]:[Follow Up Visit Year]],2)</f>
        <v>2018</v>
      </c>
      <c r="Q49">
        <f>SMALL(Table47[[#This Row],[Admission Year]:[Follow Up Visit Year]],3)</f>
        <v>2023</v>
      </c>
      <c r="R49">
        <f>SMALL(Table47[[#This Row],[Admission Year]:[Follow Up Visit Year]],4)</f>
        <v>2023</v>
      </c>
      <c r="S49">
        <f>SMALL(Table47[[#This Row],[Admission Year]:[Follow Up Visit Year]],5)</f>
        <v>2024</v>
      </c>
      <c r="T49">
        <f>SMALL(Table47[[#This Row],[Admission Year]:[Follow Up Visit Year]],6)</f>
        <v>2024</v>
      </c>
    </row>
    <row r="50" spans="1:20" x14ac:dyDescent="0.2">
      <c r="A50" t="s">
        <v>410</v>
      </c>
      <c r="B50" t="s">
        <v>411</v>
      </c>
      <c r="C50">
        <v>34</v>
      </c>
      <c r="D50" t="s">
        <v>160</v>
      </c>
      <c r="E50">
        <v>2024</v>
      </c>
      <c r="F50">
        <v>2023</v>
      </c>
      <c r="G50">
        <v>2023</v>
      </c>
      <c r="H50">
        <v>2017</v>
      </c>
      <c r="I50">
        <v>2023</v>
      </c>
      <c r="J50">
        <v>2023</v>
      </c>
      <c r="L50" t="b">
        <f t="shared" si="0"/>
        <v>0</v>
      </c>
      <c r="O50">
        <f>SMALL(Table47[[#This Row],[Admission Year]:[Follow Up Visit Year]],1)</f>
        <v>2017</v>
      </c>
      <c r="P50">
        <f>SMALL(Table47[[#This Row],[Admission Year]:[Follow Up Visit Year]],2)</f>
        <v>2023</v>
      </c>
      <c r="Q50">
        <f>SMALL(Table47[[#This Row],[Admission Year]:[Follow Up Visit Year]],3)</f>
        <v>2023</v>
      </c>
      <c r="R50">
        <f>SMALL(Table47[[#This Row],[Admission Year]:[Follow Up Visit Year]],4)</f>
        <v>2023</v>
      </c>
      <c r="S50">
        <f>SMALL(Table47[[#This Row],[Admission Year]:[Follow Up Visit Year]],5)</f>
        <v>2023</v>
      </c>
      <c r="T50">
        <f>SMALL(Table47[[#This Row],[Admission Year]:[Follow Up Visit Year]],6)</f>
        <v>2024</v>
      </c>
    </row>
    <row r="51" spans="1:20" x14ac:dyDescent="0.2">
      <c r="A51" t="s">
        <v>416</v>
      </c>
      <c r="B51" t="s">
        <v>417</v>
      </c>
      <c r="C51">
        <v>81</v>
      </c>
      <c r="D51" t="s">
        <v>160</v>
      </c>
      <c r="E51">
        <v>2023</v>
      </c>
      <c r="F51">
        <v>2018</v>
      </c>
      <c r="G51">
        <v>2023</v>
      </c>
      <c r="H51">
        <v>2017</v>
      </c>
      <c r="I51" t="s">
        <v>272</v>
      </c>
      <c r="J51">
        <v>2023</v>
      </c>
      <c r="L51" t="b">
        <f t="shared" si="0"/>
        <v>0</v>
      </c>
      <c r="O51">
        <f>SMALL(Table47[[#This Row],[Admission Year]:[Follow Up Visit Year]],1)</f>
        <v>2017</v>
      </c>
      <c r="P51">
        <f>SMALL(Table47[[#This Row],[Admission Year]:[Follow Up Visit Year]],2)</f>
        <v>2018</v>
      </c>
      <c r="Q51">
        <f>SMALL(Table47[[#This Row],[Admission Year]:[Follow Up Visit Year]],3)</f>
        <v>2023</v>
      </c>
      <c r="R51">
        <f>SMALL(Table47[[#This Row],[Admission Year]:[Follow Up Visit Year]],4)</f>
        <v>2023</v>
      </c>
      <c r="S51">
        <f>SMALL(Table47[[#This Row],[Admission Year]:[Follow Up Visit Year]],5)</f>
        <v>2023</v>
      </c>
      <c r="T51" t="e">
        <f>SMALL(Table47[[#This Row],[Admission Year]:[Follow Up Visit Year]],6)</f>
        <v>#NUM!</v>
      </c>
    </row>
    <row r="52" spans="1:20" x14ac:dyDescent="0.2">
      <c r="A52" t="s">
        <v>421</v>
      </c>
      <c r="B52" t="s">
        <v>958</v>
      </c>
      <c r="C52">
        <v>81</v>
      </c>
      <c r="D52" t="s">
        <v>160</v>
      </c>
      <c r="E52">
        <v>2023</v>
      </c>
      <c r="F52">
        <v>2018</v>
      </c>
      <c r="G52">
        <v>2023</v>
      </c>
      <c r="H52">
        <v>2017</v>
      </c>
      <c r="I52">
        <v>2024</v>
      </c>
      <c r="J52">
        <v>2022</v>
      </c>
      <c r="L52" t="b">
        <f t="shared" si="0"/>
        <v>0</v>
      </c>
      <c r="O52">
        <f>SMALL(Table47[[#This Row],[Admission Year]:[Follow Up Visit Year]],1)</f>
        <v>2017</v>
      </c>
      <c r="P52">
        <f>SMALL(Table47[[#This Row],[Admission Year]:[Follow Up Visit Year]],2)</f>
        <v>2018</v>
      </c>
      <c r="Q52">
        <f>SMALL(Table47[[#This Row],[Admission Year]:[Follow Up Visit Year]],3)</f>
        <v>2022</v>
      </c>
      <c r="R52">
        <f>SMALL(Table47[[#This Row],[Admission Year]:[Follow Up Visit Year]],4)</f>
        <v>2023</v>
      </c>
      <c r="S52">
        <f>SMALL(Table47[[#This Row],[Admission Year]:[Follow Up Visit Year]],5)</f>
        <v>2023</v>
      </c>
      <c r="T52">
        <f>SMALL(Table47[[#This Row],[Admission Year]:[Follow Up Visit Year]],6)</f>
        <v>2024</v>
      </c>
    </row>
    <row r="53" spans="1:20" x14ac:dyDescent="0.2">
      <c r="A53" t="s">
        <v>425</v>
      </c>
      <c r="B53" t="s">
        <v>426</v>
      </c>
      <c r="C53">
        <v>66</v>
      </c>
      <c r="D53" t="s">
        <v>160</v>
      </c>
      <c r="E53">
        <v>2023</v>
      </c>
      <c r="F53">
        <v>2019</v>
      </c>
      <c r="G53">
        <v>2023</v>
      </c>
      <c r="H53">
        <v>2019</v>
      </c>
      <c r="I53" t="s">
        <v>272</v>
      </c>
      <c r="J53">
        <v>2022</v>
      </c>
      <c r="L53" t="b">
        <f t="shared" si="0"/>
        <v>0</v>
      </c>
      <c r="O53">
        <f>SMALL(Table47[[#This Row],[Admission Year]:[Follow Up Visit Year]],1)</f>
        <v>2019</v>
      </c>
      <c r="P53">
        <f>SMALL(Table47[[#This Row],[Admission Year]:[Follow Up Visit Year]],2)</f>
        <v>2019</v>
      </c>
      <c r="Q53">
        <f>SMALL(Table47[[#This Row],[Admission Year]:[Follow Up Visit Year]],3)</f>
        <v>2022</v>
      </c>
      <c r="R53">
        <f>SMALL(Table47[[#This Row],[Admission Year]:[Follow Up Visit Year]],4)</f>
        <v>2023</v>
      </c>
      <c r="S53">
        <f>SMALL(Table47[[#This Row],[Admission Year]:[Follow Up Visit Year]],5)</f>
        <v>2023</v>
      </c>
      <c r="T53" t="e">
        <f>SMALL(Table47[[#This Row],[Admission Year]:[Follow Up Visit Year]],6)</f>
        <v>#NUM!</v>
      </c>
    </row>
    <row r="54" spans="1:20" x14ac:dyDescent="0.2">
      <c r="A54" t="s">
        <v>431</v>
      </c>
      <c r="B54" t="s">
        <v>432</v>
      </c>
      <c r="C54">
        <v>81</v>
      </c>
      <c r="D54" t="s">
        <v>146</v>
      </c>
      <c r="E54">
        <v>2023</v>
      </c>
      <c r="F54">
        <v>2016</v>
      </c>
      <c r="G54">
        <v>2023</v>
      </c>
      <c r="H54">
        <v>2019</v>
      </c>
      <c r="I54">
        <v>2023</v>
      </c>
      <c r="J54">
        <v>2022</v>
      </c>
      <c r="L54" t="b">
        <f t="shared" si="0"/>
        <v>0</v>
      </c>
      <c r="O54">
        <f>SMALL(Table47[[#This Row],[Admission Year]:[Follow Up Visit Year]],1)</f>
        <v>2016</v>
      </c>
      <c r="P54">
        <f>SMALL(Table47[[#This Row],[Admission Year]:[Follow Up Visit Year]],2)</f>
        <v>2019</v>
      </c>
      <c r="Q54">
        <f>SMALL(Table47[[#This Row],[Admission Year]:[Follow Up Visit Year]],3)</f>
        <v>2022</v>
      </c>
      <c r="R54">
        <f>SMALL(Table47[[#This Row],[Admission Year]:[Follow Up Visit Year]],4)</f>
        <v>2023</v>
      </c>
      <c r="S54">
        <f>SMALL(Table47[[#This Row],[Admission Year]:[Follow Up Visit Year]],5)</f>
        <v>2023</v>
      </c>
      <c r="T54">
        <f>SMALL(Table47[[#This Row],[Admission Year]:[Follow Up Visit Year]],6)</f>
        <v>2023</v>
      </c>
    </row>
    <row r="55" spans="1:20" x14ac:dyDescent="0.2">
      <c r="A55" t="s">
        <v>437</v>
      </c>
      <c r="B55" t="s">
        <v>438</v>
      </c>
      <c r="C55">
        <v>70</v>
      </c>
      <c r="D55" t="s">
        <v>160</v>
      </c>
      <c r="E55">
        <v>2023</v>
      </c>
      <c r="F55">
        <v>2018</v>
      </c>
      <c r="G55">
        <v>2023</v>
      </c>
      <c r="H55">
        <v>2019</v>
      </c>
      <c r="I55">
        <v>2023</v>
      </c>
      <c r="J55">
        <v>2022</v>
      </c>
      <c r="L55" t="b">
        <f t="shared" si="0"/>
        <v>0</v>
      </c>
      <c r="O55">
        <f>SMALL(Table47[[#This Row],[Admission Year]:[Follow Up Visit Year]],1)</f>
        <v>2018</v>
      </c>
      <c r="P55">
        <f>SMALL(Table47[[#This Row],[Admission Year]:[Follow Up Visit Year]],2)</f>
        <v>2019</v>
      </c>
      <c r="Q55">
        <f>SMALL(Table47[[#This Row],[Admission Year]:[Follow Up Visit Year]],3)</f>
        <v>2022</v>
      </c>
      <c r="R55">
        <f>SMALL(Table47[[#This Row],[Admission Year]:[Follow Up Visit Year]],4)</f>
        <v>2023</v>
      </c>
      <c r="S55">
        <f>SMALL(Table47[[#This Row],[Admission Year]:[Follow Up Visit Year]],5)</f>
        <v>2023</v>
      </c>
      <c r="T55">
        <f>SMALL(Table47[[#This Row],[Admission Year]:[Follow Up Visit Year]],6)</f>
        <v>2023</v>
      </c>
    </row>
    <row r="56" spans="1:20" x14ac:dyDescent="0.2">
      <c r="A56" t="s">
        <v>443</v>
      </c>
      <c r="B56" t="s">
        <v>444</v>
      </c>
      <c r="C56">
        <v>74</v>
      </c>
      <c r="D56" t="s">
        <v>146</v>
      </c>
      <c r="E56">
        <v>2023</v>
      </c>
      <c r="F56">
        <v>2025</v>
      </c>
      <c r="G56">
        <v>2023</v>
      </c>
      <c r="H56">
        <v>2018</v>
      </c>
      <c r="I56">
        <v>2023</v>
      </c>
      <c r="J56">
        <v>2022</v>
      </c>
      <c r="L56" t="b">
        <f t="shared" si="0"/>
        <v>0</v>
      </c>
      <c r="O56">
        <f>SMALL(Table47[[#This Row],[Admission Year]:[Follow Up Visit Year]],1)</f>
        <v>2018</v>
      </c>
      <c r="P56">
        <f>SMALL(Table47[[#This Row],[Admission Year]:[Follow Up Visit Year]],2)</f>
        <v>2022</v>
      </c>
      <c r="Q56">
        <f>SMALL(Table47[[#This Row],[Admission Year]:[Follow Up Visit Year]],3)</f>
        <v>2023</v>
      </c>
      <c r="R56">
        <f>SMALL(Table47[[#This Row],[Admission Year]:[Follow Up Visit Year]],4)</f>
        <v>2023</v>
      </c>
      <c r="S56">
        <f>SMALL(Table47[[#This Row],[Admission Year]:[Follow Up Visit Year]],5)</f>
        <v>2023</v>
      </c>
      <c r="T56">
        <f>SMALL(Table47[[#This Row],[Admission Year]:[Follow Up Visit Year]],6)</f>
        <v>2025</v>
      </c>
    </row>
    <row r="57" spans="1:20" x14ac:dyDescent="0.2">
      <c r="A57" t="s">
        <v>450</v>
      </c>
      <c r="B57" t="s">
        <v>959</v>
      </c>
      <c r="C57">
        <v>83</v>
      </c>
      <c r="D57" t="s">
        <v>160</v>
      </c>
      <c r="E57">
        <v>2023</v>
      </c>
      <c r="F57">
        <v>2018</v>
      </c>
      <c r="G57">
        <v>2023</v>
      </c>
      <c r="H57">
        <v>2018</v>
      </c>
      <c r="I57">
        <v>2024</v>
      </c>
      <c r="J57">
        <v>2023</v>
      </c>
      <c r="L57" t="b">
        <f t="shared" si="0"/>
        <v>0</v>
      </c>
      <c r="O57">
        <f>SMALL(Table47[[#This Row],[Admission Year]:[Follow Up Visit Year]],1)</f>
        <v>2018</v>
      </c>
      <c r="P57">
        <f>SMALL(Table47[[#This Row],[Admission Year]:[Follow Up Visit Year]],2)</f>
        <v>2018</v>
      </c>
      <c r="Q57">
        <f>SMALL(Table47[[#This Row],[Admission Year]:[Follow Up Visit Year]],3)</f>
        <v>2023</v>
      </c>
      <c r="R57">
        <f>SMALL(Table47[[#This Row],[Admission Year]:[Follow Up Visit Year]],4)</f>
        <v>2023</v>
      </c>
      <c r="S57">
        <f>SMALL(Table47[[#This Row],[Admission Year]:[Follow Up Visit Year]],5)</f>
        <v>2023</v>
      </c>
      <c r="T57">
        <f>SMALL(Table47[[#This Row],[Admission Year]:[Follow Up Visit Year]],6)</f>
        <v>2024</v>
      </c>
    </row>
    <row r="58" spans="1:20" x14ac:dyDescent="0.2">
      <c r="A58" t="s">
        <v>453</v>
      </c>
      <c r="B58" t="s">
        <v>454</v>
      </c>
      <c r="C58">
        <v>40</v>
      </c>
      <c r="D58" t="s">
        <v>146</v>
      </c>
      <c r="E58">
        <v>2023</v>
      </c>
      <c r="F58" t="s">
        <v>272</v>
      </c>
      <c r="G58">
        <v>2023</v>
      </c>
      <c r="H58">
        <v>2018</v>
      </c>
      <c r="I58">
        <v>2024</v>
      </c>
      <c r="J58">
        <v>2023</v>
      </c>
      <c r="L58" t="b">
        <f t="shared" si="0"/>
        <v>0</v>
      </c>
      <c r="O58">
        <f>SMALL(Table47[[#This Row],[Admission Year]:[Follow Up Visit Year]],1)</f>
        <v>2018</v>
      </c>
      <c r="P58">
        <f>SMALL(Table47[[#This Row],[Admission Year]:[Follow Up Visit Year]],2)</f>
        <v>2023</v>
      </c>
      <c r="Q58">
        <f>SMALL(Table47[[#This Row],[Admission Year]:[Follow Up Visit Year]],3)</f>
        <v>2023</v>
      </c>
      <c r="R58">
        <f>SMALL(Table47[[#This Row],[Admission Year]:[Follow Up Visit Year]],4)</f>
        <v>2023</v>
      </c>
      <c r="S58">
        <f>SMALL(Table47[[#This Row],[Admission Year]:[Follow Up Visit Year]],5)</f>
        <v>2024</v>
      </c>
      <c r="T58" t="e">
        <f>SMALL(Table47[[#This Row],[Admission Year]:[Follow Up Visit Year]],6)</f>
        <v>#NUM!</v>
      </c>
    </row>
    <row r="59" spans="1:20" x14ac:dyDescent="0.2">
      <c r="A59" t="s">
        <v>458</v>
      </c>
      <c r="B59" t="s">
        <v>459</v>
      </c>
      <c r="C59">
        <v>22</v>
      </c>
      <c r="D59" t="s">
        <v>146</v>
      </c>
      <c r="E59">
        <v>2023</v>
      </c>
      <c r="F59">
        <v>2024</v>
      </c>
      <c r="G59">
        <v>2023</v>
      </c>
      <c r="H59">
        <v>2018</v>
      </c>
      <c r="I59" t="s">
        <v>272</v>
      </c>
      <c r="J59">
        <v>2024</v>
      </c>
      <c r="L59" t="b">
        <f t="shared" si="0"/>
        <v>0</v>
      </c>
      <c r="O59">
        <f>SMALL(Table47[[#This Row],[Admission Year]:[Follow Up Visit Year]],1)</f>
        <v>2018</v>
      </c>
      <c r="P59">
        <f>SMALL(Table47[[#This Row],[Admission Year]:[Follow Up Visit Year]],2)</f>
        <v>2023</v>
      </c>
      <c r="Q59">
        <f>SMALL(Table47[[#This Row],[Admission Year]:[Follow Up Visit Year]],3)</f>
        <v>2023</v>
      </c>
      <c r="R59">
        <f>SMALL(Table47[[#This Row],[Admission Year]:[Follow Up Visit Year]],4)</f>
        <v>2024</v>
      </c>
      <c r="S59">
        <f>SMALL(Table47[[#This Row],[Admission Year]:[Follow Up Visit Year]],5)</f>
        <v>2024</v>
      </c>
      <c r="T59" t="e">
        <f>SMALL(Table47[[#This Row],[Admission Year]:[Follow Up Visit Year]],6)</f>
        <v>#NUM!</v>
      </c>
    </row>
    <row r="60" spans="1:20" x14ac:dyDescent="0.2">
      <c r="A60" t="s">
        <v>462</v>
      </c>
      <c r="B60" t="s">
        <v>463</v>
      </c>
      <c r="C60">
        <v>70</v>
      </c>
      <c r="D60" t="s">
        <v>160</v>
      </c>
      <c r="E60">
        <v>2023</v>
      </c>
      <c r="F60" t="s">
        <v>272</v>
      </c>
      <c r="G60">
        <v>2023</v>
      </c>
      <c r="H60">
        <v>2018</v>
      </c>
      <c r="I60">
        <v>2023</v>
      </c>
      <c r="J60">
        <v>2003</v>
      </c>
      <c r="L60" t="b">
        <f t="shared" si="0"/>
        <v>0</v>
      </c>
      <c r="O60">
        <f>SMALL(Table47[[#This Row],[Admission Year]:[Follow Up Visit Year]],1)</f>
        <v>2003</v>
      </c>
      <c r="P60">
        <f>SMALL(Table47[[#This Row],[Admission Year]:[Follow Up Visit Year]],2)</f>
        <v>2018</v>
      </c>
      <c r="Q60">
        <f>SMALL(Table47[[#This Row],[Admission Year]:[Follow Up Visit Year]],3)</f>
        <v>2023</v>
      </c>
      <c r="R60">
        <f>SMALL(Table47[[#This Row],[Admission Year]:[Follow Up Visit Year]],4)</f>
        <v>2023</v>
      </c>
      <c r="S60">
        <f>SMALL(Table47[[#This Row],[Admission Year]:[Follow Up Visit Year]],5)</f>
        <v>2023</v>
      </c>
      <c r="T60" t="e">
        <f>SMALL(Table47[[#This Row],[Admission Year]:[Follow Up Visit Year]],6)</f>
        <v>#NUM!</v>
      </c>
    </row>
    <row r="61" spans="1:20" x14ac:dyDescent="0.2">
      <c r="A61" t="s">
        <v>466</v>
      </c>
      <c r="B61" t="s">
        <v>960</v>
      </c>
      <c r="C61">
        <v>26</v>
      </c>
      <c r="D61" t="s">
        <v>160</v>
      </c>
      <c r="E61">
        <v>2024</v>
      </c>
      <c r="F61" t="s">
        <v>272</v>
      </c>
      <c r="G61">
        <v>2023</v>
      </c>
      <c r="H61">
        <v>2017</v>
      </c>
      <c r="I61">
        <v>2024</v>
      </c>
      <c r="J61">
        <v>2003</v>
      </c>
      <c r="L61" t="b">
        <f t="shared" si="0"/>
        <v>0</v>
      </c>
      <c r="O61">
        <f>SMALL(Table47[[#This Row],[Admission Year]:[Follow Up Visit Year]],1)</f>
        <v>2003</v>
      </c>
      <c r="P61">
        <f>SMALL(Table47[[#This Row],[Admission Year]:[Follow Up Visit Year]],2)</f>
        <v>2017</v>
      </c>
      <c r="Q61">
        <f>SMALL(Table47[[#This Row],[Admission Year]:[Follow Up Visit Year]],3)</f>
        <v>2023</v>
      </c>
      <c r="R61">
        <f>SMALL(Table47[[#This Row],[Admission Year]:[Follow Up Visit Year]],4)</f>
        <v>2024</v>
      </c>
      <c r="S61">
        <f>SMALL(Table47[[#This Row],[Admission Year]:[Follow Up Visit Year]],5)</f>
        <v>2024</v>
      </c>
      <c r="T61" t="e">
        <f>SMALL(Table47[[#This Row],[Admission Year]:[Follow Up Visit Year]],6)</f>
        <v>#NUM!</v>
      </c>
    </row>
    <row r="62" spans="1:20" x14ac:dyDescent="0.2">
      <c r="A62" t="s">
        <v>471</v>
      </c>
      <c r="B62" t="s">
        <v>472</v>
      </c>
      <c r="C62">
        <v>40</v>
      </c>
      <c r="D62" t="s">
        <v>160</v>
      </c>
      <c r="E62">
        <v>2024</v>
      </c>
      <c r="F62">
        <v>2023</v>
      </c>
      <c r="G62">
        <v>2023</v>
      </c>
      <c r="H62">
        <v>2017</v>
      </c>
      <c r="I62">
        <v>2024</v>
      </c>
      <c r="J62">
        <v>2023</v>
      </c>
      <c r="L62" t="b">
        <f t="shared" si="0"/>
        <v>0</v>
      </c>
      <c r="O62">
        <f>SMALL(Table47[[#This Row],[Admission Year]:[Follow Up Visit Year]],1)</f>
        <v>2017</v>
      </c>
      <c r="P62">
        <f>SMALL(Table47[[#This Row],[Admission Year]:[Follow Up Visit Year]],2)</f>
        <v>2023</v>
      </c>
      <c r="Q62">
        <f>SMALL(Table47[[#This Row],[Admission Year]:[Follow Up Visit Year]],3)</f>
        <v>2023</v>
      </c>
      <c r="R62">
        <f>SMALL(Table47[[#This Row],[Admission Year]:[Follow Up Visit Year]],4)</f>
        <v>2023</v>
      </c>
      <c r="S62">
        <f>SMALL(Table47[[#This Row],[Admission Year]:[Follow Up Visit Year]],5)</f>
        <v>2024</v>
      </c>
      <c r="T62">
        <f>SMALL(Table47[[#This Row],[Admission Year]:[Follow Up Visit Year]],6)</f>
        <v>2024</v>
      </c>
    </row>
    <row r="63" spans="1:20" x14ac:dyDescent="0.2">
      <c r="A63" t="s">
        <v>475</v>
      </c>
      <c r="B63" t="s">
        <v>476</v>
      </c>
      <c r="C63">
        <v>58</v>
      </c>
      <c r="D63" t="s">
        <v>160</v>
      </c>
      <c r="E63">
        <v>2024</v>
      </c>
      <c r="F63" t="s">
        <v>272</v>
      </c>
      <c r="G63">
        <v>2023</v>
      </c>
      <c r="H63">
        <v>2017</v>
      </c>
      <c r="I63" t="s">
        <v>272</v>
      </c>
      <c r="J63">
        <v>2022</v>
      </c>
      <c r="L63" t="b">
        <f t="shared" si="0"/>
        <v>0</v>
      </c>
      <c r="O63">
        <f>SMALL(Table47[[#This Row],[Admission Year]:[Follow Up Visit Year]],1)</f>
        <v>2017</v>
      </c>
      <c r="P63">
        <f>SMALL(Table47[[#This Row],[Admission Year]:[Follow Up Visit Year]],2)</f>
        <v>2022</v>
      </c>
      <c r="Q63">
        <f>SMALL(Table47[[#This Row],[Admission Year]:[Follow Up Visit Year]],3)</f>
        <v>2023</v>
      </c>
      <c r="R63">
        <f>SMALL(Table47[[#This Row],[Admission Year]:[Follow Up Visit Year]],4)</f>
        <v>2024</v>
      </c>
      <c r="S63" t="e">
        <f>SMALL(Table47[[#This Row],[Admission Year]:[Follow Up Visit Year]],5)</f>
        <v>#NUM!</v>
      </c>
      <c r="T63" t="e">
        <f>SMALL(Table47[[#This Row],[Admission Year]:[Follow Up Visit Year]],6)</f>
        <v>#NUM!</v>
      </c>
    </row>
    <row r="64" spans="1:20" x14ac:dyDescent="0.2">
      <c r="A64" t="s">
        <v>478</v>
      </c>
      <c r="B64" t="s">
        <v>479</v>
      </c>
      <c r="C64">
        <v>37</v>
      </c>
      <c r="D64" t="s">
        <v>146</v>
      </c>
      <c r="E64">
        <v>2024</v>
      </c>
      <c r="F64">
        <v>2024</v>
      </c>
      <c r="G64">
        <v>2023</v>
      </c>
      <c r="H64">
        <v>2019</v>
      </c>
      <c r="I64">
        <v>2024</v>
      </c>
      <c r="J64">
        <v>2022</v>
      </c>
      <c r="L64" t="b">
        <f t="shared" si="0"/>
        <v>0</v>
      </c>
      <c r="O64">
        <f>SMALL(Table47[[#This Row],[Admission Year]:[Follow Up Visit Year]],1)</f>
        <v>2019</v>
      </c>
      <c r="P64">
        <f>SMALL(Table47[[#This Row],[Admission Year]:[Follow Up Visit Year]],2)</f>
        <v>2022</v>
      </c>
      <c r="Q64">
        <f>SMALL(Table47[[#This Row],[Admission Year]:[Follow Up Visit Year]],3)</f>
        <v>2023</v>
      </c>
      <c r="R64">
        <f>SMALL(Table47[[#This Row],[Admission Year]:[Follow Up Visit Year]],4)</f>
        <v>2024</v>
      </c>
      <c r="S64">
        <f>SMALL(Table47[[#This Row],[Admission Year]:[Follow Up Visit Year]],5)</f>
        <v>2024</v>
      </c>
      <c r="T64">
        <f>SMALL(Table47[[#This Row],[Admission Year]:[Follow Up Visit Year]],6)</f>
        <v>2024</v>
      </c>
    </row>
    <row r="65" spans="1:20" x14ac:dyDescent="0.2">
      <c r="A65" t="s">
        <v>484</v>
      </c>
      <c r="B65" t="s">
        <v>485</v>
      </c>
      <c r="C65">
        <v>23</v>
      </c>
      <c r="D65" t="s">
        <v>160</v>
      </c>
      <c r="E65">
        <v>2024</v>
      </c>
      <c r="F65">
        <v>2023</v>
      </c>
      <c r="G65">
        <v>2023</v>
      </c>
      <c r="H65">
        <v>2019</v>
      </c>
      <c r="I65" t="s">
        <v>272</v>
      </c>
      <c r="J65">
        <v>2023</v>
      </c>
      <c r="L65" t="b">
        <f t="shared" si="0"/>
        <v>0</v>
      </c>
      <c r="O65">
        <f>SMALL(Table47[[#This Row],[Admission Year]:[Follow Up Visit Year]],1)</f>
        <v>2019</v>
      </c>
      <c r="P65">
        <f>SMALL(Table47[[#This Row],[Admission Year]:[Follow Up Visit Year]],2)</f>
        <v>2023</v>
      </c>
      <c r="Q65">
        <f>SMALL(Table47[[#This Row],[Admission Year]:[Follow Up Visit Year]],3)</f>
        <v>2023</v>
      </c>
      <c r="R65">
        <f>SMALL(Table47[[#This Row],[Admission Year]:[Follow Up Visit Year]],4)</f>
        <v>2023</v>
      </c>
      <c r="S65">
        <f>SMALL(Table47[[#This Row],[Admission Year]:[Follow Up Visit Year]],5)</f>
        <v>2024</v>
      </c>
      <c r="T65" t="e">
        <f>SMALL(Table47[[#This Row],[Admission Year]:[Follow Up Visit Year]],6)</f>
        <v>#NUM!</v>
      </c>
    </row>
    <row r="66" spans="1:20" x14ac:dyDescent="0.2">
      <c r="A66" t="s">
        <v>488</v>
      </c>
      <c r="B66" t="s">
        <v>489</v>
      </c>
      <c r="C66">
        <v>79</v>
      </c>
      <c r="D66" t="s">
        <v>146</v>
      </c>
      <c r="E66">
        <v>2024</v>
      </c>
      <c r="F66">
        <v>2023</v>
      </c>
      <c r="G66">
        <v>2024</v>
      </c>
      <c r="H66">
        <v>2019</v>
      </c>
      <c r="I66">
        <v>2023</v>
      </c>
      <c r="J66">
        <v>2003</v>
      </c>
      <c r="L66" t="b">
        <f t="shared" si="0"/>
        <v>0</v>
      </c>
      <c r="O66">
        <f>SMALL(Table47[[#This Row],[Admission Year]:[Follow Up Visit Year]],1)</f>
        <v>2003</v>
      </c>
      <c r="P66">
        <f>SMALL(Table47[[#This Row],[Admission Year]:[Follow Up Visit Year]],2)</f>
        <v>2019</v>
      </c>
      <c r="Q66">
        <f>SMALL(Table47[[#This Row],[Admission Year]:[Follow Up Visit Year]],3)</f>
        <v>2023</v>
      </c>
      <c r="R66">
        <f>SMALL(Table47[[#This Row],[Admission Year]:[Follow Up Visit Year]],4)</f>
        <v>2023</v>
      </c>
      <c r="S66">
        <f>SMALL(Table47[[#This Row],[Admission Year]:[Follow Up Visit Year]],5)</f>
        <v>2024</v>
      </c>
      <c r="T66">
        <f>SMALL(Table47[[#This Row],[Admission Year]:[Follow Up Visit Year]],6)</f>
        <v>2024</v>
      </c>
    </row>
    <row r="67" spans="1:20" x14ac:dyDescent="0.2">
      <c r="A67" t="s">
        <v>494</v>
      </c>
      <c r="B67" t="s">
        <v>961</v>
      </c>
      <c r="C67">
        <v>33</v>
      </c>
      <c r="D67" t="s">
        <v>146</v>
      </c>
      <c r="E67">
        <v>2023</v>
      </c>
      <c r="F67">
        <v>2023</v>
      </c>
      <c r="G67">
        <v>2024</v>
      </c>
      <c r="H67">
        <v>2017</v>
      </c>
      <c r="I67" t="s">
        <v>272</v>
      </c>
      <c r="J67">
        <v>2023</v>
      </c>
      <c r="L67" t="b">
        <f t="shared" si="0"/>
        <v>0</v>
      </c>
      <c r="O67">
        <f>SMALL(Table47[[#This Row],[Admission Year]:[Follow Up Visit Year]],1)</f>
        <v>2017</v>
      </c>
      <c r="P67">
        <f>SMALL(Table47[[#This Row],[Admission Year]:[Follow Up Visit Year]],2)</f>
        <v>2023</v>
      </c>
      <c r="Q67">
        <f>SMALL(Table47[[#This Row],[Admission Year]:[Follow Up Visit Year]],3)</f>
        <v>2023</v>
      </c>
      <c r="R67">
        <f>SMALL(Table47[[#This Row],[Admission Year]:[Follow Up Visit Year]],4)</f>
        <v>2023</v>
      </c>
      <c r="S67">
        <f>SMALL(Table47[[#This Row],[Admission Year]:[Follow Up Visit Year]],5)</f>
        <v>2024</v>
      </c>
      <c r="T67" t="e">
        <f>SMALL(Table47[[#This Row],[Admission Year]:[Follow Up Visit Year]],6)</f>
        <v>#NUM!</v>
      </c>
    </row>
    <row r="68" spans="1:20" x14ac:dyDescent="0.2">
      <c r="A68" t="s">
        <v>499</v>
      </c>
      <c r="B68" t="s">
        <v>500</v>
      </c>
      <c r="C68">
        <v>28</v>
      </c>
      <c r="D68" t="s">
        <v>146</v>
      </c>
      <c r="E68">
        <v>2023</v>
      </c>
      <c r="F68" t="s">
        <v>272</v>
      </c>
      <c r="G68">
        <v>2024</v>
      </c>
      <c r="H68">
        <v>2019</v>
      </c>
      <c r="I68">
        <v>2023</v>
      </c>
      <c r="J68">
        <v>2022</v>
      </c>
      <c r="L68" t="b">
        <f t="shared" ref="L68:L131" si="1">AND(E68&lt;&gt;"",F68&lt;&gt;"",G68&lt;&gt;"",H68&lt;&gt;"",I68&lt;&gt;"",J68&lt;&gt;"",E68&lt;=F68,F68&lt;=G68,G68&lt;=H68,H68&lt;=I68,I68&lt;=J68)</f>
        <v>0</v>
      </c>
      <c r="O68">
        <f>SMALL(Table47[[#This Row],[Admission Year]:[Follow Up Visit Year]],1)</f>
        <v>2019</v>
      </c>
      <c r="P68">
        <f>SMALL(Table47[[#This Row],[Admission Year]:[Follow Up Visit Year]],2)</f>
        <v>2022</v>
      </c>
      <c r="Q68">
        <f>SMALL(Table47[[#This Row],[Admission Year]:[Follow Up Visit Year]],3)</f>
        <v>2023</v>
      </c>
      <c r="R68">
        <f>SMALL(Table47[[#This Row],[Admission Year]:[Follow Up Visit Year]],4)</f>
        <v>2023</v>
      </c>
      <c r="S68">
        <f>SMALL(Table47[[#This Row],[Admission Year]:[Follow Up Visit Year]],5)</f>
        <v>2024</v>
      </c>
      <c r="T68" t="e">
        <f>SMALL(Table47[[#This Row],[Admission Year]:[Follow Up Visit Year]],6)</f>
        <v>#NUM!</v>
      </c>
    </row>
    <row r="69" spans="1:20" x14ac:dyDescent="0.2">
      <c r="A69" t="s">
        <v>503</v>
      </c>
      <c r="B69" t="s">
        <v>504</v>
      </c>
      <c r="C69">
        <v>43</v>
      </c>
      <c r="D69" t="s">
        <v>160</v>
      </c>
      <c r="E69">
        <v>2023</v>
      </c>
      <c r="F69">
        <v>2023</v>
      </c>
      <c r="G69">
        <v>2024</v>
      </c>
      <c r="H69">
        <v>2018</v>
      </c>
      <c r="I69">
        <v>2024</v>
      </c>
      <c r="J69">
        <v>2023</v>
      </c>
      <c r="L69" t="b">
        <f t="shared" si="1"/>
        <v>0</v>
      </c>
      <c r="O69">
        <f>SMALL(Table47[[#This Row],[Admission Year]:[Follow Up Visit Year]],1)</f>
        <v>2018</v>
      </c>
      <c r="P69">
        <f>SMALL(Table47[[#This Row],[Admission Year]:[Follow Up Visit Year]],2)</f>
        <v>2023</v>
      </c>
      <c r="Q69">
        <f>SMALL(Table47[[#This Row],[Admission Year]:[Follow Up Visit Year]],3)</f>
        <v>2023</v>
      </c>
      <c r="R69">
        <f>SMALL(Table47[[#This Row],[Admission Year]:[Follow Up Visit Year]],4)</f>
        <v>2023</v>
      </c>
      <c r="S69">
        <f>SMALL(Table47[[#This Row],[Admission Year]:[Follow Up Visit Year]],5)</f>
        <v>2024</v>
      </c>
      <c r="T69">
        <f>SMALL(Table47[[#This Row],[Admission Year]:[Follow Up Visit Year]],6)</f>
        <v>2024</v>
      </c>
    </row>
    <row r="70" spans="1:20" x14ac:dyDescent="0.2">
      <c r="A70" t="s">
        <v>509</v>
      </c>
      <c r="B70" t="s">
        <v>510</v>
      </c>
      <c r="C70">
        <v>72</v>
      </c>
      <c r="D70" t="s">
        <v>146</v>
      </c>
      <c r="E70">
        <v>2023</v>
      </c>
      <c r="F70">
        <v>2024</v>
      </c>
      <c r="G70">
        <v>2024</v>
      </c>
      <c r="H70">
        <v>2018</v>
      </c>
      <c r="I70" t="s">
        <v>272</v>
      </c>
      <c r="J70" t="s">
        <v>272</v>
      </c>
      <c r="L70" t="b">
        <f t="shared" si="1"/>
        <v>0</v>
      </c>
      <c r="O70">
        <f>SMALL(Table47[[#This Row],[Admission Year]:[Follow Up Visit Year]],1)</f>
        <v>2018</v>
      </c>
      <c r="P70">
        <f>SMALL(Table47[[#This Row],[Admission Year]:[Follow Up Visit Year]],2)</f>
        <v>2023</v>
      </c>
      <c r="Q70">
        <f>SMALL(Table47[[#This Row],[Admission Year]:[Follow Up Visit Year]],3)</f>
        <v>2024</v>
      </c>
      <c r="R70">
        <f>SMALL(Table47[[#This Row],[Admission Year]:[Follow Up Visit Year]],4)</f>
        <v>2024</v>
      </c>
      <c r="S70" t="e">
        <f>SMALL(Table47[[#This Row],[Admission Year]:[Follow Up Visit Year]],5)</f>
        <v>#NUM!</v>
      </c>
      <c r="T70" t="e">
        <f>SMALL(Table47[[#This Row],[Admission Year]:[Follow Up Visit Year]],6)</f>
        <v>#NUM!</v>
      </c>
    </row>
    <row r="71" spans="1:20" x14ac:dyDescent="0.2">
      <c r="A71" t="s">
        <v>515</v>
      </c>
      <c r="B71" t="s">
        <v>516</v>
      </c>
      <c r="C71">
        <v>21</v>
      </c>
      <c r="D71" t="s">
        <v>160</v>
      </c>
      <c r="E71">
        <v>2023</v>
      </c>
      <c r="F71">
        <v>2024</v>
      </c>
      <c r="G71">
        <v>2024</v>
      </c>
      <c r="H71">
        <v>2016</v>
      </c>
      <c r="I71">
        <v>2023</v>
      </c>
      <c r="J71">
        <v>2022</v>
      </c>
      <c r="L71" t="b">
        <f t="shared" si="1"/>
        <v>0</v>
      </c>
      <c r="O71">
        <f>SMALL(Table47[[#This Row],[Admission Year]:[Follow Up Visit Year]],1)</f>
        <v>2016</v>
      </c>
      <c r="P71">
        <f>SMALL(Table47[[#This Row],[Admission Year]:[Follow Up Visit Year]],2)</f>
        <v>2022</v>
      </c>
      <c r="Q71">
        <f>SMALL(Table47[[#This Row],[Admission Year]:[Follow Up Visit Year]],3)</f>
        <v>2023</v>
      </c>
      <c r="R71">
        <f>SMALL(Table47[[#This Row],[Admission Year]:[Follow Up Visit Year]],4)</f>
        <v>2023</v>
      </c>
      <c r="S71">
        <f>SMALL(Table47[[#This Row],[Admission Year]:[Follow Up Visit Year]],5)</f>
        <v>2024</v>
      </c>
      <c r="T71">
        <f>SMALL(Table47[[#This Row],[Admission Year]:[Follow Up Visit Year]],6)</f>
        <v>2024</v>
      </c>
    </row>
    <row r="72" spans="1:20" x14ac:dyDescent="0.2">
      <c r="A72" t="s">
        <v>519</v>
      </c>
      <c r="B72" t="s">
        <v>520</v>
      </c>
      <c r="C72">
        <v>79</v>
      </c>
      <c r="D72" t="s">
        <v>146</v>
      </c>
      <c r="E72">
        <v>2023</v>
      </c>
      <c r="F72">
        <v>2023</v>
      </c>
      <c r="G72">
        <v>2024</v>
      </c>
      <c r="H72">
        <v>2016</v>
      </c>
      <c r="I72">
        <v>2024</v>
      </c>
      <c r="J72">
        <v>2023</v>
      </c>
      <c r="L72" t="b">
        <f t="shared" si="1"/>
        <v>0</v>
      </c>
      <c r="O72">
        <f>SMALL(Table47[[#This Row],[Admission Year]:[Follow Up Visit Year]],1)</f>
        <v>2016</v>
      </c>
      <c r="P72">
        <f>SMALL(Table47[[#This Row],[Admission Year]:[Follow Up Visit Year]],2)</f>
        <v>2023</v>
      </c>
      <c r="Q72">
        <f>SMALL(Table47[[#This Row],[Admission Year]:[Follow Up Visit Year]],3)</f>
        <v>2023</v>
      </c>
      <c r="R72">
        <f>SMALL(Table47[[#This Row],[Admission Year]:[Follow Up Visit Year]],4)</f>
        <v>2023</v>
      </c>
      <c r="S72">
        <f>SMALL(Table47[[#This Row],[Admission Year]:[Follow Up Visit Year]],5)</f>
        <v>2024</v>
      </c>
      <c r="T72">
        <f>SMALL(Table47[[#This Row],[Admission Year]:[Follow Up Visit Year]],6)</f>
        <v>2024</v>
      </c>
    </row>
    <row r="73" spans="1:20" x14ac:dyDescent="0.2">
      <c r="A73" t="s">
        <v>524</v>
      </c>
      <c r="B73" t="s">
        <v>962</v>
      </c>
      <c r="C73">
        <v>63</v>
      </c>
      <c r="D73" t="s">
        <v>146</v>
      </c>
      <c r="E73">
        <v>2024</v>
      </c>
      <c r="F73">
        <v>2017</v>
      </c>
      <c r="G73">
        <v>2023</v>
      </c>
      <c r="H73">
        <v>2016</v>
      </c>
      <c r="I73" t="s">
        <v>272</v>
      </c>
      <c r="J73">
        <v>2020</v>
      </c>
      <c r="L73" t="b">
        <f t="shared" si="1"/>
        <v>0</v>
      </c>
      <c r="O73">
        <f>SMALL(Table47[[#This Row],[Admission Year]:[Follow Up Visit Year]],1)</f>
        <v>2016</v>
      </c>
      <c r="P73">
        <f>SMALL(Table47[[#This Row],[Admission Year]:[Follow Up Visit Year]],2)</f>
        <v>2017</v>
      </c>
      <c r="Q73">
        <f>SMALL(Table47[[#This Row],[Admission Year]:[Follow Up Visit Year]],3)</f>
        <v>2020</v>
      </c>
      <c r="R73">
        <f>SMALL(Table47[[#This Row],[Admission Year]:[Follow Up Visit Year]],4)</f>
        <v>2023</v>
      </c>
      <c r="S73">
        <f>SMALL(Table47[[#This Row],[Admission Year]:[Follow Up Visit Year]],5)</f>
        <v>2024</v>
      </c>
      <c r="T73" t="e">
        <f>SMALL(Table47[[#This Row],[Admission Year]:[Follow Up Visit Year]],6)</f>
        <v>#NUM!</v>
      </c>
    </row>
    <row r="74" spans="1:20" x14ac:dyDescent="0.2">
      <c r="A74" t="s">
        <v>528</v>
      </c>
      <c r="B74" t="s">
        <v>529</v>
      </c>
      <c r="C74">
        <v>27</v>
      </c>
      <c r="D74" t="s">
        <v>146</v>
      </c>
      <c r="E74">
        <v>2024</v>
      </c>
      <c r="F74">
        <v>2023</v>
      </c>
      <c r="G74">
        <v>2024</v>
      </c>
      <c r="H74">
        <v>2016</v>
      </c>
      <c r="I74" t="s">
        <v>272</v>
      </c>
      <c r="J74">
        <v>2022</v>
      </c>
      <c r="L74" t="b">
        <f t="shared" si="1"/>
        <v>0</v>
      </c>
      <c r="O74">
        <f>SMALL(Table47[[#This Row],[Admission Year]:[Follow Up Visit Year]],1)</f>
        <v>2016</v>
      </c>
      <c r="P74">
        <f>SMALL(Table47[[#This Row],[Admission Year]:[Follow Up Visit Year]],2)</f>
        <v>2022</v>
      </c>
      <c r="Q74">
        <f>SMALL(Table47[[#This Row],[Admission Year]:[Follow Up Visit Year]],3)</f>
        <v>2023</v>
      </c>
      <c r="R74">
        <f>SMALL(Table47[[#This Row],[Admission Year]:[Follow Up Visit Year]],4)</f>
        <v>2024</v>
      </c>
      <c r="S74">
        <f>SMALL(Table47[[#This Row],[Admission Year]:[Follow Up Visit Year]],5)</f>
        <v>2024</v>
      </c>
      <c r="T74" t="e">
        <f>SMALL(Table47[[#This Row],[Admission Year]:[Follow Up Visit Year]],6)</f>
        <v>#NUM!</v>
      </c>
    </row>
    <row r="75" spans="1:20" x14ac:dyDescent="0.2">
      <c r="A75" t="s">
        <v>533</v>
      </c>
      <c r="B75" t="s">
        <v>534</v>
      </c>
      <c r="C75">
        <v>66</v>
      </c>
      <c r="D75" t="s">
        <v>160</v>
      </c>
      <c r="E75">
        <v>2023</v>
      </c>
      <c r="F75" t="s">
        <v>272</v>
      </c>
      <c r="G75">
        <v>2023</v>
      </c>
      <c r="H75">
        <v>2017</v>
      </c>
      <c r="I75" t="s">
        <v>272</v>
      </c>
      <c r="J75">
        <v>2022</v>
      </c>
      <c r="L75" t="b">
        <f t="shared" si="1"/>
        <v>0</v>
      </c>
      <c r="O75">
        <f>SMALL(Table47[[#This Row],[Admission Year]:[Follow Up Visit Year]],1)</f>
        <v>2017</v>
      </c>
      <c r="P75">
        <f>SMALL(Table47[[#This Row],[Admission Year]:[Follow Up Visit Year]],2)</f>
        <v>2022</v>
      </c>
      <c r="Q75">
        <f>SMALL(Table47[[#This Row],[Admission Year]:[Follow Up Visit Year]],3)</f>
        <v>2023</v>
      </c>
      <c r="R75">
        <f>SMALL(Table47[[#This Row],[Admission Year]:[Follow Up Visit Year]],4)</f>
        <v>2023</v>
      </c>
      <c r="S75" t="e">
        <f>SMALL(Table47[[#This Row],[Admission Year]:[Follow Up Visit Year]],5)</f>
        <v>#NUM!</v>
      </c>
      <c r="T75" t="e">
        <f>SMALL(Table47[[#This Row],[Admission Year]:[Follow Up Visit Year]],6)</f>
        <v>#NUM!</v>
      </c>
    </row>
    <row r="76" spans="1:20" x14ac:dyDescent="0.2">
      <c r="A76" t="s">
        <v>537</v>
      </c>
      <c r="B76" t="s">
        <v>538</v>
      </c>
      <c r="C76">
        <v>54</v>
      </c>
      <c r="D76" t="s">
        <v>160</v>
      </c>
      <c r="E76">
        <v>2023</v>
      </c>
      <c r="F76">
        <v>2023</v>
      </c>
      <c r="G76">
        <v>2023</v>
      </c>
      <c r="H76">
        <v>2017</v>
      </c>
      <c r="I76">
        <v>2024</v>
      </c>
      <c r="J76">
        <v>2023</v>
      </c>
      <c r="L76" t="b">
        <f t="shared" si="1"/>
        <v>0</v>
      </c>
      <c r="O76">
        <f>SMALL(Table47[[#This Row],[Admission Year]:[Follow Up Visit Year]],1)</f>
        <v>2017</v>
      </c>
      <c r="P76">
        <f>SMALL(Table47[[#This Row],[Admission Year]:[Follow Up Visit Year]],2)</f>
        <v>2023</v>
      </c>
      <c r="Q76">
        <f>SMALL(Table47[[#This Row],[Admission Year]:[Follow Up Visit Year]],3)</f>
        <v>2023</v>
      </c>
      <c r="R76">
        <f>SMALL(Table47[[#This Row],[Admission Year]:[Follow Up Visit Year]],4)</f>
        <v>2023</v>
      </c>
      <c r="S76">
        <f>SMALL(Table47[[#This Row],[Admission Year]:[Follow Up Visit Year]],5)</f>
        <v>2023</v>
      </c>
      <c r="T76">
        <f>SMALL(Table47[[#This Row],[Admission Year]:[Follow Up Visit Year]],6)</f>
        <v>2024</v>
      </c>
    </row>
    <row r="77" spans="1:20" x14ac:dyDescent="0.2">
      <c r="A77" t="s">
        <v>543</v>
      </c>
      <c r="B77" t="s">
        <v>544</v>
      </c>
      <c r="C77">
        <v>55</v>
      </c>
      <c r="D77" t="s">
        <v>160</v>
      </c>
      <c r="E77">
        <v>2024</v>
      </c>
      <c r="F77">
        <v>2024</v>
      </c>
      <c r="G77">
        <v>2024</v>
      </c>
      <c r="H77">
        <v>2018</v>
      </c>
      <c r="I77">
        <v>2023</v>
      </c>
      <c r="J77">
        <v>2020</v>
      </c>
      <c r="L77" t="b">
        <f t="shared" si="1"/>
        <v>0</v>
      </c>
      <c r="O77">
        <f>SMALL(Table47[[#This Row],[Admission Year]:[Follow Up Visit Year]],1)</f>
        <v>2018</v>
      </c>
      <c r="P77">
        <f>SMALL(Table47[[#This Row],[Admission Year]:[Follow Up Visit Year]],2)</f>
        <v>2020</v>
      </c>
      <c r="Q77">
        <f>SMALL(Table47[[#This Row],[Admission Year]:[Follow Up Visit Year]],3)</f>
        <v>2023</v>
      </c>
      <c r="R77">
        <f>SMALL(Table47[[#This Row],[Admission Year]:[Follow Up Visit Year]],4)</f>
        <v>2024</v>
      </c>
      <c r="S77">
        <f>SMALL(Table47[[#This Row],[Admission Year]:[Follow Up Visit Year]],5)</f>
        <v>2024</v>
      </c>
      <c r="T77">
        <f>SMALL(Table47[[#This Row],[Admission Year]:[Follow Up Visit Year]],6)</f>
        <v>2024</v>
      </c>
    </row>
    <row r="78" spans="1:20" x14ac:dyDescent="0.2">
      <c r="A78" t="s">
        <v>548</v>
      </c>
      <c r="B78" t="s">
        <v>549</v>
      </c>
      <c r="C78">
        <v>69</v>
      </c>
      <c r="D78" t="s">
        <v>160</v>
      </c>
      <c r="E78">
        <v>2024</v>
      </c>
      <c r="F78">
        <v>2023</v>
      </c>
      <c r="G78">
        <v>2023</v>
      </c>
      <c r="H78">
        <v>2018</v>
      </c>
      <c r="I78">
        <v>2024</v>
      </c>
      <c r="J78">
        <v>2024</v>
      </c>
      <c r="L78" t="b">
        <f t="shared" si="1"/>
        <v>0</v>
      </c>
      <c r="O78">
        <f>SMALL(Table47[[#This Row],[Admission Year]:[Follow Up Visit Year]],1)</f>
        <v>2018</v>
      </c>
      <c r="P78">
        <f>SMALL(Table47[[#This Row],[Admission Year]:[Follow Up Visit Year]],2)</f>
        <v>2023</v>
      </c>
      <c r="Q78">
        <f>SMALL(Table47[[#This Row],[Admission Year]:[Follow Up Visit Year]],3)</f>
        <v>2023</v>
      </c>
      <c r="R78">
        <f>SMALL(Table47[[#This Row],[Admission Year]:[Follow Up Visit Year]],4)</f>
        <v>2024</v>
      </c>
      <c r="S78">
        <f>SMALL(Table47[[#This Row],[Admission Year]:[Follow Up Visit Year]],5)</f>
        <v>2024</v>
      </c>
      <c r="T78">
        <f>SMALL(Table47[[#This Row],[Admission Year]:[Follow Up Visit Year]],6)</f>
        <v>2024</v>
      </c>
    </row>
    <row r="79" spans="1:20" x14ac:dyDescent="0.2">
      <c r="A79" t="s">
        <v>553</v>
      </c>
      <c r="B79" t="s">
        <v>554</v>
      </c>
      <c r="C79">
        <v>23</v>
      </c>
      <c r="D79" t="s">
        <v>146</v>
      </c>
      <c r="E79">
        <v>2024</v>
      </c>
      <c r="F79">
        <v>2023</v>
      </c>
      <c r="G79">
        <v>2024</v>
      </c>
      <c r="H79">
        <v>2018</v>
      </c>
      <c r="I79">
        <v>2023</v>
      </c>
      <c r="J79" t="s">
        <v>272</v>
      </c>
      <c r="L79" t="b">
        <f t="shared" si="1"/>
        <v>0</v>
      </c>
      <c r="O79">
        <f>SMALL(Table47[[#This Row],[Admission Year]:[Follow Up Visit Year]],1)</f>
        <v>2018</v>
      </c>
      <c r="P79">
        <f>SMALL(Table47[[#This Row],[Admission Year]:[Follow Up Visit Year]],2)</f>
        <v>2023</v>
      </c>
      <c r="Q79">
        <f>SMALL(Table47[[#This Row],[Admission Year]:[Follow Up Visit Year]],3)</f>
        <v>2023</v>
      </c>
      <c r="R79">
        <f>SMALL(Table47[[#This Row],[Admission Year]:[Follow Up Visit Year]],4)</f>
        <v>2024</v>
      </c>
      <c r="S79">
        <f>SMALL(Table47[[#This Row],[Admission Year]:[Follow Up Visit Year]],5)</f>
        <v>2024</v>
      </c>
      <c r="T79" t="e">
        <f>SMALL(Table47[[#This Row],[Admission Year]:[Follow Up Visit Year]],6)</f>
        <v>#NUM!</v>
      </c>
    </row>
    <row r="80" spans="1:20" x14ac:dyDescent="0.2">
      <c r="A80" t="s">
        <v>559</v>
      </c>
      <c r="B80" t="s">
        <v>560</v>
      </c>
      <c r="C80">
        <v>22</v>
      </c>
      <c r="D80" t="s">
        <v>146</v>
      </c>
      <c r="E80">
        <v>2024</v>
      </c>
      <c r="F80">
        <v>2024</v>
      </c>
      <c r="G80">
        <v>2024</v>
      </c>
      <c r="H80">
        <v>2018</v>
      </c>
      <c r="I80" t="s">
        <v>272</v>
      </c>
      <c r="J80">
        <v>2023</v>
      </c>
      <c r="L80" t="b">
        <f t="shared" si="1"/>
        <v>0</v>
      </c>
      <c r="O80">
        <f>SMALL(Table47[[#This Row],[Admission Year]:[Follow Up Visit Year]],1)</f>
        <v>2018</v>
      </c>
      <c r="P80">
        <f>SMALL(Table47[[#This Row],[Admission Year]:[Follow Up Visit Year]],2)</f>
        <v>2023</v>
      </c>
      <c r="Q80">
        <f>SMALL(Table47[[#This Row],[Admission Year]:[Follow Up Visit Year]],3)</f>
        <v>2024</v>
      </c>
      <c r="R80">
        <f>SMALL(Table47[[#This Row],[Admission Year]:[Follow Up Visit Year]],4)</f>
        <v>2024</v>
      </c>
      <c r="S80">
        <f>SMALL(Table47[[#This Row],[Admission Year]:[Follow Up Visit Year]],5)</f>
        <v>2024</v>
      </c>
      <c r="T80" t="e">
        <f>SMALL(Table47[[#This Row],[Admission Year]:[Follow Up Visit Year]],6)</f>
        <v>#NUM!</v>
      </c>
    </row>
    <row r="81" spans="1:20" x14ac:dyDescent="0.2">
      <c r="A81" t="s">
        <v>563</v>
      </c>
      <c r="B81" t="s">
        <v>963</v>
      </c>
      <c r="C81">
        <v>21</v>
      </c>
      <c r="D81" t="s">
        <v>146</v>
      </c>
      <c r="E81">
        <v>2024</v>
      </c>
      <c r="F81">
        <v>2024</v>
      </c>
      <c r="G81">
        <v>2024</v>
      </c>
      <c r="H81">
        <v>2018</v>
      </c>
      <c r="I81">
        <v>2023</v>
      </c>
      <c r="J81">
        <v>2024</v>
      </c>
      <c r="L81" t="b">
        <f t="shared" si="1"/>
        <v>0</v>
      </c>
      <c r="O81">
        <f>SMALL(Table47[[#This Row],[Admission Year]:[Follow Up Visit Year]],1)</f>
        <v>2018</v>
      </c>
      <c r="P81">
        <f>SMALL(Table47[[#This Row],[Admission Year]:[Follow Up Visit Year]],2)</f>
        <v>2023</v>
      </c>
      <c r="Q81">
        <f>SMALL(Table47[[#This Row],[Admission Year]:[Follow Up Visit Year]],3)</f>
        <v>2024</v>
      </c>
      <c r="R81">
        <f>SMALL(Table47[[#This Row],[Admission Year]:[Follow Up Visit Year]],4)</f>
        <v>2024</v>
      </c>
      <c r="S81">
        <f>SMALL(Table47[[#This Row],[Admission Year]:[Follow Up Visit Year]],5)</f>
        <v>2024</v>
      </c>
      <c r="T81">
        <f>SMALL(Table47[[#This Row],[Admission Year]:[Follow Up Visit Year]],6)</f>
        <v>2024</v>
      </c>
    </row>
    <row r="82" spans="1:20" x14ac:dyDescent="0.2">
      <c r="A82" t="s">
        <v>569</v>
      </c>
      <c r="B82" t="s">
        <v>570</v>
      </c>
      <c r="C82">
        <v>25</v>
      </c>
      <c r="D82" t="s">
        <v>160</v>
      </c>
      <c r="E82">
        <v>2023</v>
      </c>
      <c r="F82">
        <v>2023</v>
      </c>
      <c r="G82">
        <v>2023</v>
      </c>
      <c r="H82">
        <v>2016</v>
      </c>
      <c r="I82">
        <v>2024</v>
      </c>
      <c r="J82">
        <v>2022</v>
      </c>
      <c r="L82" t="b">
        <f t="shared" si="1"/>
        <v>0</v>
      </c>
      <c r="O82">
        <f>SMALL(Table47[[#This Row],[Admission Year]:[Follow Up Visit Year]],1)</f>
        <v>2016</v>
      </c>
      <c r="P82">
        <f>SMALL(Table47[[#This Row],[Admission Year]:[Follow Up Visit Year]],2)</f>
        <v>2022</v>
      </c>
      <c r="Q82">
        <f>SMALL(Table47[[#This Row],[Admission Year]:[Follow Up Visit Year]],3)</f>
        <v>2023</v>
      </c>
      <c r="R82">
        <f>SMALL(Table47[[#This Row],[Admission Year]:[Follow Up Visit Year]],4)</f>
        <v>2023</v>
      </c>
      <c r="S82">
        <f>SMALL(Table47[[#This Row],[Admission Year]:[Follow Up Visit Year]],5)</f>
        <v>2023</v>
      </c>
      <c r="T82">
        <f>SMALL(Table47[[#This Row],[Admission Year]:[Follow Up Visit Year]],6)</f>
        <v>2024</v>
      </c>
    </row>
    <row r="83" spans="1:20" x14ac:dyDescent="0.2">
      <c r="A83" t="s">
        <v>574</v>
      </c>
      <c r="B83" t="s">
        <v>575</v>
      </c>
      <c r="C83">
        <v>73</v>
      </c>
      <c r="D83" t="s">
        <v>146</v>
      </c>
      <c r="E83">
        <v>2023</v>
      </c>
      <c r="F83">
        <v>2024</v>
      </c>
      <c r="G83">
        <v>2024</v>
      </c>
      <c r="H83">
        <v>2016</v>
      </c>
      <c r="I83" t="s">
        <v>272</v>
      </c>
      <c r="J83">
        <v>2020</v>
      </c>
      <c r="L83" t="b">
        <f t="shared" si="1"/>
        <v>0</v>
      </c>
      <c r="O83">
        <f>SMALL(Table47[[#This Row],[Admission Year]:[Follow Up Visit Year]],1)</f>
        <v>2016</v>
      </c>
      <c r="P83">
        <f>SMALL(Table47[[#This Row],[Admission Year]:[Follow Up Visit Year]],2)</f>
        <v>2020</v>
      </c>
      <c r="Q83">
        <f>SMALL(Table47[[#This Row],[Admission Year]:[Follow Up Visit Year]],3)</f>
        <v>2023</v>
      </c>
      <c r="R83">
        <f>SMALL(Table47[[#This Row],[Admission Year]:[Follow Up Visit Year]],4)</f>
        <v>2024</v>
      </c>
      <c r="S83">
        <f>SMALL(Table47[[#This Row],[Admission Year]:[Follow Up Visit Year]],5)</f>
        <v>2024</v>
      </c>
      <c r="T83" t="e">
        <f>SMALL(Table47[[#This Row],[Admission Year]:[Follow Up Visit Year]],6)</f>
        <v>#NUM!</v>
      </c>
    </row>
    <row r="84" spans="1:20" x14ac:dyDescent="0.2">
      <c r="A84" t="s">
        <v>579</v>
      </c>
      <c r="B84" t="s">
        <v>580</v>
      </c>
      <c r="C84">
        <v>23</v>
      </c>
      <c r="D84" t="s">
        <v>146</v>
      </c>
      <c r="E84" t="s">
        <v>272</v>
      </c>
      <c r="F84">
        <v>2023</v>
      </c>
      <c r="G84">
        <v>2023</v>
      </c>
      <c r="H84">
        <v>2019</v>
      </c>
      <c r="I84">
        <v>2024</v>
      </c>
      <c r="J84" t="s">
        <v>272</v>
      </c>
      <c r="L84" t="b">
        <f t="shared" si="1"/>
        <v>0</v>
      </c>
      <c r="O84">
        <f>SMALL(Table47[[#This Row],[Admission Year]:[Follow Up Visit Year]],1)</f>
        <v>2019</v>
      </c>
      <c r="P84">
        <f>SMALL(Table47[[#This Row],[Admission Year]:[Follow Up Visit Year]],2)</f>
        <v>2023</v>
      </c>
      <c r="Q84">
        <f>SMALL(Table47[[#This Row],[Admission Year]:[Follow Up Visit Year]],3)</f>
        <v>2023</v>
      </c>
      <c r="R84">
        <f>SMALL(Table47[[#This Row],[Admission Year]:[Follow Up Visit Year]],4)</f>
        <v>2024</v>
      </c>
      <c r="S84" t="e">
        <f>SMALL(Table47[[#This Row],[Admission Year]:[Follow Up Visit Year]],5)</f>
        <v>#NUM!</v>
      </c>
      <c r="T84" t="e">
        <f>SMALL(Table47[[#This Row],[Admission Year]:[Follow Up Visit Year]],6)</f>
        <v>#NUM!</v>
      </c>
    </row>
    <row r="85" spans="1:20" x14ac:dyDescent="0.2">
      <c r="A85" t="s">
        <v>583</v>
      </c>
      <c r="B85" t="s">
        <v>584</v>
      </c>
      <c r="C85">
        <v>73</v>
      </c>
      <c r="D85" t="s">
        <v>146</v>
      </c>
      <c r="E85">
        <v>2023</v>
      </c>
      <c r="F85">
        <v>2017</v>
      </c>
      <c r="G85">
        <v>2024</v>
      </c>
      <c r="H85">
        <v>2019</v>
      </c>
      <c r="I85">
        <v>2024</v>
      </c>
      <c r="J85">
        <v>2023</v>
      </c>
      <c r="L85" t="b">
        <f t="shared" si="1"/>
        <v>0</v>
      </c>
      <c r="O85">
        <f>SMALL(Table47[[#This Row],[Admission Year]:[Follow Up Visit Year]],1)</f>
        <v>2017</v>
      </c>
      <c r="P85">
        <f>SMALL(Table47[[#This Row],[Admission Year]:[Follow Up Visit Year]],2)</f>
        <v>2019</v>
      </c>
      <c r="Q85">
        <f>SMALL(Table47[[#This Row],[Admission Year]:[Follow Up Visit Year]],3)</f>
        <v>2023</v>
      </c>
      <c r="R85">
        <f>SMALL(Table47[[#This Row],[Admission Year]:[Follow Up Visit Year]],4)</f>
        <v>2023</v>
      </c>
      <c r="S85">
        <f>SMALL(Table47[[#This Row],[Admission Year]:[Follow Up Visit Year]],5)</f>
        <v>2024</v>
      </c>
      <c r="T85">
        <f>SMALL(Table47[[#This Row],[Admission Year]:[Follow Up Visit Year]],6)</f>
        <v>2024</v>
      </c>
    </row>
    <row r="86" spans="1:20" x14ac:dyDescent="0.2">
      <c r="A86" t="s">
        <v>588</v>
      </c>
      <c r="B86" t="s">
        <v>589</v>
      </c>
      <c r="C86">
        <v>82</v>
      </c>
      <c r="D86" t="s">
        <v>160</v>
      </c>
      <c r="E86">
        <v>2023</v>
      </c>
      <c r="F86">
        <v>2016</v>
      </c>
      <c r="G86">
        <v>2024</v>
      </c>
      <c r="H86">
        <v>2018</v>
      </c>
      <c r="I86" t="s">
        <v>272</v>
      </c>
      <c r="J86">
        <v>2024</v>
      </c>
      <c r="L86" t="b">
        <f t="shared" si="1"/>
        <v>0</v>
      </c>
      <c r="O86">
        <f>SMALL(Table47[[#This Row],[Admission Year]:[Follow Up Visit Year]],1)</f>
        <v>2016</v>
      </c>
      <c r="P86">
        <f>SMALL(Table47[[#This Row],[Admission Year]:[Follow Up Visit Year]],2)</f>
        <v>2018</v>
      </c>
      <c r="Q86">
        <f>SMALL(Table47[[#This Row],[Admission Year]:[Follow Up Visit Year]],3)</f>
        <v>2023</v>
      </c>
      <c r="R86">
        <f>SMALL(Table47[[#This Row],[Admission Year]:[Follow Up Visit Year]],4)</f>
        <v>2024</v>
      </c>
      <c r="S86">
        <f>SMALL(Table47[[#This Row],[Admission Year]:[Follow Up Visit Year]],5)</f>
        <v>2024</v>
      </c>
      <c r="T86" t="e">
        <f>SMALL(Table47[[#This Row],[Admission Year]:[Follow Up Visit Year]],6)</f>
        <v>#NUM!</v>
      </c>
    </row>
    <row r="87" spans="1:20" x14ac:dyDescent="0.2">
      <c r="A87" t="s">
        <v>593</v>
      </c>
      <c r="B87" t="s">
        <v>594</v>
      </c>
      <c r="C87">
        <v>37</v>
      </c>
      <c r="D87" t="s">
        <v>160</v>
      </c>
      <c r="E87">
        <v>2023</v>
      </c>
      <c r="F87">
        <v>2023</v>
      </c>
      <c r="G87">
        <v>2023</v>
      </c>
      <c r="H87">
        <v>2018</v>
      </c>
      <c r="I87">
        <v>2024</v>
      </c>
      <c r="J87">
        <v>2023</v>
      </c>
      <c r="L87" t="b">
        <f t="shared" si="1"/>
        <v>0</v>
      </c>
      <c r="O87">
        <f>SMALL(Table47[[#This Row],[Admission Year]:[Follow Up Visit Year]],1)</f>
        <v>2018</v>
      </c>
      <c r="P87">
        <f>SMALL(Table47[[#This Row],[Admission Year]:[Follow Up Visit Year]],2)</f>
        <v>2023</v>
      </c>
      <c r="Q87">
        <f>SMALL(Table47[[#This Row],[Admission Year]:[Follow Up Visit Year]],3)</f>
        <v>2023</v>
      </c>
      <c r="R87">
        <f>SMALL(Table47[[#This Row],[Admission Year]:[Follow Up Visit Year]],4)</f>
        <v>2023</v>
      </c>
      <c r="S87">
        <f>SMALL(Table47[[#This Row],[Admission Year]:[Follow Up Visit Year]],5)</f>
        <v>2023</v>
      </c>
      <c r="T87">
        <f>SMALL(Table47[[#This Row],[Admission Year]:[Follow Up Visit Year]],6)</f>
        <v>2024</v>
      </c>
    </row>
    <row r="88" spans="1:20" x14ac:dyDescent="0.2">
      <c r="A88" t="s">
        <v>598</v>
      </c>
      <c r="B88" t="s">
        <v>599</v>
      </c>
      <c r="C88">
        <v>63</v>
      </c>
      <c r="D88" t="s">
        <v>146</v>
      </c>
      <c r="E88">
        <v>2023</v>
      </c>
      <c r="F88">
        <v>2023</v>
      </c>
      <c r="G88">
        <v>2023</v>
      </c>
      <c r="H88">
        <v>2019</v>
      </c>
      <c r="I88">
        <v>2023</v>
      </c>
      <c r="J88" t="s">
        <v>272</v>
      </c>
      <c r="L88" t="b">
        <f t="shared" si="1"/>
        <v>0</v>
      </c>
      <c r="O88">
        <f>SMALL(Table47[[#This Row],[Admission Year]:[Follow Up Visit Year]],1)</f>
        <v>2019</v>
      </c>
      <c r="P88">
        <f>SMALL(Table47[[#This Row],[Admission Year]:[Follow Up Visit Year]],2)</f>
        <v>2023</v>
      </c>
      <c r="Q88">
        <f>SMALL(Table47[[#This Row],[Admission Year]:[Follow Up Visit Year]],3)</f>
        <v>2023</v>
      </c>
      <c r="R88">
        <f>SMALL(Table47[[#This Row],[Admission Year]:[Follow Up Visit Year]],4)</f>
        <v>2023</v>
      </c>
      <c r="S88">
        <f>SMALL(Table47[[#This Row],[Admission Year]:[Follow Up Visit Year]],5)</f>
        <v>2023</v>
      </c>
      <c r="T88" t="e">
        <f>SMALL(Table47[[#This Row],[Admission Year]:[Follow Up Visit Year]],6)</f>
        <v>#NUM!</v>
      </c>
    </row>
    <row r="89" spans="1:20" x14ac:dyDescent="0.2">
      <c r="A89" t="s">
        <v>602</v>
      </c>
      <c r="B89" t="s">
        <v>603</v>
      </c>
      <c r="C89">
        <v>53</v>
      </c>
      <c r="D89" t="s">
        <v>160</v>
      </c>
      <c r="E89">
        <v>2023</v>
      </c>
      <c r="F89">
        <v>2024</v>
      </c>
      <c r="G89">
        <v>2023</v>
      </c>
      <c r="H89">
        <v>2019</v>
      </c>
      <c r="I89">
        <v>2024</v>
      </c>
      <c r="J89">
        <v>2022</v>
      </c>
      <c r="L89" t="b">
        <f t="shared" si="1"/>
        <v>0</v>
      </c>
      <c r="O89">
        <f>SMALL(Table47[[#This Row],[Admission Year]:[Follow Up Visit Year]],1)</f>
        <v>2019</v>
      </c>
      <c r="P89">
        <f>SMALL(Table47[[#This Row],[Admission Year]:[Follow Up Visit Year]],2)</f>
        <v>2022</v>
      </c>
      <c r="Q89">
        <f>SMALL(Table47[[#This Row],[Admission Year]:[Follow Up Visit Year]],3)</f>
        <v>2023</v>
      </c>
      <c r="R89">
        <f>SMALL(Table47[[#This Row],[Admission Year]:[Follow Up Visit Year]],4)</f>
        <v>2023</v>
      </c>
      <c r="S89">
        <f>SMALL(Table47[[#This Row],[Admission Year]:[Follow Up Visit Year]],5)</f>
        <v>2024</v>
      </c>
      <c r="T89">
        <f>SMALL(Table47[[#This Row],[Admission Year]:[Follow Up Visit Year]],6)</f>
        <v>2024</v>
      </c>
    </row>
    <row r="90" spans="1:20" x14ac:dyDescent="0.2">
      <c r="A90" t="s">
        <v>607</v>
      </c>
      <c r="B90" t="s">
        <v>608</v>
      </c>
      <c r="C90">
        <v>81</v>
      </c>
      <c r="D90" t="s">
        <v>160</v>
      </c>
      <c r="E90">
        <v>2023</v>
      </c>
      <c r="F90">
        <v>2024</v>
      </c>
      <c r="G90">
        <v>2024</v>
      </c>
      <c r="H90">
        <v>2019</v>
      </c>
      <c r="I90">
        <v>2023</v>
      </c>
      <c r="J90">
        <v>2023</v>
      </c>
      <c r="L90" t="b">
        <f t="shared" si="1"/>
        <v>0</v>
      </c>
      <c r="O90">
        <f>SMALL(Table47[[#This Row],[Admission Year]:[Follow Up Visit Year]],1)</f>
        <v>2019</v>
      </c>
      <c r="P90">
        <f>SMALL(Table47[[#This Row],[Admission Year]:[Follow Up Visit Year]],2)</f>
        <v>2023</v>
      </c>
      <c r="Q90">
        <f>SMALL(Table47[[#This Row],[Admission Year]:[Follow Up Visit Year]],3)</f>
        <v>2023</v>
      </c>
      <c r="R90">
        <f>SMALL(Table47[[#This Row],[Admission Year]:[Follow Up Visit Year]],4)</f>
        <v>2023</v>
      </c>
      <c r="S90">
        <f>SMALL(Table47[[#This Row],[Admission Year]:[Follow Up Visit Year]],5)</f>
        <v>2024</v>
      </c>
      <c r="T90">
        <f>SMALL(Table47[[#This Row],[Admission Year]:[Follow Up Visit Year]],6)</f>
        <v>2024</v>
      </c>
    </row>
    <row r="91" spans="1:20" x14ac:dyDescent="0.2">
      <c r="A91" t="s">
        <v>612</v>
      </c>
      <c r="B91" t="s">
        <v>964</v>
      </c>
      <c r="C91">
        <v>41</v>
      </c>
      <c r="D91" t="s">
        <v>146</v>
      </c>
      <c r="E91">
        <v>2023</v>
      </c>
      <c r="F91">
        <v>2018</v>
      </c>
      <c r="G91">
        <v>2024</v>
      </c>
      <c r="H91">
        <v>2018</v>
      </c>
      <c r="I91">
        <v>2023</v>
      </c>
      <c r="J91">
        <v>2020</v>
      </c>
      <c r="L91" t="b">
        <f t="shared" si="1"/>
        <v>0</v>
      </c>
      <c r="O91">
        <f>SMALL(Table47[[#This Row],[Admission Year]:[Follow Up Visit Year]],1)</f>
        <v>2018</v>
      </c>
      <c r="P91">
        <f>SMALL(Table47[[#This Row],[Admission Year]:[Follow Up Visit Year]],2)</f>
        <v>2018</v>
      </c>
      <c r="Q91">
        <f>SMALL(Table47[[#This Row],[Admission Year]:[Follow Up Visit Year]],3)</f>
        <v>2020</v>
      </c>
      <c r="R91">
        <f>SMALL(Table47[[#This Row],[Admission Year]:[Follow Up Visit Year]],4)</f>
        <v>2023</v>
      </c>
      <c r="S91">
        <f>SMALL(Table47[[#This Row],[Admission Year]:[Follow Up Visit Year]],5)</f>
        <v>2023</v>
      </c>
      <c r="T91">
        <f>SMALL(Table47[[#This Row],[Admission Year]:[Follow Up Visit Year]],6)</f>
        <v>2024</v>
      </c>
    </row>
    <row r="92" spans="1:20" x14ac:dyDescent="0.2">
      <c r="A92" t="s">
        <v>616</v>
      </c>
      <c r="B92" t="s">
        <v>617</v>
      </c>
      <c r="C92">
        <v>33</v>
      </c>
      <c r="D92" t="s">
        <v>160</v>
      </c>
      <c r="E92">
        <v>2023</v>
      </c>
      <c r="F92">
        <v>2024</v>
      </c>
      <c r="G92">
        <v>2024</v>
      </c>
      <c r="H92">
        <v>2018</v>
      </c>
      <c r="I92">
        <v>2023</v>
      </c>
      <c r="J92">
        <v>2023</v>
      </c>
      <c r="L92" t="b">
        <f t="shared" si="1"/>
        <v>0</v>
      </c>
      <c r="O92">
        <f>SMALL(Table47[[#This Row],[Admission Year]:[Follow Up Visit Year]],1)</f>
        <v>2018</v>
      </c>
      <c r="P92">
        <f>SMALL(Table47[[#This Row],[Admission Year]:[Follow Up Visit Year]],2)</f>
        <v>2023</v>
      </c>
      <c r="Q92">
        <f>SMALL(Table47[[#This Row],[Admission Year]:[Follow Up Visit Year]],3)</f>
        <v>2023</v>
      </c>
      <c r="R92">
        <f>SMALL(Table47[[#This Row],[Admission Year]:[Follow Up Visit Year]],4)</f>
        <v>2023</v>
      </c>
      <c r="S92">
        <f>SMALL(Table47[[#This Row],[Admission Year]:[Follow Up Visit Year]],5)</f>
        <v>2024</v>
      </c>
      <c r="T92">
        <f>SMALL(Table47[[#This Row],[Admission Year]:[Follow Up Visit Year]],6)</f>
        <v>2024</v>
      </c>
    </row>
    <row r="93" spans="1:20" x14ac:dyDescent="0.2">
      <c r="A93" t="s">
        <v>622</v>
      </c>
      <c r="B93" t="s">
        <v>623</v>
      </c>
      <c r="C93">
        <v>67</v>
      </c>
      <c r="D93" t="s">
        <v>160</v>
      </c>
      <c r="E93">
        <v>2024</v>
      </c>
      <c r="F93">
        <v>2023</v>
      </c>
      <c r="G93">
        <v>2023</v>
      </c>
      <c r="H93">
        <v>2018</v>
      </c>
      <c r="I93" t="s">
        <v>272</v>
      </c>
      <c r="J93">
        <v>2003</v>
      </c>
      <c r="L93" t="b">
        <f t="shared" si="1"/>
        <v>0</v>
      </c>
      <c r="O93">
        <f>SMALL(Table47[[#This Row],[Admission Year]:[Follow Up Visit Year]],1)</f>
        <v>2003</v>
      </c>
      <c r="P93">
        <f>SMALL(Table47[[#This Row],[Admission Year]:[Follow Up Visit Year]],2)</f>
        <v>2018</v>
      </c>
      <c r="Q93">
        <f>SMALL(Table47[[#This Row],[Admission Year]:[Follow Up Visit Year]],3)</f>
        <v>2023</v>
      </c>
      <c r="R93">
        <f>SMALL(Table47[[#This Row],[Admission Year]:[Follow Up Visit Year]],4)</f>
        <v>2023</v>
      </c>
      <c r="S93">
        <f>SMALL(Table47[[#This Row],[Admission Year]:[Follow Up Visit Year]],5)</f>
        <v>2024</v>
      </c>
      <c r="T93" t="e">
        <f>SMALL(Table47[[#This Row],[Admission Year]:[Follow Up Visit Year]],6)</f>
        <v>#NUM!</v>
      </c>
    </row>
    <row r="94" spans="1:20" x14ac:dyDescent="0.2">
      <c r="A94" t="s">
        <v>627</v>
      </c>
      <c r="B94" t="s">
        <v>628</v>
      </c>
      <c r="C94">
        <v>34</v>
      </c>
      <c r="D94" t="s">
        <v>160</v>
      </c>
      <c r="E94">
        <v>2023</v>
      </c>
      <c r="F94">
        <v>2016</v>
      </c>
      <c r="G94">
        <v>2023</v>
      </c>
      <c r="H94">
        <v>2018</v>
      </c>
      <c r="I94">
        <v>2023</v>
      </c>
      <c r="J94" t="s">
        <v>272</v>
      </c>
      <c r="L94" t="b">
        <f t="shared" si="1"/>
        <v>0</v>
      </c>
      <c r="O94">
        <f>SMALL(Table47[[#This Row],[Admission Year]:[Follow Up Visit Year]],1)</f>
        <v>2016</v>
      </c>
      <c r="P94">
        <f>SMALL(Table47[[#This Row],[Admission Year]:[Follow Up Visit Year]],2)</f>
        <v>2018</v>
      </c>
      <c r="Q94">
        <f>SMALL(Table47[[#This Row],[Admission Year]:[Follow Up Visit Year]],3)</f>
        <v>2023</v>
      </c>
      <c r="R94">
        <f>SMALL(Table47[[#This Row],[Admission Year]:[Follow Up Visit Year]],4)</f>
        <v>2023</v>
      </c>
      <c r="S94">
        <f>SMALL(Table47[[#This Row],[Admission Year]:[Follow Up Visit Year]],5)</f>
        <v>2023</v>
      </c>
      <c r="T94" t="e">
        <f>SMALL(Table47[[#This Row],[Admission Year]:[Follow Up Visit Year]],6)</f>
        <v>#NUM!</v>
      </c>
    </row>
    <row r="95" spans="1:20" x14ac:dyDescent="0.2">
      <c r="A95" t="s">
        <v>631</v>
      </c>
      <c r="B95" t="s">
        <v>632</v>
      </c>
      <c r="C95">
        <v>81</v>
      </c>
      <c r="D95" t="s">
        <v>146</v>
      </c>
      <c r="E95">
        <v>2023</v>
      </c>
      <c r="F95">
        <v>2023</v>
      </c>
      <c r="G95">
        <v>2024</v>
      </c>
      <c r="H95">
        <v>2018</v>
      </c>
      <c r="I95">
        <v>2024</v>
      </c>
      <c r="J95" t="s">
        <v>272</v>
      </c>
      <c r="L95" t="b">
        <f t="shared" si="1"/>
        <v>0</v>
      </c>
      <c r="O95">
        <f>SMALL(Table47[[#This Row],[Admission Year]:[Follow Up Visit Year]],1)</f>
        <v>2018</v>
      </c>
      <c r="P95">
        <f>SMALL(Table47[[#This Row],[Admission Year]:[Follow Up Visit Year]],2)</f>
        <v>2023</v>
      </c>
      <c r="Q95">
        <f>SMALL(Table47[[#This Row],[Admission Year]:[Follow Up Visit Year]],3)</f>
        <v>2023</v>
      </c>
      <c r="R95">
        <f>SMALL(Table47[[#This Row],[Admission Year]:[Follow Up Visit Year]],4)</f>
        <v>2024</v>
      </c>
      <c r="S95">
        <f>SMALL(Table47[[#This Row],[Admission Year]:[Follow Up Visit Year]],5)</f>
        <v>2024</v>
      </c>
      <c r="T95" t="e">
        <f>SMALL(Table47[[#This Row],[Admission Year]:[Follow Up Visit Year]],6)</f>
        <v>#NUM!</v>
      </c>
    </row>
    <row r="96" spans="1:20" x14ac:dyDescent="0.2">
      <c r="A96" t="s">
        <v>636</v>
      </c>
      <c r="B96" t="s">
        <v>637</v>
      </c>
      <c r="C96">
        <v>59</v>
      </c>
      <c r="D96" t="s">
        <v>160</v>
      </c>
      <c r="E96">
        <v>2023</v>
      </c>
      <c r="F96">
        <v>2023</v>
      </c>
      <c r="G96">
        <v>2024</v>
      </c>
      <c r="H96">
        <v>2018</v>
      </c>
      <c r="I96">
        <v>2023</v>
      </c>
      <c r="J96">
        <v>2021</v>
      </c>
      <c r="L96" t="b">
        <f t="shared" si="1"/>
        <v>0</v>
      </c>
      <c r="O96">
        <f>SMALL(Table47[[#This Row],[Admission Year]:[Follow Up Visit Year]],1)</f>
        <v>2018</v>
      </c>
      <c r="P96">
        <f>SMALL(Table47[[#This Row],[Admission Year]:[Follow Up Visit Year]],2)</f>
        <v>2021</v>
      </c>
      <c r="Q96">
        <f>SMALL(Table47[[#This Row],[Admission Year]:[Follow Up Visit Year]],3)</f>
        <v>2023</v>
      </c>
      <c r="R96">
        <f>SMALL(Table47[[#This Row],[Admission Year]:[Follow Up Visit Year]],4)</f>
        <v>2023</v>
      </c>
      <c r="S96">
        <f>SMALL(Table47[[#This Row],[Admission Year]:[Follow Up Visit Year]],5)</f>
        <v>2023</v>
      </c>
      <c r="T96">
        <f>SMALL(Table47[[#This Row],[Admission Year]:[Follow Up Visit Year]],6)</f>
        <v>2024</v>
      </c>
    </row>
    <row r="97" spans="1:20" x14ac:dyDescent="0.2">
      <c r="A97" t="s">
        <v>641</v>
      </c>
      <c r="B97" t="s">
        <v>642</v>
      </c>
      <c r="C97">
        <v>72</v>
      </c>
      <c r="D97" t="s">
        <v>146</v>
      </c>
      <c r="E97">
        <v>2024</v>
      </c>
      <c r="F97">
        <v>2023</v>
      </c>
      <c r="G97">
        <v>2016</v>
      </c>
      <c r="H97">
        <v>2018</v>
      </c>
      <c r="I97">
        <v>2024</v>
      </c>
      <c r="J97" t="s">
        <v>272</v>
      </c>
      <c r="L97" t="b">
        <f t="shared" si="1"/>
        <v>0</v>
      </c>
      <c r="O97">
        <f>SMALL(Table47[[#This Row],[Admission Year]:[Follow Up Visit Year]],1)</f>
        <v>2016</v>
      </c>
      <c r="P97">
        <f>SMALL(Table47[[#This Row],[Admission Year]:[Follow Up Visit Year]],2)</f>
        <v>2018</v>
      </c>
      <c r="Q97">
        <f>SMALL(Table47[[#This Row],[Admission Year]:[Follow Up Visit Year]],3)</f>
        <v>2023</v>
      </c>
      <c r="R97">
        <f>SMALL(Table47[[#This Row],[Admission Year]:[Follow Up Visit Year]],4)</f>
        <v>2024</v>
      </c>
      <c r="S97">
        <f>SMALL(Table47[[#This Row],[Admission Year]:[Follow Up Visit Year]],5)</f>
        <v>2024</v>
      </c>
      <c r="T97" t="e">
        <f>SMALL(Table47[[#This Row],[Admission Year]:[Follow Up Visit Year]],6)</f>
        <v>#NUM!</v>
      </c>
    </row>
    <row r="98" spans="1:20" x14ac:dyDescent="0.2">
      <c r="A98" t="s">
        <v>646</v>
      </c>
      <c r="B98" t="s">
        <v>647</v>
      </c>
      <c r="C98">
        <v>43</v>
      </c>
      <c r="D98" t="s">
        <v>146</v>
      </c>
      <c r="E98">
        <v>2023</v>
      </c>
      <c r="F98">
        <v>2024</v>
      </c>
      <c r="G98">
        <v>2016</v>
      </c>
      <c r="H98">
        <v>2018</v>
      </c>
      <c r="I98">
        <v>2024</v>
      </c>
      <c r="J98">
        <v>2003</v>
      </c>
      <c r="L98" t="b">
        <f t="shared" si="1"/>
        <v>0</v>
      </c>
      <c r="O98">
        <f>SMALL(Table47[[#This Row],[Admission Year]:[Follow Up Visit Year]],1)</f>
        <v>2003</v>
      </c>
      <c r="P98">
        <f>SMALL(Table47[[#This Row],[Admission Year]:[Follow Up Visit Year]],2)</f>
        <v>2016</v>
      </c>
      <c r="Q98">
        <f>SMALL(Table47[[#This Row],[Admission Year]:[Follow Up Visit Year]],3)</f>
        <v>2018</v>
      </c>
      <c r="R98">
        <f>SMALL(Table47[[#This Row],[Admission Year]:[Follow Up Visit Year]],4)</f>
        <v>2023</v>
      </c>
      <c r="S98">
        <f>SMALL(Table47[[#This Row],[Admission Year]:[Follow Up Visit Year]],5)</f>
        <v>2024</v>
      </c>
      <c r="T98">
        <f>SMALL(Table47[[#This Row],[Admission Year]:[Follow Up Visit Year]],6)</f>
        <v>2024</v>
      </c>
    </row>
    <row r="99" spans="1:20" x14ac:dyDescent="0.2">
      <c r="A99" t="s">
        <v>650</v>
      </c>
      <c r="B99" t="s">
        <v>651</v>
      </c>
      <c r="C99">
        <v>45</v>
      </c>
      <c r="D99" t="s">
        <v>160</v>
      </c>
      <c r="E99">
        <v>2024</v>
      </c>
      <c r="F99">
        <v>2024</v>
      </c>
      <c r="G99">
        <v>2016</v>
      </c>
      <c r="H99">
        <v>2019</v>
      </c>
      <c r="I99">
        <v>2023</v>
      </c>
      <c r="J99" t="s">
        <v>272</v>
      </c>
      <c r="L99" t="b">
        <f t="shared" si="1"/>
        <v>0</v>
      </c>
      <c r="O99">
        <f>SMALL(Table47[[#This Row],[Admission Year]:[Follow Up Visit Year]],1)</f>
        <v>2016</v>
      </c>
      <c r="P99">
        <f>SMALL(Table47[[#This Row],[Admission Year]:[Follow Up Visit Year]],2)</f>
        <v>2019</v>
      </c>
      <c r="Q99">
        <f>SMALL(Table47[[#This Row],[Admission Year]:[Follow Up Visit Year]],3)</f>
        <v>2023</v>
      </c>
      <c r="R99">
        <f>SMALL(Table47[[#This Row],[Admission Year]:[Follow Up Visit Year]],4)</f>
        <v>2024</v>
      </c>
      <c r="S99">
        <f>SMALL(Table47[[#This Row],[Admission Year]:[Follow Up Visit Year]],5)</f>
        <v>2024</v>
      </c>
      <c r="T99" t="e">
        <f>SMALL(Table47[[#This Row],[Admission Year]:[Follow Up Visit Year]],6)</f>
        <v>#NUM!</v>
      </c>
    </row>
    <row r="100" spans="1:20" x14ac:dyDescent="0.2">
      <c r="A100" t="s">
        <v>655</v>
      </c>
      <c r="B100" t="s">
        <v>656</v>
      </c>
      <c r="C100">
        <v>79</v>
      </c>
      <c r="D100" t="s">
        <v>146</v>
      </c>
      <c r="E100">
        <v>2023</v>
      </c>
      <c r="F100">
        <v>2016</v>
      </c>
      <c r="G100">
        <v>2016</v>
      </c>
      <c r="H100">
        <v>2019</v>
      </c>
      <c r="I100" t="s">
        <v>272</v>
      </c>
      <c r="J100">
        <v>2023</v>
      </c>
      <c r="L100" t="b">
        <f t="shared" si="1"/>
        <v>0</v>
      </c>
      <c r="O100">
        <f>SMALL(Table47[[#This Row],[Admission Year]:[Follow Up Visit Year]],1)</f>
        <v>2016</v>
      </c>
      <c r="P100">
        <f>SMALL(Table47[[#This Row],[Admission Year]:[Follow Up Visit Year]],2)</f>
        <v>2016</v>
      </c>
      <c r="Q100">
        <f>SMALL(Table47[[#This Row],[Admission Year]:[Follow Up Visit Year]],3)</f>
        <v>2019</v>
      </c>
      <c r="R100">
        <f>SMALL(Table47[[#This Row],[Admission Year]:[Follow Up Visit Year]],4)</f>
        <v>2023</v>
      </c>
      <c r="S100">
        <f>SMALL(Table47[[#This Row],[Admission Year]:[Follow Up Visit Year]],5)</f>
        <v>2023</v>
      </c>
      <c r="T100" t="e">
        <f>SMALL(Table47[[#This Row],[Admission Year]:[Follow Up Visit Year]],6)</f>
        <v>#NUM!</v>
      </c>
    </row>
    <row r="101" spans="1:20" x14ac:dyDescent="0.2">
      <c r="A101" t="s">
        <v>659</v>
      </c>
      <c r="B101" t="s">
        <v>660</v>
      </c>
      <c r="C101">
        <v>60</v>
      </c>
      <c r="D101" t="s">
        <v>146</v>
      </c>
      <c r="E101">
        <v>2023</v>
      </c>
      <c r="F101">
        <v>2023</v>
      </c>
      <c r="G101">
        <v>2016</v>
      </c>
      <c r="H101">
        <v>2019</v>
      </c>
      <c r="I101" t="s">
        <v>272</v>
      </c>
      <c r="J101" t="s">
        <v>272</v>
      </c>
      <c r="L101" t="b">
        <f t="shared" si="1"/>
        <v>0</v>
      </c>
      <c r="O101">
        <f>SMALL(Table47[[#This Row],[Admission Year]:[Follow Up Visit Year]],1)</f>
        <v>2016</v>
      </c>
      <c r="P101">
        <f>SMALL(Table47[[#This Row],[Admission Year]:[Follow Up Visit Year]],2)</f>
        <v>2019</v>
      </c>
      <c r="Q101">
        <f>SMALL(Table47[[#This Row],[Admission Year]:[Follow Up Visit Year]],3)</f>
        <v>2023</v>
      </c>
      <c r="R101">
        <f>SMALL(Table47[[#This Row],[Admission Year]:[Follow Up Visit Year]],4)</f>
        <v>2023</v>
      </c>
      <c r="S101" t="e">
        <f>SMALL(Table47[[#This Row],[Admission Year]:[Follow Up Visit Year]],5)</f>
        <v>#NUM!</v>
      </c>
      <c r="T101" t="e">
        <f>SMALL(Table47[[#This Row],[Admission Year]:[Follow Up Visit Year]],6)</f>
        <v>#NUM!</v>
      </c>
    </row>
    <row r="102" spans="1:20" x14ac:dyDescent="0.2">
      <c r="A102" t="s">
        <v>663</v>
      </c>
      <c r="B102" t="s">
        <v>664</v>
      </c>
      <c r="C102">
        <v>72</v>
      </c>
      <c r="D102" t="s">
        <v>146</v>
      </c>
      <c r="E102">
        <v>2023</v>
      </c>
      <c r="F102">
        <v>2018</v>
      </c>
      <c r="G102">
        <v>2016</v>
      </c>
      <c r="H102">
        <v>2019</v>
      </c>
      <c r="I102" t="s">
        <v>272</v>
      </c>
      <c r="J102">
        <v>2022</v>
      </c>
      <c r="L102" t="b">
        <f t="shared" si="1"/>
        <v>0</v>
      </c>
      <c r="O102">
        <f>SMALL(Table47[[#This Row],[Admission Year]:[Follow Up Visit Year]],1)</f>
        <v>2016</v>
      </c>
      <c r="P102">
        <f>SMALL(Table47[[#This Row],[Admission Year]:[Follow Up Visit Year]],2)</f>
        <v>2018</v>
      </c>
      <c r="Q102">
        <f>SMALL(Table47[[#This Row],[Admission Year]:[Follow Up Visit Year]],3)</f>
        <v>2019</v>
      </c>
      <c r="R102">
        <f>SMALL(Table47[[#This Row],[Admission Year]:[Follow Up Visit Year]],4)</f>
        <v>2022</v>
      </c>
      <c r="S102">
        <f>SMALL(Table47[[#This Row],[Admission Year]:[Follow Up Visit Year]],5)</f>
        <v>2023</v>
      </c>
      <c r="T102" t="e">
        <f>SMALL(Table47[[#This Row],[Admission Year]:[Follow Up Visit Year]],6)</f>
        <v>#NUM!</v>
      </c>
    </row>
    <row r="103" spans="1:20" x14ac:dyDescent="0.2">
      <c r="A103" t="s">
        <v>669</v>
      </c>
      <c r="B103" t="s">
        <v>670</v>
      </c>
      <c r="C103">
        <v>48</v>
      </c>
      <c r="D103" t="s">
        <v>146</v>
      </c>
      <c r="E103">
        <v>2023</v>
      </c>
      <c r="F103">
        <v>2023</v>
      </c>
      <c r="G103">
        <v>2016</v>
      </c>
      <c r="H103">
        <v>2017</v>
      </c>
      <c r="I103">
        <v>2023</v>
      </c>
      <c r="J103">
        <v>2024</v>
      </c>
      <c r="L103" t="b">
        <f t="shared" si="1"/>
        <v>0</v>
      </c>
      <c r="O103">
        <f>SMALL(Table47[[#This Row],[Admission Year]:[Follow Up Visit Year]],1)</f>
        <v>2016</v>
      </c>
      <c r="P103">
        <f>SMALL(Table47[[#This Row],[Admission Year]:[Follow Up Visit Year]],2)</f>
        <v>2017</v>
      </c>
      <c r="Q103">
        <f>SMALL(Table47[[#This Row],[Admission Year]:[Follow Up Visit Year]],3)</f>
        <v>2023</v>
      </c>
      <c r="R103">
        <f>SMALL(Table47[[#This Row],[Admission Year]:[Follow Up Visit Year]],4)</f>
        <v>2023</v>
      </c>
      <c r="S103">
        <f>SMALL(Table47[[#This Row],[Admission Year]:[Follow Up Visit Year]],5)</f>
        <v>2023</v>
      </c>
      <c r="T103">
        <f>SMALL(Table47[[#This Row],[Admission Year]:[Follow Up Visit Year]],6)</f>
        <v>2024</v>
      </c>
    </row>
    <row r="104" spans="1:20" x14ac:dyDescent="0.2">
      <c r="A104" t="s">
        <v>675</v>
      </c>
      <c r="B104" t="s">
        <v>676</v>
      </c>
      <c r="C104">
        <v>34</v>
      </c>
      <c r="D104" t="s">
        <v>160</v>
      </c>
      <c r="E104">
        <v>2023</v>
      </c>
      <c r="F104">
        <v>2023</v>
      </c>
      <c r="G104">
        <v>2017</v>
      </c>
      <c r="H104">
        <v>2016</v>
      </c>
      <c r="I104">
        <v>2024</v>
      </c>
      <c r="J104">
        <v>2024</v>
      </c>
      <c r="L104" t="b">
        <f t="shared" si="1"/>
        <v>0</v>
      </c>
      <c r="O104">
        <f>SMALL(Table47[[#This Row],[Admission Year]:[Follow Up Visit Year]],1)</f>
        <v>2016</v>
      </c>
      <c r="P104">
        <f>SMALL(Table47[[#This Row],[Admission Year]:[Follow Up Visit Year]],2)</f>
        <v>2017</v>
      </c>
      <c r="Q104">
        <f>SMALL(Table47[[#This Row],[Admission Year]:[Follow Up Visit Year]],3)</f>
        <v>2023</v>
      </c>
      <c r="R104">
        <f>SMALL(Table47[[#This Row],[Admission Year]:[Follow Up Visit Year]],4)</f>
        <v>2023</v>
      </c>
      <c r="S104">
        <f>SMALL(Table47[[#This Row],[Admission Year]:[Follow Up Visit Year]],5)</f>
        <v>2024</v>
      </c>
      <c r="T104">
        <f>SMALL(Table47[[#This Row],[Admission Year]:[Follow Up Visit Year]],6)</f>
        <v>2024</v>
      </c>
    </row>
    <row r="105" spans="1:20" x14ac:dyDescent="0.2">
      <c r="A105" t="s">
        <v>683</v>
      </c>
      <c r="B105" t="s">
        <v>684</v>
      </c>
      <c r="C105">
        <v>64</v>
      </c>
      <c r="D105" t="s">
        <v>160</v>
      </c>
      <c r="E105">
        <v>2024</v>
      </c>
      <c r="F105">
        <v>2016</v>
      </c>
      <c r="G105">
        <v>2023</v>
      </c>
      <c r="H105">
        <v>2018</v>
      </c>
      <c r="I105" t="s">
        <v>272</v>
      </c>
      <c r="J105">
        <v>2003</v>
      </c>
      <c r="L105" t="b">
        <f t="shared" si="1"/>
        <v>0</v>
      </c>
      <c r="O105">
        <f>SMALL(Table47[[#This Row],[Admission Year]:[Follow Up Visit Year]],1)</f>
        <v>2003</v>
      </c>
      <c r="P105">
        <f>SMALL(Table47[[#This Row],[Admission Year]:[Follow Up Visit Year]],2)</f>
        <v>2016</v>
      </c>
      <c r="Q105">
        <f>SMALL(Table47[[#This Row],[Admission Year]:[Follow Up Visit Year]],3)</f>
        <v>2018</v>
      </c>
      <c r="R105">
        <f>SMALL(Table47[[#This Row],[Admission Year]:[Follow Up Visit Year]],4)</f>
        <v>2023</v>
      </c>
      <c r="S105">
        <f>SMALL(Table47[[#This Row],[Admission Year]:[Follow Up Visit Year]],5)</f>
        <v>2024</v>
      </c>
      <c r="T105" t="e">
        <f>SMALL(Table47[[#This Row],[Admission Year]:[Follow Up Visit Year]],6)</f>
        <v>#NUM!</v>
      </c>
    </row>
    <row r="106" spans="1:20" x14ac:dyDescent="0.2">
      <c r="A106" t="s">
        <v>688</v>
      </c>
      <c r="B106" t="s">
        <v>689</v>
      </c>
      <c r="C106">
        <v>84</v>
      </c>
      <c r="D106" t="s">
        <v>146</v>
      </c>
      <c r="E106">
        <v>2023</v>
      </c>
      <c r="F106">
        <v>2023</v>
      </c>
      <c r="G106">
        <v>2024</v>
      </c>
      <c r="H106" t="s">
        <v>272</v>
      </c>
      <c r="I106" t="s">
        <v>272</v>
      </c>
      <c r="J106">
        <v>2024</v>
      </c>
      <c r="L106" t="b">
        <f t="shared" si="1"/>
        <v>0</v>
      </c>
      <c r="O106">
        <f>SMALL(Table47[[#This Row],[Admission Year]:[Follow Up Visit Year]],1)</f>
        <v>2023</v>
      </c>
      <c r="P106">
        <f>SMALL(Table47[[#This Row],[Admission Year]:[Follow Up Visit Year]],2)</f>
        <v>2023</v>
      </c>
      <c r="Q106">
        <f>SMALL(Table47[[#This Row],[Admission Year]:[Follow Up Visit Year]],3)</f>
        <v>2024</v>
      </c>
      <c r="R106">
        <f>SMALL(Table47[[#This Row],[Admission Year]:[Follow Up Visit Year]],4)</f>
        <v>2024</v>
      </c>
      <c r="S106" t="e">
        <f>SMALL(Table47[[#This Row],[Admission Year]:[Follow Up Visit Year]],5)</f>
        <v>#NUM!</v>
      </c>
      <c r="T106" t="e">
        <f>SMALL(Table47[[#This Row],[Admission Year]:[Follow Up Visit Year]],6)</f>
        <v>#NUM!</v>
      </c>
    </row>
    <row r="107" spans="1:20" x14ac:dyDescent="0.2">
      <c r="A107" t="s">
        <v>693</v>
      </c>
      <c r="B107" t="s">
        <v>694</v>
      </c>
      <c r="C107">
        <v>28</v>
      </c>
      <c r="D107" t="s">
        <v>160</v>
      </c>
      <c r="E107">
        <v>2023</v>
      </c>
      <c r="F107">
        <v>2023</v>
      </c>
      <c r="G107">
        <v>2024</v>
      </c>
      <c r="H107">
        <v>2024</v>
      </c>
      <c r="I107">
        <v>2024</v>
      </c>
      <c r="J107">
        <v>2022</v>
      </c>
      <c r="L107" t="b">
        <f t="shared" si="1"/>
        <v>0</v>
      </c>
      <c r="O107">
        <f>SMALL(Table47[[#This Row],[Admission Year]:[Follow Up Visit Year]],1)</f>
        <v>2022</v>
      </c>
      <c r="P107">
        <f>SMALL(Table47[[#This Row],[Admission Year]:[Follow Up Visit Year]],2)</f>
        <v>2023</v>
      </c>
      <c r="Q107">
        <f>SMALL(Table47[[#This Row],[Admission Year]:[Follow Up Visit Year]],3)</f>
        <v>2023</v>
      </c>
      <c r="R107">
        <f>SMALL(Table47[[#This Row],[Admission Year]:[Follow Up Visit Year]],4)</f>
        <v>2024</v>
      </c>
      <c r="S107">
        <f>SMALL(Table47[[#This Row],[Admission Year]:[Follow Up Visit Year]],5)</f>
        <v>2024</v>
      </c>
      <c r="T107">
        <f>SMALL(Table47[[#This Row],[Admission Year]:[Follow Up Visit Year]],6)</f>
        <v>2024</v>
      </c>
    </row>
    <row r="108" spans="1:20" x14ac:dyDescent="0.2">
      <c r="A108" t="s">
        <v>698</v>
      </c>
      <c r="B108" t="s">
        <v>699</v>
      </c>
      <c r="C108">
        <v>20</v>
      </c>
      <c r="D108" t="s">
        <v>160</v>
      </c>
      <c r="E108">
        <v>2023</v>
      </c>
      <c r="F108">
        <v>2024</v>
      </c>
      <c r="G108">
        <v>2016</v>
      </c>
      <c r="H108" t="s">
        <v>272</v>
      </c>
      <c r="I108">
        <v>2023</v>
      </c>
      <c r="J108">
        <v>2024</v>
      </c>
      <c r="L108" t="b">
        <f t="shared" si="1"/>
        <v>0</v>
      </c>
      <c r="O108">
        <f>SMALL(Table47[[#This Row],[Admission Year]:[Follow Up Visit Year]],1)</f>
        <v>2016</v>
      </c>
      <c r="P108">
        <f>SMALL(Table47[[#This Row],[Admission Year]:[Follow Up Visit Year]],2)</f>
        <v>2023</v>
      </c>
      <c r="Q108">
        <f>SMALL(Table47[[#This Row],[Admission Year]:[Follow Up Visit Year]],3)</f>
        <v>2023</v>
      </c>
      <c r="R108">
        <f>SMALL(Table47[[#This Row],[Admission Year]:[Follow Up Visit Year]],4)</f>
        <v>2024</v>
      </c>
      <c r="S108">
        <f>SMALL(Table47[[#This Row],[Admission Year]:[Follow Up Visit Year]],5)</f>
        <v>2024</v>
      </c>
      <c r="T108" t="e">
        <f>SMALL(Table47[[#This Row],[Admission Year]:[Follow Up Visit Year]],6)</f>
        <v>#NUM!</v>
      </c>
    </row>
    <row r="109" spans="1:20" x14ac:dyDescent="0.2">
      <c r="A109" t="s">
        <v>703</v>
      </c>
      <c r="B109" t="s">
        <v>704</v>
      </c>
      <c r="C109">
        <v>27</v>
      </c>
      <c r="D109" t="s">
        <v>160</v>
      </c>
      <c r="E109">
        <v>2024</v>
      </c>
      <c r="F109">
        <v>2024</v>
      </c>
      <c r="G109">
        <v>2016</v>
      </c>
      <c r="H109">
        <v>2023</v>
      </c>
      <c r="I109" t="s">
        <v>272</v>
      </c>
      <c r="J109" t="s">
        <v>272</v>
      </c>
      <c r="L109" t="b">
        <f t="shared" si="1"/>
        <v>0</v>
      </c>
      <c r="O109">
        <f>SMALL(Table47[[#This Row],[Admission Year]:[Follow Up Visit Year]],1)</f>
        <v>2016</v>
      </c>
      <c r="P109">
        <f>SMALL(Table47[[#This Row],[Admission Year]:[Follow Up Visit Year]],2)</f>
        <v>2023</v>
      </c>
      <c r="Q109">
        <f>SMALL(Table47[[#This Row],[Admission Year]:[Follow Up Visit Year]],3)</f>
        <v>2024</v>
      </c>
      <c r="R109">
        <f>SMALL(Table47[[#This Row],[Admission Year]:[Follow Up Visit Year]],4)</f>
        <v>2024</v>
      </c>
      <c r="S109" t="e">
        <f>SMALL(Table47[[#This Row],[Admission Year]:[Follow Up Visit Year]],5)</f>
        <v>#NUM!</v>
      </c>
      <c r="T109" t="e">
        <f>SMALL(Table47[[#This Row],[Admission Year]:[Follow Up Visit Year]],6)</f>
        <v>#NUM!</v>
      </c>
    </row>
    <row r="110" spans="1:20" x14ac:dyDescent="0.2">
      <c r="A110" t="s">
        <v>708</v>
      </c>
      <c r="B110" t="s">
        <v>709</v>
      </c>
      <c r="C110">
        <v>82</v>
      </c>
      <c r="D110" t="s">
        <v>160</v>
      </c>
      <c r="E110">
        <v>2024</v>
      </c>
      <c r="F110">
        <v>2023</v>
      </c>
      <c r="G110">
        <v>2016</v>
      </c>
      <c r="H110">
        <v>2023</v>
      </c>
      <c r="I110">
        <v>2023</v>
      </c>
      <c r="J110">
        <v>2022</v>
      </c>
      <c r="L110" t="b">
        <f t="shared" si="1"/>
        <v>0</v>
      </c>
      <c r="O110">
        <f>SMALL(Table47[[#This Row],[Admission Year]:[Follow Up Visit Year]],1)</f>
        <v>2016</v>
      </c>
      <c r="P110">
        <f>SMALL(Table47[[#This Row],[Admission Year]:[Follow Up Visit Year]],2)</f>
        <v>2022</v>
      </c>
      <c r="Q110">
        <f>SMALL(Table47[[#This Row],[Admission Year]:[Follow Up Visit Year]],3)</f>
        <v>2023</v>
      </c>
      <c r="R110">
        <f>SMALL(Table47[[#This Row],[Admission Year]:[Follow Up Visit Year]],4)</f>
        <v>2023</v>
      </c>
      <c r="S110">
        <f>SMALL(Table47[[#This Row],[Admission Year]:[Follow Up Visit Year]],5)</f>
        <v>2023</v>
      </c>
      <c r="T110">
        <f>SMALL(Table47[[#This Row],[Admission Year]:[Follow Up Visit Year]],6)</f>
        <v>2024</v>
      </c>
    </row>
    <row r="111" spans="1:20" x14ac:dyDescent="0.2">
      <c r="A111" t="s">
        <v>713</v>
      </c>
      <c r="B111" t="s">
        <v>714</v>
      </c>
      <c r="C111">
        <v>30</v>
      </c>
      <c r="D111" t="s">
        <v>146</v>
      </c>
      <c r="E111">
        <v>2023</v>
      </c>
      <c r="F111">
        <v>2016</v>
      </c>
      <c r="G111">
        <v>2016</v>
      </c>
      <c r="H111">
        <v>2023</v>
      </c>
      <c r="I111">
        <v>2024</v>
      </c>
      <c r="J111">
        <v>2023</v>
      </c>
      <c r="L111" t="b">
        <f t="shared" si="1"/>
        <v>0</v>
      </c>
      <c r="O111">
        <f>SMALL(Table47[[#This Row],[Admission Year]:[Follow Up Visit Year]],1)</f>
        <v>2016</v>
      </c>
      <c r="P111">
        <f>SMALL(Table47[[#This Row],[Admission Year]:[Follow Up Visit Year]],2)</f>
        <v>2016</v>
      </c>
      <c r="Q111">
        <f>SMALL(Table47[[#This Row],[Admission Year]:[Follow Up Visit Year]],3)</f>
        <v>2023</v>
      </c>
      <c r="R111">
        <f>SMALL(Table47[[#This Row],[Admission Year]:[Follow Up Visit Year]],4)</f>
        <v>2023</v>
      </c>
      <c r="S111">
        <f>SMALL(Table47[[#This Row],[Admission Year]:[Follow Up Visit Year]],5)</f>
        <v>2023</v>
      </c>
      <c r="T111">
        <f>SMALL(Table47[[#This Row],[Admission Year]:[Follow Up Visit Year]],6)</f>
        <v>2024</v>
      </c>
    </row>
    <row r="112" spans="1:20" x14ac:dyDescent="0.2">
      <c r="A112" t="s">
        <v>719</v>
      </c>
      <c r="B112" t="s">
        <v>720</v>
      </c>
      <c r="C112">
        <v>27</v>
      </c>
      <c r="D112" t="s">
        <v>146</v>
      </c>
      <c r="E112">
        <v>2024</v>
      </c>
      <c r="F112">
        <v>2024</v>
      </c>
      <c r="G112">
        <v>2016</v>
      </c>
      <c r="H112" t="s">
        <v>272</v>
      </c>
      <c r="I112" t="s">
        <v>272</v>
      </c>
      <c r="J112">
        <v>2023</v>
      </c>
      <c r="L112" t="b">
        <f t="shared" si="1"/>
        <v>0</v>
      </c>
      <c r="O112">
        <f>SMALL(Table47[[#This Row],[Admission Year]:[Follow Up Visit Year]],1)</f>
        <v>2016</v>
      </c>
      <c r="P112">
        <f>SMALL(Table47[[#This Row],[Admission Year]:[Follow Up Visit Year]],2)</f>
        <v>2023</v>
      </c>
      <c r="Q112">
        <f>SMALL(Table47[[#This Row],[Admission Year]:[Follow Up Visit Year]],3)</f>
        <v>2024</v>
      </c>
      <c r="R112">
        <f>SMALL(Table47[[#This Row],[Admission Year]:[Follow Up Visit Year]],4)</f>
        <v>2024</v>
      </c>
      <c r="S112" t="e">
        <f>SMALL(Table47[[#This Row],[Admission Year]:[Follow Up Visit Year]],5)</f>
        <v>#NUM!</v>
      </c>
      <c r="T112" t="e">
        <f>SMALL(Table47[[#This Row],[Admission Year]:[Follow Up Visit Year]],6)</f>
        <v>#NUM!</v>
      </c>
    </row>
    <row r="113" spans="1:20" x14ac:dyDescent="0.2">
      <c r="A113" t="s">
        <v>723</v>
      </c>
      <c r="B113" t="s">
        <v>724</v>
      </c>
      <c r="C113">
        <v>21</v>
      </c>
      <c r="D113" t="s">
        <v>146</v>
      </c>
      <c r="E113">
        <v>2023</v>
      </c>
      <c r="F113">
        <v>2017</v>
      </c>
      <c r="G113">
        <v>2016</v>
      </c>
      <c r="H113">
        <v>2024</v>
      </c>
      <c r="I113">
        <v>2023</v>
      </c>
      <c r="J113">
        <v>2023</v>
      </c>
      <c r="L113" t="b">
        <f t="shared" si="1"/>
        <v>0</v>
      </c>
      <c r="O113">
        <f>SMALL(Table47[[#This Row],[Admission Year]:[Follow Up Visit Year]],1)</f>
        <v>2016</v>
      </c>
      <c r="P113">
        <f>SMALL(Table47[[#This Row],[Admission Year]:[Follow Up Visit Year]],2)</f>
        <v>2017</v>
      </c>
      <c r="Q113">
        <f>SMALL(Table47[[#This Row],[Admission Year]:[Follow Up Visit Year]],3)</f>
        <v>2023</v>
      </c>
      <c r="R113">
        <f>SMALL(Table47[[#This Row],[Admission Year]:[Follow Up Visit Year]],4)</f>
        <v>2023</v>
      </c>
      <c r="S113">
        <f>SMALL(Table47[[#This Row],[Admission Year]:[Follow Up Visit Year]],5)</f>
        <v>2023</v>
      </c>
      <c r="T113">
        <f>SMALL(Table47[[#This Row],[Admission Year]:[Follow Up Visit Year]],6)</f>
        <v>2024</v>
      </c>
    </row>
    <row r="114" spans="1:20" x14ac:dyDescent="0.2">
      <c r="A114" t="s">
        <v>729</v>
      </c>
      <c r="B114" t="s">
        <v>730</v>
      </c>
      <c r="C114">
        <v>54</v>
      </c>
      <c r="D114" t="s">
        <v>160</v>
      </c>
      <c r="E114">
        <v>2023</v>
      </c>
      <c r="F114">
        <v>2023</v>
      </c>
      <c r="G114">
        <v>2016</v>
      </c>
      <c r="H114">
        <v>2023</v>
      </c>
      <c r="I114" t="s">
        <v>272</v>
      </c>
      <c r="J114">
        <v>2023</v>
      </c>
      <c r="L114" t="b">
        <f t="shared" si="1"/>
        <v>0</v>
      </c>
      <c r="O114">
        <f>SMALL(Table47[[#This Row],[Admission Year]:[Follow Up Visit Year]],1)</f>
        <v>2016</v>
      </c>
      <c r="P114">
        <f>SMALL(Table47[[#This Row],[Admission Year]:[Follow Up Visit Year]],2)</f>
        <v>2023</v>
      </c>
      <c r="Q114">
        <f>SMALL(Table47[[#This Row],[Admission Year]:[Follow Up Visit Year]],3)</f>
        <v>2023</v>
      </c>
      <c r="R114">
        <f>SMALL(Table47[[#This Row],[Admission Year]:[Follow Up Visit Year]],4)</f>
        <v>2023</v>
      </c>
      <c r="S114">
        <f>SMALL(Table47[[#This Row],[Admission Year]:[Follow Up Visit Year]],5)</f>
        <v>2023</v>
      </c>
      <c r="T114" t="e">
        <f>SMALL(Table47[[#This Row],[Admission Year]:[Follow Up Visit Year]],6)</f>
        <v>#NUM!</v>
      </c>
    </row>
    <row r="115" spans="1:20" x14ac:dyDescent="0.2">
      <c r="A115" t="s">
        <v>734</v>
      </c>
      <c r="B115" t="s">
        <v>735</v>
      </c>
      <c r="C115">
        <v>54</v>
      </c>
      <c r="D115" t="s">
        <v>160</v>
      </c>
      <c r="E115">
        <v>2023</v>
      </c>
      <c r="F115">
        <v>2016</v>
      </c>
      <c r="G115">
        <v>2017</v>
      </c>
      <c r="H115">
        <v>2024</v>
      </c>
      <c r="I115">
        <v>2023</v>
      </c>
      <c r="J115">
        <v>2023</v>
      </c>
      <c r="L115" t="b">
        <f t="shared" si="1"/>
        <v>0</v>
      </c>
      <c r="O115">
        <f>SMALL(Table47[[#This Row],[Admission Year]:[Follow Up Visit Year]],1)</f>
        <v>2016</v>
      </c>
      <c r="P115">
        <f>SMALL(Table47[[#This Row],[Admission Year]:[Follow Up Visit Year]],2)</f>
        <v>2017</v>
      </c>
      <c r="Q115">
        <f>SMALL(Table47[[#This Row],[Admission Year]:[Follow Up Visit Year]],3)</f>
        <v>2023</v>
      </c>
      <c r="R115">
        <f>SMALL(Table47[[#This Row],[Admission Year]:[Follow Up Visit Year]],4)</f>
        <v>2023</v>
      </c>
      <c r="S115">
        <f>SMALL(Table47[[#This Row],[Admission Year]:[Follow Up Visit Year]],5)</f>
        <v>2023</v>
      </c>
      <c r="T115">
        <f>SMALL(Table47[[#This Row],[Admission Year]:[Follow Up Visit Year]],6)</f>
        <v>2024</v>
      </c>
    </row>
    <row r="116" spans="1:20" x14ac:dyDescent="0.2">
      <c r="A116" t="s">
        <v>738</v>
      </c>
      <c r="B116" t="s">
        <v>739</v>
      </c>
      <c r="C116">
        <v>52</v>
      </c>
      <c r="D116" t="s">
        <v>146</v>
      </c>
      <c r="E116">
        <v>2023</v>
      </c>
      <c r="F116">
        <v>2016</v>
      </c>
      <c r="G116">
        <v>2017</v>
      </c>
      <c r="H116">
        <v>2022</v>
      </c>
      <c r="I116">
        <v>2023</v>
      </c>
      <c r="J116">
        <v>2024</v>
      </c>
      <c r="L116" t="b">
        <f t="shared" si="1"/>
        <v>0</v>
      </c>
      <c r="O116">
        <f>SMALL(Table47[[#This Row],[Admission Year]:[Follow Up Visit Year]],1)</f>
        <v>2016</v>
      </c>
      <c r="P116">
        <f>SMALL(Table47[[#This Row],[Admission Year]:[Follow Up Visit Year]],2)</f>
        <v>2017</v>
      </c>
      <c r="Q116">
        <f>SMALL(Table47[[#This Row],[Admission Year]:[Follow Up Visit Year]],3)</f>
        <v>2022</v>
      </c>
      <c r="R116">
        <f>SMALL(Table47[[#This Row],[Admission Year]:[Follow Up Visit Year]],4)</f>
        <v>2023</v>
      </c>
      <c r="S116">
        <f>SMALL(Table47[[#This Row],[Admission Year]:[Follow Up Visit Year]],5)</f>
        <v>2023</v>
      </c>
      <c r="T116">
        <f>SMALL(Table47[[#This Row],[Admission Year]:[Follow Up Visit Year]],6)</f>
        <v>2024</v>
      </c>
    </row>
    <row r="117" spans="1:20" x14ac:dyDescent="0.2">
      <c r="A117" t="s">
        <v>743</v>
      </c>
      <c r="B117" t="s">
        <v>744</v>
      </c>
      <c r="C117">
        <v>24</v>
      </c>
      <c r="D117" t="s">
        <v>146</v>
      </c>
      <c r="E117">
        <v>2024</v>
      </c>
      <c r="F117">
        <v>2024</v>
      </c>
      <c r="G117">
        <v>2017</v>
      </c>
      <c r="H117">
        <v>2023</v>
      </c>
      <c r="I117">
        <v>2023</v>
      </c>
      <c r="J117">
        <v>2023</v>
      </c>
      <c r="L117" t="b">
        <f t="shared" si="1"/>
        <v>0</v>
      </c>
      <c r="O117">
        <f>SMALL(Table47[[#This Row],[Admission Year]:[Follow Up Visit Year]],1)</f>
        <v>2017</v>
      </c>
      <c r="P117">
        <f>SMALL(Table47[[#This Row],[Admission Year]:[Follow Up Visit Year]],2)</f>
        <v>2023</v>
      </c>
      <c r="Q117">
        <f>SMALL(Table47[[#This Row],[Admission Year]:[Follow Up Visit Year]],3)</f>
        <v>2023</v>
      </c>
      <c r="R117">
        <f>SMALL(Table47[[#This Row],[Admission Year]:[Follow Up Visit Year]],4)</f>
        <v>2023</v>
      </c>
      <c r="S117">
        <f>SMALL(Table47[[#This Row],[Admission Year]:[Follow Up Visit Year]],5)</f>
        <v>2024</v>
      </c>
      <c r="T117">
        <f>SMALL(Table47[[#This Row],[Admission Year]:[Follow Up Visit Year]],6)</f>
        <v>2024</v>
      </c>
    </row>
    <row r="118" spans="1:20" x14ac:dyDescent="0.2">
      <c r="A118" t="s">
        <v>748</v>
      </c>
      <c r="B118" t="s">
        <v>749</v>
      </c>
      <c r="C118">
        <v>60</v>
      </c>
      <c r="D118" t="s">
        <v>160</v>
      </c>
      <c r="E118">
        <v>2023</v>
      </c>
      <c r="F118">
        <v>2024</v>
      </c>
      <c r="G118">
        <v>2017</v>
      </c>
      <c r="H118">
        <v>2023</v>
      </c>
      <c r="I118" t="s">
        <v>272</v>
      </c>
      <c r="J118">
        <v>2023</v>
      </c>
      <c r="L118" t="b">
        <f t="shared" si="1"/>
        <v>0</v>
      </c>
      <c r="O118">
        <f>SMALL(Table47[[#This Row],[Admission Year]:[Follow Up Visit Year]],1)</f>
        <v>2017</v>
      </c>
      <c r="P118">
        <f>SMALL(Table47[[#This Row],[Admission Year]:[Follow Up Visit Year]],2)</f>
        <v>2023</v>
      </c>
      <c r="Q118">
        <f>SMALL(Table47[[#This Row],[Admission Year]:[Follow Up Visit Year]],3)</f>
        <v>2023</v>
      </c>
      <c r="R118">
        <f>SMALL(Table47[[#This Row],[Admission Year]:[Follow Up Visit Year]],4)</f>
        <v>2023</v>
      </c>
      <c r="S118">
        <f>SMALL(Table47[[#This Row],[Admission Year]:[Follow Up Visit Year]],5)</f>
        <v>2024</v>
      </c>
      <c r="T118" t="e">
        <f>SMALL(Table47[[#This Row],[Admission Year]:[Follow Up Visit Year]],6)</f>
        <v>#NUM!</v>
      </c>
    </row>
    <row r="119" spans="1:20" x14ac:dyDescent="0.2">
      <c r="A119" t="s">
        <v>753</v>
      </c>
      <c r="B119" t="s">
        <v>754</v>
      </c>
      <c r="C119">
        <v>47</v>
      </c>
      <c r="D119" t="s">
        <v>146</v>
      </c>
      <c r="E119">
        <v>2020</v>
      </c>
      <c r="F119">
        <v>2024</v>
      </c>
      <c r="G119">
        <v>2017</v>
      </c>
      <c r="H119">
        <v>2022</v>
      </c>
      <c r="I119">
        <v>2023</v>
      </c>
      <c r="J119" t="s">
        <v>272</v>
      </c>
      <c r="L119" t="b">
        <f t="shared" si="1"/>
        <v>0</v>
      </c>
      <c r="O119">
        <f>SMALL(Table47[[#This Row],[Admission Year]:[Follow Up Visit Year]],1)</f>
        <v>2017</v>
      </c>
      <c r="P119">
        <f>SMALL(Table47[[#This Row],[Admission Year]:[Follow Up Visit Year]],2)</f>
        <v>2020</v>
      </c>
      <c r="Q119">
        <f>SMALL(Table47[[#This Row],[Admission Year]:[Follow Up Visit Year]],3)</f>
        <v>2022</v>
      </c>
      <c r="R119">
        <f>SMALL(Table47[[#This Row],[Admission Year]:[Follow Up Visit Year]],4)</f>
        <v>2023</v>
      </c>
      <c r="S119">
        <f>SMALL(Table47[[#This Row],[Admission Year]:[Follow Up Visit Year]],5)</f>
        <v>2024</v>
      </c>
      <c r="T119" t="e">
        <f>SMALL(Table47[[#This Row],[Admission Year]:[Follow Up Visit Year]],6)</f>
        <v>#NUM!</v>
      </c>
    </row>
    <row r="120" spans="1:20" x14ac:dyDescent="0.2">
      <c r="A120" t="s">
        <v>758</v>
      </c>
      <c r="B120" t="s">
        <v>759</v>
      </c>
      <c r="C120">
        <v>26</v>
      </c>
      <c r="D120" t="s">
        <v>160</v>
      </c>
      <c r="E120" t="s">
        <v>272</v>
      </c>
      <c r="F120">
        <v>2024</v>
      </c>
      <c r="G120">
        <v>2017</v>
      </c>
      <c r="H120">
        <v>2023</v>
      </c>
      <c r="I120">
        <v>2024</v>
      </c>
      <c r="J120">
        <v>2023</v>
      </c>
      <c r="L120" t="b">
        <f t="shared" si="1"/>
        <v>0</v>
      </c>
      <c r="O120">
        <f>SMALL(Table47[[#This Row],[Admission Year]:[Follow Up Visit Year]],1)</f>
        <v>2017</v>
      </c>
      <c r="P120">
        <f>SMALL(Table47[[#This Row],[Admission Year]:[Follow Up Visit Year]],2)</f>
        <v>2023</v>
      </c>
      <c r="Q120">
        <f>SMALL(Table47[[#This Row],[Admission Year]:[Follow Up Visit Year]],3)</f>
        <v>2023</v>
      </c>
      <c r="R120">
        <f>SMALL(Table47[[#This Row],[Admission Year]:[Follow Up Visit Year]],4)</f>
        <v>2024</v>
      </c>
      <c r="S120">
        <f>SMALL(Table47[[#This Row],[Admission Year]:[Follow Up Visit Year]],5)</f>
        <v>2024</v>
      </c>
      <c r="T120" t="e">
        <f>SMALL(Table47[[#This Row],[Admission Year]:[Follow Up Visit Year]],6)</f>
        <v>#NUM!</v>
      </c>
    </row>
    <row r="121" spans="1:20" x14ac:dyDescent="0.2">
      <c r="A121" t="s">
        <v>763</v>
      </c>
      <c r="B121" t="s">
        <v>764</v>
      </c>
      <c r="C121">
        <v>31</v>
      </c>
      <c r="D121" t="s">
        <v>160</v>
      </c>
      <c r="E121">
        <v>2024</v>
      </c>
      <c r="F121">
        <v>2024</v>
      </c>
      <c r="G121">
        <v>2017</v>
      </c>
      <c r="H121" t="s">
        <v>272</v>
      </c>
      <c r="I121" t="s">
        <v>272</v>
      </c>
      <c r="J121">
        <v>2024</v>
      </c>
      <c r="L121" t="b">
        <f t="shared" si="1"/>
        <v>0</v>
      </c>
      <c r="O121">
        <f>SMALL(Table47[[#This Row],[Admission Year]:[Follow Up Visit Year]],1)</f>
        <v>2017</v>
      </c>
      <c r="P121">
        <f>SMALL(Table47[[#This Row],[Admission Year]:[Follow Up Visit Year]],2)</f>
        <v>2024</v>
      </c>
      <c r="Q121">
        <f>SMALL(Table47[[#This Row],[Admission Year]:[Follow Up Visit Year]],3)</f>
        <v>2024</v>
      </c>
      <c r="R121">
        <f>SMALL(Table47[[#This Row],[Admission Year]:[Follow Up Visit Year]],4)</f>
        <v>2024</v>
      </c>
      <c r="S121" t="e">
        <f>SMALL(Table47[[#This Row],[Admission Year]:[Follow Up Visit Year]],5)</f>
        <v>#NUM!</v>
      </c>
      <c r="T121" t="e">
        <f>SMALL(Table47[[#This Row],[Admission Year]:[Follow Up Visit Year]],6)</f>
        <v>#NUM!</v>
      </c>
    </row>
    <row r="122" spans="1:20" x14ac:dyDescent="0.2">
      <c r="A122" t="s">
        <v>768</v>
      </c>
      <c r="B122" t="s">
        <v>769</v>
      </c>
      <c r="C122">
        <v>53</v>
      </c>
      <c r="D122" t="s">
        <v>146</v>
      </c>
      <c r="E122">
        <v>2023</v>
      </c>
      <c r="F122">
        <v>2024</v>
      </c>
      <c r="G122">
        <v>2017</v>
      </c>
      <c r="H122">
        <v>2020</v>
      </c>
      <c r="I122">
        <v>2024</v>
      </c>
      <c r="J122" t="s">
        <v>272</v>
      </c>
      <c r="L122" t="b">
        <f t="shared" si="1"/>
        <v>0</v>
      </c>
      <c r="O122">
        <f>SMALL(Table47[[#This Row],[Admission Year]:[Follow Up Visit Year]],1)</f>
        <v>2017</v>
      </c>
      <c r="P122">
        <f>SMALL(Table47[[#This Row],[Admission Year]:[Follow Up Visit Year]],2)</f>
        <v>2020</v>
      </c>
      <c r="Q122">
        <f>SMALL(Table47[[#This Row],[Admission Year]:[Follow Up Visit Year]],3)</f>
        <v>2023</v>
      </c>
      <c r="R122">
        <f>SMALL(Table47[[#This Row],[Admission Year]:[Follow Up Visit Year]],4)</f>
        <v>2024</v>
      </c>
      <c r="S122">
        <f>SMALL(Table47[[#This Row],[Admission Year]:[Follow Up Visit Year]],5)</f>
        <v>2024</v>
      </c>
      <c r="T122" t="e">
        <f>SMALL(Table47[[#This Row],[Admission Year]:[Follow Up Visit Year]],6)</f>
        <v>#NUM!</v>
      </c>
    </row>
    <row r="123" spans="1:20" x14ac:dyDescent="0.2">
      <c r="A123" t="s">
        <v>773</v>
      </c>
      <c r="B123" t="s">
        <v>774</v>
      </c>
      <c r="C123">
        <v>52</v>
      </c>
      <c r="D123" t="s">
        <v>146</v>
      </c>
      <c r="E123">
        <v>2024</v>
      </c>
      <c r="F123">
        <v>2019</v>
      </c>
      <c r="G123">
        <v>2017</v>
      </c>
      <c r="H123" t="s">
        <v>272</v>
      </c>
      <c r="I123">
        <v>2024</v>
      </c>
      <c r="J123">
        <v>2023</v>
      </c>
      <c r="L123" t="b">
        <f t="shared" si="1"/>
        <v>0</v>
      </c>
      <c r="O123">
        <f>SMALL(Table47[[#This Row],[Admission Year]:[Follow Up Visit Year]],1)</f>
        <v>2017</v>
      </c>
      <c r="P123">
        <f>SMALL(Table47[[#This Row],[Admission Year]:[Follow Up Visit Year]],2)</f>
        <v>2019</v>
      </c>
      <c r="Q123">
        <f>SMALL(Table47[[#This Row],[Admission Year]:[Follow Up Visit Year]],3)</f>
        <v>2023</v>
      </c>
      <c r="R123">
        <f>SMALL(Table47[[#This Row],[Admission Year]:[Follow Up Visit Year]],4)</f>
        <v>2024</v>
      </c>
      <c r="S123">
        <f>SMALL(Table47[[#This Row],[Admission Year]:[Follow Up Visit Year]],5)</f>
        <v>2024</v>
      </c>
      <c r="T123" t="e">
        <f>SMALL(Table47[[#This Row],[Admission Year]:[Follow Up Visit Year]],6)</f>
        <v>#NUM!</v>
      </c>
    </row>
    <row r="124" spans="1:20" x14ac:dyDescent="0.2">
      <c r="A124" t="s">
        <v>779</v>
      </c>
      <c r="B124" t="s">
        <v>780</v>
      </c>
      <c r="C124">
        <v>49</v>
      </c>
      <c r="D124" t="s">
        <v>160</v>
      </c>
      <c r="E124">
        <v>2023</v>
      </c>
      <c r="F124">
        <v>2017</v>
      </c>
      <c r="G124">
        <v>2017</v>
      </c>
      <c r="H124">
        <v>2020</v>
      </c>
      <c r="I124">
        <v>2023</v>
      </c>
      <c r="J124">
        <v>2023</v>
      </c>
      <c r="L124" t="b">
        <f t="shared" si="1"/>
        <v>0</v>
      </c>
      <c r="O124">
        <f>SMALL(Table47[[#This Row],[Admission Year]:[Follow Up Visit Year]],1)</f>
        <v>2017</v>
      </c>
      <c r="P124">
        <f>SMALL(Table47[[#This Row],[Admission Year]:[Follow Up Visit Year]],2)</f>
        <v>2017</v>
      </c>
      <c r="Q124">
        <f>SMALL(Table47[[#This Row],[Admission Year]:[Follow Up Visit Year]],3)</f>
        <v>2020</v>
      </c>
      <c r="R124">
        <f>SMALL(Table47[[#This Row],[Admission Year]:[Follow Up Visit Year]],4)</f>
        <v>2023</v>
      </c>
      <c r="S124">
        <f>SMALL(Table47[[#This Row],[Admission Year]:[Follow Up Visit Year]],5)</f>
        <v>2023</v>
      </c>
      <c r="T124">
        <f>SMALL(Table47[[#This Row],[Admission Year]:[Follow Up Visit Year]],6)</f>
        <v>2023</v>
      </c>
    </row>
    <row r="125" spans="1:20" x14ac:dyDescent="0.2">
      <c r="A125" t="s">
        <v>784</v>
      </c>
      <c r="B125" t="s">
        <v>785</v>
      </c>
      <c r="C125">
        <v>67</v>
      </c>
      <c r="D125" t="s">
        <v>160</v>
      </c>
      <c r="E125">
        <v>2024</v>
      </c>
      <c r="F125">
        <v>2024</v>
      </c>
      <c r="G125">
        <v>2018</v>
      </c>
      <c r="H125">
        <v>2022</v>
      </c>
      <c r="I125" t="s">
        <v>272</v>
      </c>
      <c r="J125">
        <v>2023</v>
      </c>
      <c r="L125" t="b">
        <f t="shared" si="1"/>
        <v>0</v>
      </c>
      <c r="O125">
        <f>SMALL(Table47[[#This Row],[Admission Year]:[Follow Up Visit Year]],1)</f>
        <v>2018</v>
      </c>
      <c r="P125">
        <f>SMALL(Table47[[#This Row],[Admission Year]:[Follow Up Visit Year]],2)</f>
        <v>2022</v>
      </c>
      <c r="Q125">
        <f>SMALL(Table47[[#This Row],[Admission Year]:[Follow Up Visit Year]],3)</f>
        <v>2023</v>
      </c>
      <c r="R125">
        <f>SMALL(Table47[[#This Row],[Admission Year]:[Follow Up Visit Year]],4)</f>
        <v>2024</v>
      </c>
      <c r="S125">
        <f>SMALL(Table47[[#This Row],[Admission Year]:[Follow Up Visit Year]],5)</f>
        <v>2024</v>
      </c>
      <c r="T125" t="e">
        <f>SMALL(Table47[[#This Row],[Admission Year]:[Follow Up Visit Year]],6)</f>
        <v>#NUM!</v>
      </c>
    </row>
    <row r="126" spans="1:20" x14ac:dyDescent="0.2">
      <c r="A126" t="s">
        <v>787</v>
      </c>
      <c r="B126" t="s">
        <v>788</v>
      </c>
      <c r="C126">
        <v>42</v>
      </c>
      <c r="D126" t="s">
        <v>160</v>
      </c>
      <c r="E126">
        <v>2023</v>
      </c>
      <c r="F126">
        <v>2023</v>
      </c>
      <c r="G126">
        <v>2018</v>
      </c>
      <c r="H126">
        <v>2020</v>
      </c>
      <c r="I126">
        <v>2023</v>
      </c>
      <c r="J126">
        <v>2022</v>
      </c>
      <c r="L126" t="b">
        <f t="shared" si="1"/>
        <v>0</v>
      </c>
      <c r="O126">
        <f>SMALL(Table47[[#This Row],[Admission Year]:[Follow Up Visit Year]],1)</f>
        <v>2018</v>
      </c>
      <c r="P126">
        <f>SMALL(Table47[[#This Row],[Admission Year]:[Follow Up Visit Year]],2)</f>
        <v>2020</v>
      </c>
      <c r="Q126">
        <f>SMALL(Table47[[#This Row],[Admission Year]:[Follow Up Visit Year]],3)</f>
        <v>2022</v>
      </c>
      <c r="R126">
        <f>SMALL(Table47[[#This Row],[Admission Year]:[Follow Up Visit Year]],4)</f>
        <v>2023</v>
      </c>
      <c r="S126">
        <f>SMALL(Table47[[#This Row],[Admission Year]:[Follow Up Visit Year]],5)</f>
        <v>2023</v>
      </c>
      <c r="T126">
        <f>SMALL(Table47[[#This Row],[Admission Year]:[Follow Up Visit Year]],6)</f>
        <v>2023</v>
      </c>
    </row>
    <row r="127" spans="1:20" x14ac:dyDescent="0.2">
      <c r="A127" t="s">
        <v>792</v>
      </c>
      <c r="B127" t="s">
        <v>793</v>
      </c>
      <c r="C127">
        <v>81</v>
      </c>
      <c r="D127" t="s">
        <v>146</v>
      </c>
      <c r="E127">
        <v>2024</v>
      </c>
      <c r="F127">
        <v>2023</v>
      </c>
      <c r="G127">
        <v>2018</v>
      </c>
      <c r="H127" t="s">
        <v>272</v>
      </c>
      <c r="I127" t="s">
        <v>272</v>
      </c>
      <c r="J127">
        <v>2023</v>
      </c>
      <c r="L127" t="b">
        <f t="shared" si="1"/>
        <v>0</v>
      </c>
      <c r="O127">
        <f>SMALL(Table47[[#This Row],[Admission Year]:[Follow Up Visit Year]],1)</f>
        <v>2018</v>
      </c>
      <c r="P127">
        <f>SMALL(Table47[[#This Row],[Admission Year]:[Follow Up Visit Year]],2)</f>
        <v>2023</v>
      </c>
      <c r="Q127">
        <f>SMALL(Table47[[#This Row],[Admission Year]:[Follow Up Visit Year]],3)</f>
        <v>2023</v>
      </c>
      <c r="R127">
        <f>SMALL(Table47[[#This Row],[Admission Year]:[Follow Up Visit Year]],4)</f>
        <v>2024</v>
      </c>
      <c r="S127" t="e">
        <f>SMALL(Table47[[#This Row],[Admission Year]:[Follow Up Visit Year]],5)</f>
        <v>#NUM!</v>
      </c>
      <c r="T127" t="e">
        <f>SMALL(Table47[[#This Row],[Admission Year]:[Follow Up Visit Year]],6)</f>
        <v>#NUM!</v>
      </c>
    </row>
    <row r="128" spans="1:20" x14ac:dyDescent="0.2">
      <c r="A128" t="s">
        <v>797</v>
      </c>
      <c r="B128" t="s">
        <v>798</v>
      </c>
      <c r="C128">
        <v>56</v>
      </c>
      <c r="D128" t="s">
        <v>160</v>
      </c>
      <c r="E128">
        <v>2024</v>
      </c>
      <c r="F128">
        <v>2023</v>
      </c>
      <c r="G128">
        <v>2018</v>
      </c>
      <c r="H128" t="s">
        <v>272</v>
      </c>
      <c r="I128" t="s">
        <v>272</v>
      </c>
      <c r="J128">
        <v>2020</v>
      </c>
      <c r="L128" t="b">
        <f t="shared" si="1"/>
        <v>0</v>
      </c>
      <c r="O128">
        <f>SMALL(Table47[[#This Row],[Admission Year]:[Follow Up Visit Year]],1)</f>
        <v>2018</v>
      </c>
      <c r="P128">
        <f>SMALL(Table47[[#This Row],[Admission Year]:[Follow Up Visit Year]],2)</f>
        <v>2020</v>
      </c>
      <c r="Q128">
        <f>SMALL(Table47[[#This Row],[Admission Year]:[Follow Up Visit Year]],3)</f>
        <v>2023</v>
      </c>
      <c r="R128">
        <f>SMALL(Table47[[#This Row],[Admission Year]:[Follow Up Visit Year]],4)</f>
        <v>2024</v>
      </c>
      <c r="S128" t="e">
        <f>SMALL(Table47[[#This Row],[Admission Year]:[Follow Up Visit Year]],5)</f>
        <v>#NUM!</v>
      </c>
      <c r="T128" t="e">
        <f>SMALL(Table47[[#This Row],[Admission Year]:[Follow Up Visit Year]],6)</f>
        <v>#NUM!</v>
      </c>
    </row>
    <row r="129" spans="1:20" x14ac:dyDescent="0.2">
      <c r="A129" t="s">
        <v>802</v>
      </c>
      <c r="B129" t="s">
        <v>803</v>
      </c>
      <c r="C129">
        <v>63</v>
      </c>
      <c r="D129" t="s">
        <v>146</v>
      </c>
      <c r="E129">
        <v>2024</v>
      </c>
      <c r="F129" t="s">
        <v>272</v>
      </c>
      <c r="G129">
        <v>2018</v>
      </c>
      <c r="H129" t="s">
        <v>272</v>
      </c>
      <c r="I129" t="s">
        <v>272</v>
      </c>
      <c r="J129" t="s">
        <v>272</v>
      </c>
      <c r="L129" t="b">
        <f t="shared" si="1"/>
        <v>0</v>
      </c>
      <c r="O129">
        <f>SMALL(Table47[[#This Row],[Admission Year]:[Follow Up Visit Year]],1)</f>
        <v>2018</v>
      </c>
      <c r="P129">
        <f>SMALL(Table47[[#This Row],[Admission Year]:[Follow Up Visit Year]],2)</f>
        <v>2024</v>
      </c>
      <c r="Q129" t="e">
        <f>SMALL(Table47[[#This Row],[Admission Year]:[Follow Up Visit Year]],3)</f>
        <v>#NUM!</v>
      </c>
      <c r="R129" t="e">
        <f>SMALL(Table47[[#This Row],[Admission Year]:[Follow Up Visit Year]],4)</f>
        <v>#NUM!</v>
      </c>
      <c r="S129" t="e">
        <f>SMALL(Table47[[#This Row],[Admission Year]:[Follow Up Visit Year]],5)</f>
        <v>#NUM!</v>
      </c>
      <c r="T129" t="e">
        <f>SMALL(Table47[[#This Row],[Admission Year]:[Follow Up Visit Year]],6)</f>
        <v>#NUM!</v>
      </c>
    </row>
    <row r="130" spans="1:20" x14ac:dyDescent="0.2">
      <c r="A130" t="s">
        <v>805</v>
      </c>
      <c r="B130" t="s">
        <v>806</v>
      </c>
      <c r="C130">
        <v>54</v>
      </c>
      <c r="D130" t="s">
        <v>160</v>
      </c>
      <c r="E130">
        <v>2023</v>
      </c>
      <c r="F130">
        <v>2018</v>
      </c>
      <c r="G130">
        <v>2018</v>
      </c>
      <c r="H130">
        <v>2023</v>
      </c>
      <c r="I130">
        <v>2024</v>
      </c>
      <c r="J130">
        <v>2023</v>
      </c>
      <c r="L130" t="b">
        <f t="shared" si="1"/>
        <v>0</v>
      </c>
      <c r="O130">
        <f>SMALL(Table47[[#This Row],[Admission Year]:[Follow Up Visit Year]],1)</f>
        <v>2018</v>
      </c>
      <c r="P130">
        <f>SMALL(Table47[[#This Row],[Admission Year]:[Follow Up Visit Year]],2)</f>
        <v>2018</v>
      </c>
      <c r="Q130">
        <f>SMALL(Table47[[#This Row],[Admission Year]:[Follow Up Visit Year]],3)</f>
        <v>2023</v>
      </c>
      <c r="R130">
        <f>SMALL(Table47[[#This Row],[Admission Year]:[Follow Up Visit Year]],4)</f>
        <v>2023</v>
      </c>
      <c r="S130">
        <f>SMALL(Table47[[#This Row],[Admission Year]:[Follow Up Visit Year]],5)</f>
        <v>2023</v>
      </c>
      <c r="T130">
        <f>SMALL(Table47[[#This Row],[Admission Year]:[Follow Up Visit Year]],6)</f>
        <v>2024</v>
      </c>
    </row>
    <row r="131" spans="1:20" x14ac:dyDescent="0.2">
      <c r="A131" t="s">
        <v>808</v>
      </c>
      <c r="B131" t="s">
        <v>809</v>
      </c>
      <c r="C131">
        <v>84</v>
      </c>
      <c r="D131" t="s">
        <v>146</v>
      </c>
      <c r="E131" t="s">
        <v>272</v>
      </c>
      <c r="F131">
        <v>2017</v>
      </c>
      <c r="G131">
        <v>2018</v>
      </c>
      <c r="H131">
        <v>2024</v>
      </c>
      <c r="I131">
        <v>2023</v>
      </c>
      <c r="J131">
        <v>2024</v>
      </c>
      <c r="L131" t="b">
        <f t="shared" si="1"/>
        <v>0</v>
      </c>
      <c r="O131">
        <f>SMALL(Table47[[#This Row],[Admission Year]:[Follow Up Visit Year]],1)</f>
        <v>2017</v>
      </c>
      <c r="P131">
        <f>SMALL(Table47[[#This Row],[Admission Year]:[Follow Up Visit Year]],2)</f>
        <v>2018</v>
      </c>
      <c r="Q131">
        <f>SMALL(Table47[[#This Row],[Admission Year]:[Follow Up Visit Year]],3)</f>
        <v>2023</v>
      </c>
      <c r="R131">
        <f>SMALL(Table47[[#This Row],[Admission Year]:[Follow Up Visit Year]],4)</f>
        <v>2024</v>
      </c>
      <c r="S131">
        <f>SMALL(Table47[[#This Row],[Admission Year]:[Follow Up Visit Year]],5)</f>
        <v>2024</v>
      </c>
      <c r="T131" t="e">
        <f>SMALL(Table47[[#This Row],[Admission Year]:[Follow Up Visit Year]],6)</f>
        <v>#NUM!</v>
      </c>
    </row>
    <row r="132" spans="1:20" x14ac:dyDescent="0.2">
      <c r="A132" t="s">
        <v>815</v>
      </c>
      <c r="B132" t="s">
        <v>816</v>
      </c>
      <c r="C132">
        <v>66</v>
      </c>
      <c r="D132" t="s">
        <v>146</v>
      </c>
      <c r="E132">
        <v>2024</v>
      </c>
      <c r="F132">
        <v>2017</v>
      </c>
      <c r="G132">
        <v>2018</v>
      </c>
      <c r="H132" t="s">
        <v>272</v>
      </c>
      <c r="I132">
        <v>2024</v>
      </c>
      <c r="J132" t="s">
        <v>272</v>
      </c>
      <c r="L132" t="b">
        <f t="shared" ref="L132:L134" si="2">AND(E132&lt;&gt;"",F132&lt;&gt;"",G132&lt;&gt;"",H132&lt;&gt;"",I132&lt;&gt;"",J132&lt;&gt;"",E132&lt;=F132,F132&lt;=G132,G132&lt;=H132,H132&lt;=I132,I132&lt;=J132)</f>
        <v>0</v>
      </c>
      <c r="O132">
        <f>SMALL(Table47[[#This Row],[Admission Year]:[Follow Up Visit Year]],1)</f>
        <v>2017</v>
      </c>
      <c r="P132">
        <f>SMALL(Table47[[#This Row],[Admission Year]:[Follow Up Visit Year]],2)</f>
        <v>2018</v>
      </c>
      <c r="Q132">
        <f>SMALL(Table47[[#This Row],[Admission Year]:[Follow Up Visit Year]],3)</f>
        <v>2024</v>
      </c>
      <c r="R132">
        <f>SMALL(Table47[[#This Row],[Admission Year]:[Follow Up Visit Year]],4)</f>
        <v>2024</v>
      </c>
      <c r="S132" t="e">
        <f>SMALL(Table47[[#This Row],[Admission Year]:[Follow Up Visit Year]],5)</f>
        <v>#NUM!</v>
      </c>
      <c r="T132" t="e">
        <f>SMALL(Table47[[#This Row],[Admission Year]:[Follow Up Visit Year]],6)</f>
        <v>#NUM!</v>
      </c>
    </row>
    <row r="133" spans="1:20" x14ac:dyDescent="0.2">
      <c r="A133" t="s">
        <v>820</v>
      </c>
      <c r="B133" t="s">
        <v>821</v>
      </c>
      <c r="C133">
        <v>22</v>
      </c>
      <c r="D133" t="s">
        <v>146</v>
      </c>
      <c r="E133">
        <v>2024</v>
      </c>
      <c r="F133">
        <v>2016</v>
      </c>
      <c r="G133">
        <v>2018</v>
      </c>
      <c r="H133">
        <v>2024</v>
      </c>
      <c r="I133" t="s">
        <v>272</v>
      </c>
      <c r="J133">
        <v>2026</v>
      </c>
      <c r="L133" t="b">
        <f t="shared" si="2"/>
        <v>0</v>
      </c>
      <c r="O133">
        <f>SMALL(Table47[[#This Row],[Admission Year]:[Follow Up Visit Year]],1)</f>
        <v>2016</v>
      </c>
      <c r="P133">
        <f>SMALL(Table47[[#This Row],[Admission Year]:[Follow Up Visit Year]],2)</f>
        <v>2018</v>
      </c>
      <c r="Q133">
        <f>SMALL(Table47[[#This Row],[Admission Year]:[Follow Up Visit Year]],3)</f>
        <v>2024</v>
      </c>
      <c r="R133">
        <f>SMALL(Table47[[#This Row],[Admission Year]:[Follow Up Visit Year]],4)</f>
        <v>2024</v>
      </c>
      <c r="S133">
        <f>SMALL(Table47[[#This Row],[Admission Year]:[Follow Up Visit Year]],5)</f>
        <v>2026</v>
      </c>
      <c r="T133" t="e">
        <f>SMALL(Table47[[#This Row],[Admission Year]:[Follow Up Visit Year]],6)</f>
        <v>#NUM!</v>
      </c>
    </row>
    <row r="134" spans="1:20" x14ac:dyDescent="0.2">
      <c r="A134" t="s">
        <v>825</v>
      </c>
      <c r="B134" t="s">
        <v>826</v>
      </c>
      <c r="C134">
        <v>20</v>
      </c>
      <c r="D134" t="s">
        <v>160</v>
      </c>
      <c r="E134">
        <v>2023</v>
      </c>
      <c r="F134">
        <v>2023</v>
      </c>
      <c r="G134">
        <v>2018</v>
      </c>
      <c r="H134">
        <v>2003</v>
      </c>
      <c r="I134" t="s">
        <v>272</v>
      </c>
      <c r="J134">
        <v>2024</v>
      </c>
      <c r="L134" t="b">
        <f t="shared" si="2"/>
        <v>0</v>
      </c>
      <c r="O134">
        <f>SMALL(Table47[[#This Row],[Admission Year]:[Follow Up Visit Year]],1)</f>
        <v>2003</v>
      </c>
      <c r="P134">
        <f>SMALL(Table47[[#This Row],[Admission Year]:[Follow Up Visit Year]],2)</f>
        <v>2018</v>
      </c>
      <c r="Q134">
        <f>SMALL(Table47[[#This Row],[Admission Year]:[Follow Up Visit Year]],3)</f>
        <v>2023</v>
      </c>
      <c r="R134">
        <f>SMALL(Table47[[#This Row],[Admission Year]:[Follow Up Visit Year]],4)</f>
        <v>2023</v>
      </c>
      <c r="S134">
        <f>SMALL(Table47[[#This Row],[Admission Year]:[Follow Up Visit Year]],5)</f>
        <v>2024</v>
      </c>
      <c r="T134" t="e">
        <f>SMALL(Table47[[#This Row],[Admission Year]:[Follow Up Visit Year]],6)</f>
        <v>#NUM!</v>
      </c>
    </row>
  </sheetData>
  <mergeCells count="1">
    <mergeCell ref="O1:T1"/>
  </mergeCells>
  <pageMargins left="0.7" right="0.7" top="0.75" bottom="0.75" header="0.3" footer="0.3"/>
  <ignoredErrors>
    <ignoredError sqref="T12 T13:T73" evalError="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3"/>
  <sheetViews>
    <sheetView workbookViewId="0">
      <selection activeCell="E2" sqref="E2"/>
    </sheetView>
  </sheetViews>
  <sheetFormatPr defaultRowHeight="14.25" x14ac:dyDescent="0.2"/>
  <cols>
    <col min="1" max="1" width="11.5" customWidth="1"/>
    <col min="2" max="2" width="10.625" bestFit="1" customWidth="1"/>
    <col min="3" max="3" width="6.125" customWidth="1"/>
    <col min="4" max="4" width="9.125" customWidth="1"/>
    <col min="5" max="5" width="16.5" customWidth="1"/>
    <col min="6" max="6" width="15.75" customWidth="1"/>
    <col min="7" max="7" width="20.75" customWidth="1"/>
    <col min="8" max="8" width="14.25" customWidth="1"/>
    <col min="9" max="9" width="16" customWidth="1"/>
    <col min="10" max="10" width="20.25" customWidth="1"/>
    <col min="11" max="11" width="14.25" bestFit="1" customWidth="1"/>
    <col min="12" max="12" width="17.125" bestFit="1" customWidth="1"/>
    <col min="13" max="13" width="17.5" bestFit="1" customWidth="1"/>
  </cols>
  <sheetData>
    <row r="1" spans="1:13" x14ac:dyDescent="0.2">
      <c r="A1" t="s">
        <v>135</v>
      </c>
      <c r="B1" t="s">
        <v>136</v>
      </c>
      <c r="C1" t="s">
        <v>137</v>
      </c>
      <c r="D1" t="s">
        <v>138</v>
      </c>
      <c r="E1" t="s">
        <v>1322</v>
      </c>
      <c r="F1" t="s">
        <v>1323</v>
      </c>
      <c r="G1" t="s">
        <v>1324</v>
      </c>
      <c r="H1" t="s">
        <v>1325</v>
      </c>
      <c r="I1" t="s">
        <v>1326</v>
      </c>
      <c r="J1" t="s">
        <v>1327</v>
      </c>
      <c r="K1" s="6" t="s">
        <v>1350</v>
      </c>
      <c r="L1" s="6" t="s">
        <v>1348</v>
      </c>
      <c r="M1" s="6" t="s">
        <v>1349</v>
      </c>
    </row>
    <row r="2" spans="1:13" x14ac:dyDescent="0.2">
      <c r="A2" t="s">
        <v>145</v>
      </c>
      <c r="B2" t="s">
        <v>952</v>
      </c>
      <c r="C2">
        <v>71</v>
      </c>
      <c r="D2" t="s">
        <v>146</v>
      </c>
      <c r="E2" s="32">
        <v>2016</v>
      </c>
      <c r="F2" s="32">
        <v>2018</v>
      </c>
      <c r="G2" s="32">
        <v>2023</v>
      </c>
      <c r="H2" s="32">
        <v>2023</v>
      </c>
      <c r="I2" s="32">
        <v>2023</v>
      </c>
      <c r="J2" s="32">
        <v>2024</v>
      </c>
      <c r="K2">
        <f>Table3[[#This Row],[Discharge Year]]-Table3[[#This Row],[Admission Year]]</f>
        <v>7</v>
      </c>
      <c r="L2">
        <f>Table3[[#This Row],[Diagnosis Year]]-Table3[[#This Row],[Admission Year]]</f>
        <v>2</v>
      </c>
      <c r="M2">
        <f>Table3[[#This Row],[Treatment Start Year]]-Table3[[#This Row],[Diagnosis Year]]</f>
        <v>5</v>
      </c>
    </row>
    <row r="3" spans="1:13" x14ac:dyDescent="0.2">
      <c r="A3" t="s">
        <v>151</v>
      </c>
      <c r="B3" t="s">
        <v>152</v>
      </c>
      <c r="C3">
        <v>34</v>
      </c>
      <c r="D3" t="s">
        <v>146</v>
      </c>
      <c r="E3" s="32">
        <v>2016</v>
      </c>
      <c r="F3" s="32">
        <v>2017</v>
      </c>
      <c r="G3" s="32">
        <v>2023</v>
      </c>
      <c r="H3" s="32">
        <v>2024</v>
      </c>
      <c r="I3" s="32">
        <v>2024</v>
      </c>
      <c r="J3" s="32">
        <v>2024</v>
      </c>
      <c r="K3">
        <f>Table3[[#This Row],[Discharge Year]]-Table3[[#This Row],[Admission Year]]</f>
        <v>8</v>
      </c>
      <c r="L3">
        <f>Table3[[#This Row],[Diagnosis Year]]-Table3[[#This Row],[Admission Year]]</f>
        <v>1</v>
      </c>
      <c r="M3">
        <f>Table3[[#This Row],[Treatment Start Year]]-Table3[[#This Row],[Diagnosis Year]]</f>
        <v>6</v>
      </c>
    </row>
    <row r="4" spans="1:13" x14ac:dyDescent="0.2">
      <c r="A4" t="s">
        <v>158</v>
      </c>
      <c r="B4" t="s">
        <v>159</v>
      </c>
      <c r="C4">
        <v>57</v>
      </c>
      <c r="D4" t="s">
        <v>160</v>
      </c>
      <c r="E4" s="32">
        <v>2003</v>
      </c>
      <c r="F4" s="32">
        <v>2016</v>
      </c>
      <c r="G4" s="32">
        <v>2018</v>
      </c>
      <c r="H4" s="32">
        <v>2018</v>
      </c>
      <c r="I4" s="32">
        <v>2022</v>
      </c>
      <c r="J4" s="32">
        <v>2023</v>
      </c>
      <c r="K4">
        <f>Table3[[#This Row],[Discharge Year]]-Table3[[#This Row],[Admission Year]]</f>
        <v>19</v>
      </c>
      <c r="L4">
        <f>Table3[[#This Row],[Diagnosis Year]]-Table3[[#This Row],[Admission Year]]</f>
        <v>13</v>
      </c>
      <c r="M4">
        <f>Table3[[#This Row],[Treatment Start Year]]-Table3[[#This Row],[Diagnosis Year]]</f>
        <v>2</v>
      </c>
    </row>
    <row r="5" spans="1:13" x14ac:dyDescent="0.2">
      <c r="A5" t="s">
        <v>166</v>
      </c>
      <c r="B5" t="s">
        <v>167</v>
      </c>
      <c r="C5">
        <v>24</v>
      </c>
      <c r="D5" t="s">
        <v>160</v>
      </c>
      <c r="E5" s="32">
        <v>2018</v>
      </c>
      <c r="F5" s="32">
        <v>2018</v>
      </c>
      <c r="G5" s="32">
        <v>2023</v>
      </c>
      <c r="H5" s="32">
        <v>2024</v>
      </c>
      <c r="I5" s="32">
        <v>2024</v>
      </c>
      <c r="J5" s="32">
        <v>2024</v>
      </c>
      <c r="K5">
        <f>Table3[[#This Row],[Discharge Year]]-Table3[[#This Row],[Admission Year]]</f>
        <v>6</v>
      </c>
      <c r="L5">
        <f>Table3[[#This Row],[Diagnosis Year]]-Table3[[#This Row],[Admission Year]]</f>
        <v>0</v>
      </c>
      <c r="M5">
        <f>Table3[[#This Row],[Treatment Start Year]]-Table3[[#This Row],[Diagnosis Year]]</f>
        <v>5</v>
      </c>
    </row>
    <row r="6" spans="1:13" x14ac:dyDescent="0.2">
      <c r="A6" t="s">
        <v>172</v>
      </c>
      <c r="B6" t="s">
        <v>173</v>
      </c>
      <c r="C6">
        <v>33</v>
      </c>
      <c r="D6" t="s">
        <v>146</v>
      </c>
      <c r="E6" s="32">
        <v>2017</v>
      </c>
      <c r="F6" s="32">
        <v>2018</v>
      </c>
      <c r="G6" s="32">
        <v>2023</v>
      </c>
      <c r="H6" s="32">
        <v>2023</v>
      </c>
      <c r="I6" s="32">
        <v>2023</v>
      </c>
      <c r="J6" s="32">
        <v>2024</v>
      </c>
      <c r="K6">
        <f>Table3[[#This Row],[Discharge Year]]-Table3[[#This Row],[Admission Year]]</f>
        <v>6</v>
      </c>
      <c r="L6">
        <f>Table3[[#This Row],[Diagnosis Year]]-Table3[[#This Row],[Admission Year]]</f>
        <v>1</v>
      </c>
      <c r="M6">
        <f>Table3[[#This Row],[Treatment Start Year]]-Table3[[#This Row],[Diagnosis Year]]</f>
        <v>5</v>
      </c>
    </row>
    <row r="7" spans="1:13" x14ac:dyDescent="0.2">
      <c r="A7" t="s">
        <v>178</v>
      </c>
      <c r="B7" t="s">
        <v>953</v>
      </c>
      <c r="C7">
        <v>46</v>
      </c>
      <c r="D7" t="s">
        <v>160</v>
      </c>
      <c r="E7" s="32">
        <v>2016</v>
      </c>
      <c r="F7" s="32">
        <v>2017</v>
      </c>
      <c r="G7" s="32">
        <v>2022</v>
      </c>
      <c r="H7" s="32">
        <v>2023</v>
      </c>
      <c r="I7" s="32">
        <v>2023</v>
      </c>
      <c r="J7" s="32">
        <v>2024</v>
      </c>
      <c r="K7">
        <f>Table3[[#This Row],[Discharge Year]]-Table3[[#This Row],[Admission Year]]</f>
        <v>7</v>
      </c>
      <c r="L7">
        <f>Table3[[#This Row],[Diagnosis Year]]-Table3[[#This Row],[Admission Year]]</f>
        <v>1</v>
      </c>
      <c r="M7">
        <f>Table3[[#This Row],[Treatment Start Year]]-Table3[[#This Row],[Diagnosis Year]]</f>
        <v>5</v>
      </c>
    </row>
    <row r="8" spans="1:13" x14ac:dyDescent="0.2">
      <c r="A8" t="s">
        <v>183</v>
      </c>
      <c r="B8" t="s">
        <v>954</v>
      </c>
      <c r="C8">
        <v>28</v>
      </c>
      <c r="D8" t="s">
        <v>146</v>
      </c>
      <c r="E8" s="32">
        <v>2003</v>
      </c>
      <c r="F8" s="32">
        <v>2016</v>
      </c>
      <c r="G8" s="32">
        <v>2017</v>
      </c>
      <c r="H8" s="32">
        <v>2022</v>
      </c>
      <c r="I8" s="32">
        <v>2023</v>
      </c>
      <c r="J8" s="32">
        <v>2025</v>
      </c>
      <c r="K8">
        <f>Table3[[#This Row],[Discharge Year]]-Table3[[#This Row],[Admission Year]]</f>
        <v>20</v>
      </c>
      <c r="L8">
        <f>Table3[[#This Row],[Diagnosis Year]]-Table3[[#This Row],[Admission Year]]</f>
        <v>13</v>
      </c>
      <c r="M8">
        <f>Table3[[#This Row],[Treatment Start Year]]-Table3[[#This Row],[Diagnosis Year]]</f>
        <v>1</v>
      </c>
    </row>
    <row r="9" spans="1:13" x14ac:dyDescent="0.2">
      <c r="A9" t="s">
        <v>185</v>
      </c>
      <c r="B9" t="s">
        <v>186</v>
      </c>
      <c r="C9">
        <v>34</v>
      </c>
      <c r="D9" t="s">
        <v>146</v>
      </c>
      <c r="E9" s="32">
        <v>2016</v>
      </c>
      <c r="F9" s="32">
        <v>2017</v>
      </c>
      <c r="G9" s="32">
        <v>2022</v>
      </c>
      <c r="H9" s="32">
        <v>2023</v>
      </c>
      <c r="I9" s="32">
        <v>2024</v>
      </c>
      <c r="J9" s="32">
        <v>2025</v>
      </c>
      <c r="K9">
        <f>Table3[[#This Row],[Discharge Year]]-Table3[[#This Row],[Admission Year]]</f>
        <v>8</v>
      </c>
      <c r="L9">
        <f>Table3[[#This Row],[Diagnosis Year]]-Table3[[#This Row],[Admission Year]]</f>
        <v>1</v>
      </c>
      <c r="M9">
        <f>Table3[[#This Row],[Treatment Start Year]]-Table3[[#This Row],[Diagnosis Year]]</f>
        <v>5</v>
      </c>
    </row>
    <row r="10" spans="1:13" x14ac:dyDescent="0.2">
      <c r="A10" t="s">
        <v>189</v>
      </c>
      <c r="B10" t="s">
        <v>955</v>
      </c>
      <c r="C10">
        <v>61</v>
      </c>
      <c r="D10" t="s">
        <v>160</v>
      </c>
      <c r="E10" s="32">
        <v>2016</v>
      </c>
      <c r="F10" s="32">
        <v>2018</v>
      </c>
      <c r="G10" s="32">
        <v>2023</v>
      </c>
      <c r="H10" s="32">
        <v>2024</v>
      </c>
      <c r="I10" s="32">
        <v>2024</v>
      </c>
      <c r="J10" s="32">
        <v>2024</v>
      </c>
      <c r="K10">
        <f>Table3[[#This Row],[Discharge Year]]-Table3[[#This Row],[Admission Year]]</f>
        <v>8</v>
      </c>
      <c r="L10">
        <f>Table3[[#This Row],[Diagnosis Year]]-Table3[[#This Row],[Admission Year]]</f>
        <v>2</v>
      </c>
      <c r="M10">
        <f>Table3[[#This Row],[Treatment Start Year]]-Table3[[#This Row],[Diagnosis Year]]</f>
        <v>5</v>
      </c>
    </row>
    <row r="11" spans="1:13" x14ac:dyDescent="0.2">
      <c r="A11" t="s">
        <v>194</v>
      </c>
      <c r="B11" t="s">
        <v>195</v>
      </c>
      <c r="C11">
        <v>70</v>
      </c>
      <c r="D11" t="s">
        <v>160</v>
      </c>
      <c r="E11" s="32">
        <v>2018</v>
      </c>
      <c r="F11" s="32">
        <v>2023</v>
      </c>
      <c r="G11" s="32">
        <v>2023</v>
      </c>
      <c r="H11" s="32">
        <v>2023</v>
      </c>
      <c r="I11" s="32">
        <v>2024</v>
      </c>
      <c r="J11" s="32" t="s">
        <v>272</v>
      </c>
      <c r="K11">
        <f>Table3[[#This Row],[Discharge Year]]-Table3[[#This Row],[Admission Year]]</f>
        <v>6</v>
      </c>
      <c r="L11">
        <f>Table3[[#This Row],[Diagnosis Year]]-Table3[[#This Row],[Admission Year]]</f>
        <v>5</v>
      </c>
      <c r="M11">
        <f>Table3[[#This Row],[Treatment Start Year]]-Table3[[#This Row],[Diagnosis Year]]</f>
        <v>0</v>
      </c>
    </row>
    <row r="12" spans="1:13" x14ac:dyDescent="0.2">
      <c r="A12" t="s">
        <v>200</v>
      </c>
      <c r="B12" t="s">
        <v>201</v>
      </c>
      <c r="C12">
        <v>82</v>
      </c>
      <c r="D12" t="s">
        <v>146</v>
      </c>
      <c r="E12" s="32">
        <v>2018</v>
      </c>
      <c r="F12" s="32">
        <v>2018</v>
      </c>
      <c r="G12" s="32">
        <v>2023</v>
      </c>
      <c r="H12" s="32">
        <v>2023</v>
      </c>
      <c r="I12" s="32">
        <v>2023</v>
      </c>
      <c r="J12" s="32" t="s">
        <v>272</v>
      </c>
      <c r="K12">
        <f>Table3[[#This Row],[Discharge Year]]-Table3[[#This Row],[Admission Year]]</f>
        <v>5</v>
      </c>
      <c r="L12">
        <f>Table3[[#This Row],[Diagnosis Year]]-Table3[[#This Row],[Admission Year]]</f>
        <v>0</v>
      </c>
      <c r="M12">
        <f>Table3[[#This Row],[Treatment Start Year]]-Table3[[#This Row],[Diagnosis Year]]</f>
        <v>5</v>
      </c>
    </row>
    <row r="13" spans="1:13" x14ac:dyDescent="0.2">
      <c r="A13" t="s">
        <v>207</v>
      </c>
      <c r="B13" t="s">
        <v>956</v>
      </c>
      <c r="C13">
        <v>71</v>
      </c>
      <c r="D13" t="s">
        <v>160</v>
      </c>
      <c r="E13" s="32">
        <v>2018</v>
      </c>
      <c r="F13" s="32">
        <v>2018</v>
      </c>
      <c r="G13" s="32">
        <v>2024</v>
      </c>
      <c r="H13" s="32">
        <v>2024</v>
      </c>
      <c r="I13" s="32">
        <v>2024</v>
      </c>
      <c r="J13" s="32">
        <v>2024</v>
      </c>
      <c r="K13">
        <f>Table3[[#This Row],[Discharge Year]]-Table3[[#This Row],[Admission Year]]</f>
        <v>6</v>
      </c>
      <c r="L13">
        <f>Table3[[#This Row],[Diagnosis Year]]-Table3[[#This Row],[Admission Year]]</f>
        <v>0</v>
      </c>
      <c r="M13">
        <f>Table3[[#This Row],[Treatment Start Year]]-Table3[[#This Row],[Diagnosis Year]]</f>
        <v>6</v>
      </c>
    </row>
    <row r="14" spans="1:13" x14ac:dyDescent="0.2">
      <c r="A14" t="s">
        <v>212</v>
      </c>
      <c r="B14" t="s">
        <v>213</v>
      </c>
      <c r="C14">
        <v>23</v>
      </c>
      <c r="D14" t="s">
        <v>160</v>
      </c>
      <c r="E14" s="32">
        <v>2018</v>
      </c>
      <c r="F14" s="32">
        <v>2023</v>
      </c>
      <c r="G14" s="32">
        <v>2023</v>
      </c>
      <c r="H14" s="32">
        <v>2023</v>
      </c>
      <c r="I14" s="32">
        <v>2023</v>
      </c>
      <c r="J14" s="32">
        <v>2024</v>
      </c>
      <c r="K14">
        <f>Table3[[#This Row],[Discharge Year]]-Table3[[#This Row],[Admission Year]]</f>
        <v>5</v>
      </c>
      <c r="L14">
        <f>Table3[[#This Row],[Diagnosis Year]]-Table3[[#This Row],[Admission Year]]</f>
        <v>5</v>
      </c>
      <c r="M14">
        <f>Table3[[#This Row],[Treatment Start Year]]-Table3[[#This Row],[Diagnosis Year]]</f>
        <v>0</v>
      </c>
    </row>
    <row r="15" spans="1:13" x14ac:dyDescent="0.2">
      <c r="A15" t="s">
        <v>217</v>
      </c>
      <c r="B15" t="s">
        <v>218</v>
      </c>
      <c r="C15">
        <v>21</v>
      </c>
      <c r="D15" t="s">
        <v>146</v>
      </c>
      <c r="E15" s="32">
        <v>2016</v>
      </c>
      <c r="F15" s="32">
        <v>2018</v>
      </c>
      <c r="G15" s="32">
        <v>2020</v>
      </c>
      <c r="H15" s="32">
        <v>2022</v>
      </c>
      <c r="I15" s="32">
        <v>2023</v>
      </c>
      <c r="J15" s="32">
        <v>2023</v>
      </c>
      <c r="K15">
        <f>Table3[[#This Row],[Discharge Year]]-Table3[[#This Row],[Admission Year]]</f>
        <v>7</v>
      </c>
      <c r="L15">
        <f>Table3[[#This Row],[Diagnosis Year]]-Table3[[#This Row],[Admission Year]]</f>
        <v>2</v>
      </c>
      <c r="M15">
        <f>Table3[[#This Row],[Treatment Start Year]]-Table3[[#This Row],[Diagnosis Year]]</f>
        <v>2</v>
      </c>
    </row>
    <row r="16" spans="1:13" x14ac:dyDescent="0.2">
      <c r="A16" t="s">
        <v>224</v>
      </c>
      <c r="B16" t="s">
        <v>854</v>
      </c>
      <c r="C16">
        <v>42</v>
      </c>
      <c r="D16" t="s">
        <v>146</v>
      </c>
      <c r="E16" s="32">
        <v>2018</v>
      </c>
      <c r="F16" s="32">
        <v>2023</v>
      </c>
      <c r="G16" s="32">
        <v>2023</v>
      </c>
      <c r="H16" s="32">
        <v>2023</v>
      </c>
      <c r="I16" s="32">
        <v>2024</v>
      </c>
      <c r="J16" s="32">
        <v>2024</v>
      </c>
      <c r="K16">
        <f>Table3[[#This Row],[Discharge Year]]-Table3[[#This Row],[Admission Year]]</f>
        <v>6</v>
      </c>
      <c r="L16">
        <f>Table3[[#This Row],[Diagnosis Year]]-Table3[[#This Row],[Admission Year]]</f>
        <v>5</v>
      </c>
      <c r="M16">
        <f>Table3[[#This Row],[Treatment Start Year]]-Table3[[#This Row],[Diagnosis Year]]</f>
        <v>0</v>
      </c>
    </row>
    <row r="17" spans="1:13" x14ac:dyDescent="0.2">
      <c r="A17" t="s">
        <v>230</v>
      </c>
      <c r="B17" t="s">
        <v>231</v>
      </c>
      <c r="C17">
        <v>34</v>
      </c>
      <c r="D17" t="s">
        <v>146</v>
      </c>
      <c r="E17" s="32">
        <v>2018</v>
      </c>
      <c r="F17" s="32">
        <v>2023</v>
      </c>
      <c r="G17" s="32">
        <v>2023</v>
      </c>
      <c r="H17" s="32">
        <v>2023</v>
      </c>
      <c r="I17" s="32">
        <v>2023</v>
      </c>
      <c r="J17" s="32" t="s">
        <v>272</v>
      </c>
      <c r="K17">
        <f>Table3[[#This Row],[Discharge Year]]-Table3[[#This Row],[Admission Year]]</f>
        <v>5</v>
      </c>
      <c r="L17">
        <f>Table3[[#This Row],[Diagnosis Year]]-Table3[[#This Row],[Admission Year]]</f>
        <v>5</v>
      </c>
      <c r="M17">
        <f>Table3[[#This Row],[Treatment Start Year]]-Table3[[#This Row],[Diagnosis Year]]</f>
        <v>0</v>
      </c>
    </row>
    <row r="18" spans="1:13" x14ac:dyDescent="0.2">
      <c r="A18" t="s">
        <v>235</v>
      </c>
      <c r="B18" t="s">
        <v>236</v>
      </c>
      <c r="C18">
        <v>62</v>
      </c>
      <c r="D18" t="s">
        <v>160</v>
      </c>
      <c r="E18" s="32">
        <v>2018</v>
      </c>
      <c r="F18" s="32">
        <v>2022</v>
      </c>
      <c r="G18" s="32">
        <v>2023</v>
      </c>
      <c r="H18" s="32">
        <v>2023</v>
      </c>
      <c r="I18" s="32">
        <v>2024</v>
      </c>
      <c r="J18" s="32">
        <v>2024</v>
      </c>
      <c r="K18">
        <f>Table3[[#This Row],[Discharge Year]]-Table3[[#This Row],[Admission Year]]</f>
        <v>6</v>
      </c>
      <c r="L18">
        <f>Table3[[#This Row],[Diagnosis Year]]-Table3[[#This Row],[Admission Year]]</f>
        <v>4</v>
      </c>
      <c r="M18">
        <f>Table3[[#This Row],[Treatment Start Year]]-Table3[[#This Row],[Diagnosis Year]]</f>
        <v>1</v>
      </c>
    </row>
    <row r="19" spans="1:13" x14ac:dyDescent="0.2">
      <c r="A19" t="s">
        <v>240</v>
      </c>
      <c r="B19" t="s">
        <v>241</v>
      </c>
      <c r="C19">
        <v>48</v>
      </c>
      <c r="D19" t="s">
        <v>146</v>
      </c>
      <c r="E19" s="32">
        <v>2017</v>
      </c>
      <c r="F19" s="32">
        <v>2019</v>
      </c>
      <c r="G19" s="32">
        <v>2022</v>
      </c>
      <c r="H19" s="32">
        <v>2023</v>
      </c>
      <c r="I19" s="32">
        <v>2024</v>
      </c>
      <c r="J19" s="32">
        <v>2024</v>
      </c>
      <c r="K19">
        <f>Table3[[#This Row],[Discharge Year]]-Table3[[#This Row],[Admission Year]]</f>
        <v>7</v>
      </c>
      <c r="L19">
        <f>Table3[[#This Row],[Diagnosis Year]]-Table3[[#This Row],[Admission Year]]</f>
        <v>2</v>
      </c>
      <c r="M19">
        <f>Table3[[#This Row],[Treatment Start Year]]-Table3[[#This Row],[Diagnosis Year]]</f>
        <v>3</v>
      </c>
    </row>
    <row r="20" spans="1:13" x14ac:dyDescent="0.2">
      <c r="A20" t="s">
        <v>247</v>
      </c>
      <c r="B20" t="s">
        <v>248</v>
      </c>
      <c r="C20">
        <v>55</v>
      </c>
      <c r="D20" t="s">
        <v>146</v>
      </c>
      <c r="E20" s="32">
        <v>2017</v>
      </c>
      <c r="F20" s="32">
        <v>2023</v>
      </c>
      <c r="G20" s="32">
        <v>2023</v>
      </c>
      <c r="H20" s="32">
        <v>2023</v>
      </c>
      <c r="I20" s="32">
        <v>2023</v>
      </c>
      <c r="J20" s="32">
        <v>2024</v>
      </c>
      <c r="K20">
        <f>Table3[[#This Row],[Discharge Year]]-Table3[[#This Row],[Admission Year]]</f>
        <v>6</v>
      </c>
      <c r="L20">
        <f>Table3[[#This Row],[Diagnosis Year]]-Table3[[#This Row],[Admission Year]]</f>
        <v>6</v>
      </c>
      <c r="M20">
        <f>Table3[[#This Row],[Treatment Start Year]]-Table3[[#This Row],[Diagnosis Year]]</f>
        <v>0</v>
      </c>
    </row>
    <row r="21" spans="1:13" x14ac:dyDescent="0.2">
      <c r="A21" t="s">
        <v>252</v>
      </c>
      <c r="B21" t="s">
        <v>253</v>
      </c>
      <c r="C21">
        <v>32</v>
      </c>
      <c r="D21" t="s">
        <v>160</v>
      </c>
      <c r="E21" s="32">
        <v>2017</v>
      </c>
      <c r="F21" s="32">
        <v>2017</v>
      </c>
      <c r="G21" s="32">
        <v>2023</v>
      </c>
      <c r="H21" s="32">
        <v>2023</v>
      </c>
      <c r="I21" s="32">
        <v>2024</v>
      </c>
      <c r="J21" s="32">
        <v>2024</v>
      </c>
      <c r="K21">
        <f>Table3[[#This Row],[Discharge Year]]-Table3[[#This Row],[Admission Year]]</f>
        <v>7</v>
      </c>
      <c r="L21">
        <f>Table3[[#This Row],[Diagnosis Year]]-Table3[[#This Row],[Admission Year]]</f>
        <v>0</v>
      </c>
      <c r="M21">
        <f>Table3[[#This Row],[Treatment Start Year]]-Table3[[#This Row],[Diagnosis Year]]</f>
        <v>6</v>
      </c>
    </row>
    <row r="22" spans="1:13" x14ac:dyDescent="0.2">
      <c r="A22" t="s">
        <v>257</v>
      </c>
      <c r="B22" t="s">
        <v>957</v>
      </c>
      <c r="C22">
        <v>51</v>
      </c>
      <c r="D22" t="s">
        <v>146</v>
      </c>
      <c r="E22" s="32">
        <v>2017</v>
      </c>
      <c r="F22" s="32">
        <v>2023</v>
      </c>
      <c r="G22" s="32">
        <v>2023</v>
      </c>
      <c r="H22" s="32">
        <v>2023</v>
      </c>
      <c r="I22" s="32">
        <v>2023</v>
      </c>
      <c r="J22" s="32">
        <v>2024</v>
      </c>
      <c r="K22">
        <f>Table3[[#This Row],[Discharge Year]]-Table3[[#This Row],[Admission Year]]</f>
        <v>6</v>
      </c>
      <c r="L22">
        <f>Table3[[#This Row],[Diagnosis Year]]-Table3[[#This Row],[Admission Year]]</f>
        <v>6</v>
      </c>
      <c r="M22">
        <f>Table3[[#This Row],[Treatment Start Year]]-Table3[[#This Row],[Diagnosis Year]]</f>
        <v>0</v>
      </c>
    </row>
    <row r="23" spans="1:13" x14ac:dyDescent="0.2">
      <c r="A23" t="s">
        <v>261</v>
      </c>
      <c r="B23" t="s">
        <v>262</v>
      </c>
      <c r="C23">
        <v>78</v>
      </c>
      <c r="D23" t="s">
        <v>146</v>
      </c>
      <c r="E23" s="32">
        <v>2017</v>
      </c>
      <c r="F23" s="32">
        <v>2023</v>
      </c>
      <c r="G23" s="32">
        <v>2023</v>
      </c>
      <c r="H23" s="32">
        <v>2023</v>
      </c>
      <c r="I23" s="32">
        <v>2023</v>
      </c>
      <c r="J23" s="32">
        <v>2024</v>
      </c>
      <c r="K23">
        <f>Table3[[#This Row],[Discharge Year]]-Table3[[#This Row],[Admission Year]]</f>
        <v>6</v>
      </c>
      <c r="L23">
        <f>Table3[[#This Row],[Diagnosis Year]]-Table3[[#This Row],[Admission Year]]</f>
        <v>6</v>
      </c>
      <c r="M23">
        <f>Table3[[#This Row],[Treatment Start Year]]-Table3[[#This Row],[Diagnosis Year]]</f>
        <v>0</v>
      </c>
    </row>
    <row r="24" spans="1:13" x14ac:dyDescent="0.2">
      <c r="A24" t="s">
        <v>266</v>
      </c>
      <c r="B24" t="s">
        <v>267</v>
      </c>
      <c r="C24">
        <v>47</v>
      </c>
      <c r="D24" t="s">
        <v>160</v>
      </c>
      <c r="E24" s="32">
        <v>2016</v>
      </c>
      <c r="F24" s="32">
        <v>2023</v>
      </c>
      <c r="G24" s="32">
        <v>2024</v>
      </c>
      <c r="H24" s="32">
        <v>2024</v>
      </c>
      <c r="I24" s="32">
        <v>2024</v>
      </c>
      <c r="J24" s="32" t="s">
        <v>272</v>
      </c>
      <c r="K24">
        <f>Table3[[#This Row],[Discharge Year]]-Table3[[#This Row],[Admission Year]]</f>
        <v>8</v>
      </c>
      <c r="L24">
        <f>Table3[[#This Row],[Diagnosis Year]]-Table3[[#This Row],[Admission Year]]</f>
        <v>7</v>
      </c>
      <c r="M24">
        <f>Table3[[#This Row],[Treatment Start Year]]-Table3[[#This Row],[Diagnosis Year]]</f>
        <v>1</v>
      </c>
    </row>
    <row r="25" spans="1:13" x14ac:dyDescent="0.2">
      <c r="A25" t="s">
        <v>273</v>
      </c>
      <c r="B25" t="s">
        <v>274</v>
      </c>
      <c r="C25">
        <v>85</v>
      </c>
      <c r="D25" t="s">
        <v>160</v>
      </c>
      <c r="E25" s="32">
        <v>2016</v>
      </c>
      <c r="F25" s="32">
        <v>2023</v>
      </c>
      <c r="G25" s="32">
        <v>2024</v>
      </c>
      <c r="H25" s="32">
        <v>2024</v>
      </c>
      <c r="I25" s="32">
        <v>2024</v>
      </c>
      <c r="J25" s="32" t="s">
        <v>272</v>
      </c>
      <c r="K25">
        <f>Table3[[#This Row],[Discharge Year]]-Table3[[#This Row],[Admission Year]]</f>
        <v>8</v>
      </c>
      <c r="L25">
        <f>Table3[[#This Row],[Diagnosis Year]]-Table3[[#This Row],[Admission Year]]</f>
        <v>7</v>
      </c>
      <c r="M25">
        <f>Table3[[#This Row],[Treatment Start Year]]-Table3[[#This Row],[Diagnosis Year]]</f>
        <v>1</v>
      </c>
    </row>
    <row r="26" spans="1:13" x14ac:dyDescent="0.2">
      <c r="A26" t="s">
        <v>279</v>
      </c>
      <c r="B26" t="s">
        <v>280</v>
      </c>
      <c r="C26">
        <v>83</v>
      </c>
      <c r="D26" t="s">
        <v>146</v>
      </c>
      <c r="E26" s="32">
        <v>2018</v>
      </c>
      <c r="F26" s="32">
        <v>2018</v>
      </c>
      <c r="G26" s="32">
        <v>2023</v>
      </c>
      <c r="H26" s="32">
        <v>2023</v>
      </c>
      <c r="I26" s="32">
        <v>2024</v>
      </c>
      <c r="J26" s="32">
        <v>2024</v>
      </c>
      <c r="K26">
        <f>Table3[[#This Row],[Discharge Year]]-Table3[[#This Row],[Admission Year]]</f>
        <v>6</v>
      </c>
      <c r="L26">
        <f>Table3[[#This Row],[Diagnosis Year]]-Table3[[#This Row],[Admission Year]]</f>
        <v>0</v>
      </c>
      <c r="M26">
        <f>Table3[[#This Row],[Treatment Start Year]]-Table3[[#This Row],[Diagnosis Year]]</f>
        <v>5</v>
      </c>
    </row>
    <row r="27" spans="1:13" x14ac:dyDescent="0.2">
      <c r="A27" t="s">
        <v>285</v>
      </c>
      <c r="B27" t="s">
        <v>286</v>
      </c>
      <c r="C27">
        <v>61</v>
      </c>
      <c r="D27" t="s">
        <v>146</v>
      </c>
      <c r="E27" s="32">
        <v>2018</v>
      </c>
      <c r="F27" s="32">
        <v>2022</v>
      </c>
      <c r="G27" s="32">
        <v>2023</v>
      </c>
      <c r="H27" s="32">
        <v>2023</v>
      </c>
      <c r="I27" s="32">
        <v>2024</v>
      </c>
      <c r="J27" s="32">
        <v>2024</v>
      </c>
      <c r="K27">
        <f>Table3[[#This Row],[Discharge Year]]-Table3[[#This Row],[Admission Year]]</f>
        <v>6</v>
      </c>
      <c r="L27">
        <f>Table3[[#This Row],[Diagnosis Year]]-Table3[[#This Row],[Admission Year]]</f>
        <v>4</v>
      </c>
      <c r="M27">
        <f>Table3[[#This Row],[Treatment Start Year]]-Table3[[#This Row],[Diagnosis Year]]</f>
        <v>1</v>
      </c>
    </row>
    <row r="28" spans="1:13" ht="14.25" customHeight="1" x14ac:dyDescent="0.2">
      <c r="A28" t="s">
        <v>291</v>
      </c>
      <c r="B28" t="s">
        <v>292</v>
      </c>
      <c r="C28">
        <v>64</v>
      </c>
      <c r="D28" t="s">
        <v>146</v>
      </c>
      <c r="E28" s="32">
        <v>2019</v>
      </c>
      <c r="F28" s="32">
        <v>2023</v>
      </c>
      <c r="G28" s="32">
        <v>2023</v>
      </c>
      <c r="H28" s="32">
        <v>2026</v>
      </c>
      <c r="I28" s="32" t="s">
        <v>272</v>
      </c>
      <c r="J28" s="32" t="s">
        <v>272</v>
      </c>
      <c r="K28" t="e">
        <f>Table3[[#This Row],[Discharge Year]]-Table3[[#This Row],[Admission Year]]</f>
        <v>#VALUE!</v>
      </c>
      <c r="L28">
        <f>Table3[[#This Row],[Diagnosis Year]]-Table3[[#This Row],[Admission Year]]</f>
        <v>4</v>
      </c>
      <c r="M28">
        <f>Table3[[#This Row],[Treatment Start Year]]-Table3[[#This Row],[Diagnosis Year]]</f>
        <v>0</v>
      </c>
    </row>
    <row r="29" spans="1:13" x14ac:dyDescent="0.2">
      <c r="A29" t="s">
        <v>296</v>
      </c>
      <c r="B29" t="s">
        <v>297</v>
      </c>
      <c r="C29">
        <v>81</v>
      </c>
      <c r="D29" t="s">
        <v>160</v>
      </c>
      <c r="E29" s="32">
        <v>2017</v>
      </c>
      <c r="F29" s="32">
        <v>2022</v>
      </c>
      <c r="G29" s="32">
        <v>2023</v>
      </c>
      <c r="H29" s="32">
        <v>2024</v>
      </c>
      <c r="I29" s="32">
        <v>2024</v>
      </c>
      <c r="J29" s="32">
        <v>2024</v>
      </c>
      <c r="K29">
        <f>Table3[[#This Row],[Discharge Year]]-Table3[[#This Row],[Admission Year]]</f>
        <v>7</v>
      </c>
      <c r="L29">
        <f>Table3[[#This Row],[Diagnosis Year]]-Table3[[#This Row],[Admission Year]]</f>
        <v>5</v>
      </c>
      <c r="M29">
        <f>Table3[[#This Row],[Treatment Start Year]]-Table3[[#This Row],[Diagnosis Year]]</f>
        <v>1</v>
      </c>
    </row>
    <row r="30" spans="1:13" x14ac:dyDescent="0.2">
      <c r="A30" t="s">
        <v>300</v>
      </c>
      <c r="B30" t="s">
        <v>301</v>
      </c>
      <c r="C30">
        <v>76</v>
      </c>
      <c r="D30" t="s">
        <v>160</v>
      </c>
      <c r="E30" s="32">
        <v>2017</v>
      </c>
      <c r="F30" s="32">
        <v>2023</v>
      </c>
      <c r="G30" s="32">
        <v>2023</v>
      </c>
      <c r="H30" s="32">
        <v>2024</v>
      </c>
      <c r="I30" s="32">
        <v>2024</v>
      </c>
      <c r="J30" s="32" t="s">
        <v>272</v>
      </c>
      <c r="K30">
        <f>Table3[[#This Row],[Discharge Year]]-Table3[[#This Row],[Admission Year]]</f>
        <v>7</v>
      </c>
      <c r="L30">
        <f>Table3[[#This Row],[Diagnosis Year]]-Table3[[#This Row],[Admission Year]]</f>
        <v>6</v>
      </c>
      <c r="M30">
        <f>Table3[[#This Row],[Treatment Start Year]]-Table3[[#This Row],[Diagnosis Year]]</f>
        <v>0</v>
      </c>
    </row>
    <row r="31" spans="1:13" x14ac:dyDescent="0.2">
      <c r="A31" t="s">
        <v>305</v>
      </c>
      <c r="B31" t="s">
        <v>306</v>
      </c>
      <c r="C31">
        <v>25</v>
      </c>
      <c r="D31" t="s">
        <v>160</v>
      </c>
      <c r="E31" s="32">
        <v>2017</v>
      </c>
      <c r="F31" s="32">
        <v>2023</v>
      </c>
      <c r="G31" s="32">
        <v>2023</v>
      </c>
      <c r="H31" s="32">
        <v>2024</v>
      </c>
      <c r="I31" s="32">
        <v>2024</v>
      </c>
      <c r="J31" s="32">
        <v>2024</v>
      </c>
      <c r="K31">
        <f>Table3[[#This Row],[Discharge Year]]-Table3[[#This Row],[Admission Year]]</f>
        <v>7</v>
      </c>
      <c r="L31">
        <f>Table3[[#This Row],[Diagnosis Year]]-Table3[[#This Row],[Admission Year]]</f>
        <v>6</v>
      </c>
      <c r="M31">
        <f>Table3[[#This Row],[Treatment Start Year]]-Table3[[#This Row],[Diagnosis Year]]</f>
        <v>0</v>
      </c>
    </row>
    <row r="32" spans="1:13" x14ac:dyDescent="0.2">
      <c r="A32" t="s">
        <v>311</v>
      </c>
      <c r="B32" t="s">
        <v>312</v>
      </c>
      <c r="C32">
        <v>47</v>
      </c>
      <c r="D32" t="s">
        <v>160</v>
      </c>
      <c r="E32" s="32">
        <v>2019</v>
      </c>
      <c r="F32" s="32">
        <v>2022</v>
      </c>
      <c r="G32" s="32">
        <v>2023</v>
      </c>
      <c r="H32" s="32">
        <v>2023</v>
      </c>
      <c r="I32" s="32">
        <v>2024</v>
      </c>
      <c r="J32" s="32">
        <v>2024</v>
      </c>
      <c r="K32">
        <f>Table3[[#This Row],[Discharge Year]]-Table3[[#This Row],[Admission Year]]</f>
        <v>5</v>
      </c>
      <c r="L32">
        <f>Table3[[#This Row],[Diagnosis Year]]-Table3[[#This Row],[Admission Year]]</f>
        <v>3</v>
      </c>
      <c r="M32">
        <f>Table3[[#This Row],[Treatment Start Year]]-Table3[[#This Row],[Diagnosis Year]]</f>
        <v>1</v>
      </c>
    </row>
    <row r="33" spans="1:13" x14ac:dyDescent="0.2">
      <c r="A33" t="s">
        <v>317</v>
      </c>
      <c r="B33" t="s">
        <v>318</v>
      </c>
      <c r="C33">
        <v>47</v>
      </c>
      <c r="D33" t="s">
        <v>146</v>
      </c>
      <c r="E33" s="32">
        <v>2019</v>
      </c>
      <c r="F33" s="32">
        <v>2022</v>
      </c>
      <c r="G33" s="32">
        <v>2023</v>
      </c>
      <c r="H33" s="32">
        <v>2023</v>
      </c>
      <c r="I33" s="32">
        <v>2023</v>
      </c>
      <c r="J33" s="32">
        <v>2023</v>
      </c>
      <c r="K33">
        <f>Table3[[#This Row],[Discharge Year]]-Table3[[#This Row],[Admission Year]]</f>
        <v>4</v>
      </c>
      <c r="L33">
        <f>Table3[[#This Row],[Diagnosis Year]]-Table3[[#This Row],[Admission Year]]</f>
        <v>3</v>
      </c>
      <c r="M33">
        <f>Table3[[#This Row],[Treatment Start Year]]-Table3[[#This Row],[Diagnosis Year]]</f>
        <v>1</v>
      </c>
    </row>
    <row r="34" spans="1:13" ht="14.25" customHeight="1" x14ac:dyDescent="0.2">
      <c r="A34" t="s">
        <v>322</v>
      </c>
      <c r="B34" t="s">
        <v>323</v>
      </c>
      <c r="C34">
        <v>63</v>
      </c>
      <c r="D34" t="s">
        <v>160</v>
      </c>
      <c r="E34" s="32">
        <v>2019</v>
      </c>
      <c r="F34" s="32">
        <v>2020</v>
      </c>
      <c r="G34" s="32">
        <v>2024</v>
      </c>
      <c r="H34" s="32" t="s">
        <v>272</v>
      </c>
      <c r="I34" s="32" t="s">
        <v>272</v>
      </c>
      <c r="J34" s="32" t="s">
        <v>272</v>
      </c>
      <c r="K34" t="e">
        <f>Table3[[#This Row],[Discharge Year]]-Table3[[#This Row],[Admission Year]]</f>
        <v>#VALUE!</v>
      </c>
      <c r="L34">
        <f>Table3[[#This Row],[Diagnosis Year]]-Table3[[#This Row],[Admission Year]]</f>
        <v>1</v>
      </c>
      <c r="M34">
        <f>Table3[[#This Row],[Treatment Start Year]]-Table3[[#This Row],[Diagnosis Year]]</f>
        <v>4</v>
      </c>
    </row>
    <row r="35" spans="1:13" x14ac:dyDescent="0.2">
      <c r="A35" t="s">
        <v>325</v>
      </c>
      <c r="B35" t="s">
        <v>326</v>
      </c>
      <c r="C35">
        <v>49</v>
      </c>
      <c r="D35" t="s">
        <v>160</v>
      </c>
      <c r="E35" s="32">
        <v>2016</v>
      </c>
      <c r="F35" s="32">
        <v>2023</v>
      </c>
      <c r="G35" s="32">
        <v>2023</v>
      </c>
      <c r="H35" s="32">
        <v>2023</v>
      </c>
      <c r="I35" s="32">
        <v>2024</v>
      </c>
      <c r="J35" s="32">
        <v>2024</v>
      </c>
      <c r="K35">
        <f>Table3[[#This Row],[Discharge Year]]-Table3[[#This Row],[Admission Year]]</f>
        <v>8</v>
      </c>
      <c r="L35">
        <f>Table3[[#This Row],[Diagnosis Year]]-Table3[[#This Row],[Admission Year]]</f>
        <v>7</v>
      </c>
      <c r="M35">
        <f>Table3[[#This Row],[Treatment Start Year]]-Table3[[#This Row],[Diagnosis Year]]</f>
        <v>0</v>
      </c>
    </row>
    <row r="36" spans="1:13" x14ac:dyDescent="0.2">
      <c r="A36" t="s">
        <v>331</v>
      </c>
      <c r="B36" t="s">
        <v>332</v>
      </c>
      <c r="C36">
        <v>81</v>
      </c>
      <c r="D36" t="s">
        <v>146</v>
      </c>
      <c r="E36" s="32">
        <v>2018</v>
      </c>
      <c r="F36" s="32">
        <v>2022</v>
      </c>
      <c r="G36" s="32">
        <v>2023</v>
      </c>
      <c r="H36" s="32">
        <v>2023</v>
      </c>
      <c r="I36" s="32">
        <v>2023</v>
      </c>
      <c r="J36" s="32">
        <v>2024</v>
      </c>
      <c r="K36">
        <f>Table3[[#This Row],[Discharge Year]]-Table3[[#This Row],[Admission Year]]</f>
        <v>5</v>
      </c>
      <c r="L36">
        <f>Table3[[#This Row],[Diagnosis Year]]-Table3[[#This Row],[Admission Year]]</f>
        <v>4</v>
      </c>
      <c r="M36">
        <f>Table3[[#This Row],[Treatment Start Year]]-Table3[[#This Row],[Diagnosis Year]]</f>
        <v>1</v>
      </c>
    </row>
    <row r="37" spans="1:13" x14ac:dyDescent="0.2">
      <c r="A37" t="s">
        <v>338</v>
      </c>
      <c r="B37" t="s">
        <v>339</v>
      </c>
      <c r="C37">
        <v>79</v>
      </c>
      <c r="D37" t="s">
        <v>160</v>
      </c>
      <c r="E37" s="32">
        <v>2016</v>
      </c>
      <c r="F37" s="32">
        <v>2018</v>
      </c>
      <c r="G37" s="32">
        <v>2023</v>
      </c>
      <c r="H37" s="32">
        <v>2023</v>
      </c>
      <c r="I37" s="32">
        <v>2023</v>
      </c>
      <c r="J37" s="32">
        <v>2023</v>
      </c>
      <c r="K37">
        <f>Table3[[#This Row],[Discharge Year]]-Table3[[#This Row],[Admission Year]]</f>
        <v>7</v>
      </c>
      <c r="L37">
        <f>Table3[[#This Row],[Diagnosis Year]]-Table3[[#This Row],[Admission Year]]</f>
        <v>2</v>
      </c>
      <c r="M37">
        <f>Table3[[#This Row],[Treatment Start Year]]-Table3[[#This Row],[Diagnosis Year]]</f>
        <v>5</v>
      </c>
    </row>
    <row r="38" spans="1:13" x14ac:dyDescent="0.2">
      <c r="A38" t="s">
        <v>345</v>
      </c>
      <c r="B38" t="s">
        <v>346</v>
      </c>
      <c r="C38">
        <v>81</v>
      </c>
      <c r="D38" t="s">
        <v>160</v>
      </c>
      <c r="E38" s="32">
        <v>2016</v>
      </c>
      <c r="F38" s="32">
        <v>2023</v>
      </c>
      <c r="G38" s="32">
        <v>2024</v>
      </c>
      <c r="H38" s="32">
        <v>2024</v>
      </c>
      <c r="I38" s="32">
        <v>2024</v>
      </c>
      <c r="J38" s="32">
        <v>2024</v>
      </c>
      <c r="K38">
        <f>Table3[[#This Row],[Discharge Year]]-Table3[[#This Row],[Admission Year]]</f>
        <v>8</v>
      </c>
      <c r="L38">
        <f>Table3[[#This Row],[Diagnosis Year]]-Table3[[#This Row],[Admission Year]]</f>
        <v>7</v>
      </c>
      <c r="M38">
        <f>Table3[[#This Row],[Treatment Start Year]]-Table3[[#This Row],[Diagnosis Year]]</f>
        <v>1</v>
      </c>
    </row>
    <row r="39" spans="1:13" x14ac:dyDescent="0.2">
      <c r="A39" t="s">
        <v>351</v>
      </c>
      <c r="B39" t="s">
        <v>352</v>
      </c>
      <c r="C39">
        <v>20</v>
      </c>
      <c r="D39" t="s">
        <v>146</v>
      </c>
      <c r="E39" s="32">
        <v>2016</v>
      </c>
      <c r="F39" s="32">
        <v>2023</v>
      </c>
      <c r="G39" s="32">
        <v>2023</v>
      </c>
      <c r="H39" s="32">
        <v>2023</v>
      </c>
      <c r="I39" s="32">
        <v>2024</v>
      </c>
      <c r="J39" s="32">
        <v>2024</v>
      </c>
      <c r="K39">
        <f>Table3[[#This Row],[Discharge Year]]-Table3[[#This Row],[Admission Year]]</f>
        <v>8</v>
      </c>
      <c r="L39">
        <f>Table3[[#This Row],[Diagnosis Year]]-Table3[[#This Row],[Admission Year]]</f>
        <v>7</v>
      </c>
      <c r="M39">
        <f>Table3[[#This Row],[Treatment Start Year]]-Table3[[#This Row],[Diagnosis Year]]</f>
        <v>0</v>
      </c>
    </row>
    <row r="40" spans="1:13" x14ac:dyDescent="0.2">
      <c r="A40" t="s">
        <v>358</v>
      </c>
      <c r="B40" t="s">
        <v>359</v>
      </c>
      <c r="C40">
        <v>40</v>
      </c>
      <c r="D40" t="s">
        <v>146</v>
      </c>
      <c r="E40" s="32">
        <v>2017</v>
      </c>
      <c r="F40" s="32">
        <v>2019</v>
      </c>
      <c r="G40" s="32">
        <v>2023</v>
      </c>
      <c r="H40" s="32">
        <v>2023</v>
      </c>
      <c r="I40" s="32">
        <v>2024</v>
      </c>
      <c r="J40" s="32">
        <v>2024</v>
      </c>
      <c r="K40">
        <f>Table3[[#This Row],[Discharge Year]]-Table3[[#This Row],[Admission Year]]</f>
        <v>7</v>
      </c>
      <c r="L40">
        <f>Table3[[#This Row],[Diagnosis Year]]-Table3[[#This Row],[Admission Year]]</f>
        <v>2</v>
      </c>
      <c r="M40">
        <f>Table3[[#This Row],[Treatment Start Year]]-Table3[[#This Row],[Diagnosis Year]]</f>
        <v>4</v>
      </c>
    </row>
    <row r="41" spans="1:13" x14ac:dyDescent="0.2">
      <c r="A41" t="s">
        <v>365</v>
      </c>
      <c r="B41" t="s">
        <v>366</v>
      </c>
      <c r="C41">
        <v>52</v>
      </c>
      <c r="D41" t="s">
        <v>146</v>
      </c>
      <c r="E41" s="32">
        <v>2003</v>
      </c>
      <c r="F41" s="32">
        <v>2019</v>
      </c>
      <c r="G41" s="32">
        <v>2021</v>
      </c>
      <c r="H41" s="32">
        <v>2024</v>
      </c>
      <c r="I41" s="32">
        <v>2024</v>
      </c>
      <c r="J41" s="32">
        <v>2024</v>
      </c>
      <c r="K41">
        <f>Table3[[#This Row],[Discharge Year]]-Table3[[#This Row],[Admission Year]]</f>
        <v>21</v>
      </c>
      <c r="L41">
        <f>Table3[[#This Row],[Diagnosis Year]]-Table3[[#This Row],[Admission Year]]</f>
        <v>16</v>
      </c>
      <c r="M41">
        <f>Table3[[#This Row],[Treatment Start Year]]-Table3[[#This Row],[Diagnosis Year]]</f>
        <v>2</v>
      </c>
    </row>
    <row r="42" spans="1:13" x14ac:dyDescent="0.2">
      <c r="A42" t="s">
        <v>372</v>
      </c>
      <c r="B42" t="s">
        <v>373</v>
      </c>
      <c r="C42">
        <v>77</v>
      </c>
      <c r="D42" t="s">
        <v>146</v>
      </c>
      <c r="E42" s="32">
        <v>2019</v>
      </c>
      <c r="F42" s="32">
        <v>2022</v>
      </c>
      <c r="G42" s="32">
        <v>2023</v>
      </c>
      <c r="H42" s="32">
        <v>2024</v>
      </c>
      <c r="I42" s="32">
        <v>2024</v>
      </c>
      <c r="J42" s="32">
        <v>2024</v>
      </c>
      <c r="K42">
        <f>Table3[[#This Row],[Discharge Year]]-Table3[[#This Row],[Admission Year]]</f>
        <v>5</v>
      </c>
      <c r="L42">
        <f>Table3[[#This Row],[Diagnosis Year]]-Table3[[#This Row],[Admission Year]]</f>
        <v>3</v>
      </c>
      <c r="M42">
        <f>Table3[[#This Row],[Treatment Start Year]]-Table3[[#This Row],[Diagnosis Year]]</f>
        <v>1</v>
      </c>
    </row>
    <row r="43" spans="1:13" x14ac:dyDescent="0.2">
      <c r="A43" t="s">
        <v>378</v>
      </c>
      <c r="B43" t="s">
        <v>379</v>
      </c>
      <c r="C43">
        <v>41</v>
      </c>
      <c r="D43" t="s">
        <v>160</v>
      </c>
      <c r="E43" s="32">
        <v>2018</v>
      </c>
      <c r="F43" s="32">
        <v>2019</v>
      </c>
      <c r="G43" s="32">
        <v>2022</v>
      </c>
      <c r="H43" s="32">
        <v>2023</v>
      </c>
      <c r="I43" s="32">
        <v>2023</v>
      </c>
      <c r="J43" s="32">
        <v>2024</v>
      </c>
      <c r="K43">
        <f>Table3[[#This Row],[Discharge Year]]-Table3[[#This Row],[Admission Year]]</f>
        <v>5</v>
      </c>
      <c r="L43">
        <f>Table3[[#This Row],[Diagnosis Year]]-Table3[[#This Row],[Admission Year]]</f>
        <v>1</v>
      </c>
      <c r="M43">
        <f>Table3[[#This Row],[Treatment Start Year]]-Table3[[#This Row],[Diagnosis Year]]</f>
        <v>3</v>
      </c>
    </row>
    <row r="44" spans="1:13" x14ac:dyDescent="0.2">
      <c r="A44" t="s">
        <v>384</v>
      </c>
      <c r="B44" t="s">
        <v>385</v>
      </c>
      <c r="C44">
        <v>68</v>
      </c>
      <c r="D44" t="s">
        <v>160</v>
      </c>
      <c r="E44" s="32">
        <v>2019</v>
      </c>
      <c r="F44" s="32">
        <v>2022</v>
      </c>
      <c r="G44" s="32">
        <v>2023</v>
      </c>
      <c r="H44" s="32">
        <v>2024</v>
      </c>
      <c r="I44" s="32">
        <v>2025</v>
      </c>
      <c r="J44" s="32" t="s">
        <v>272</v>
      </c>
      <c r="K44">
        <f>Table3[[#This Row],[Discharge Year]]-Table3[[#This Row],[Admission Year]]</f>
        <v>6</v>
      </c>
      <c r="L44">
        <f>Table3[[#This Row],[Diagnosis Year]]-Table3[[#This Row],[Admission Year]]</f>
        <v>3</v>
      </c>
      <c r="M44">
        <f>Table3[[#This Row],[Treatment Start Year]]-Table3[[#This Row],[Diagnosis Year]]</f>
        <v>1</v>
      </c>
    </row>
    <row r="45" spans="1:13" x14ac:dyDescent="0.2">
      <c r="A45" t="s">
        <v>388</v>
      </c>
      <c r="B45" t="s">
        <v>389</v>
      </c>
      <c r="C45">
        <v>78</v>
      </c>
      <c r="D45" t="s">
        <v>160</v>
      </c>
      <c r="E45" s="32">
        <v>2017</v>
      </c>
      <c r="F45" s="32">
        <v>2018</v>
      </c>
      <c r="G45" s="32">
        <v>2023</v>
      </c>
      <c r="H45" s="32">
        <v>2023</v>
      </c>
      <c r="I45" s="32">
        <v>2023</v>
      </c>
      <c r="J45" s="32">
        <v>2024</v>
      </c>
      <c r="K45">
        <f>Table3[[#This Row],[Discharge Year]]-Table3[[#This Row],[Admission Year]]</f>
        <v>6</v>
      </c>
      <c r="L45">
        <f>Table3[[#This Row],[Diagnosis Year]]-Table3[[#This Row],[Admission Year]]</f>
        <v>1</v>
      </c>
      <c r="M45">
        <f>Table3[[#This Row],[Treatment Start Year]]-Table3[[#This Row],[Diagnosis Year]]</f>
        <v>5</v>
      </c>
    </row>
    <row r="46" spans="1:13" x14ac:dyDescent="0.2">
      <c r="A46" t="s">
        <v>394</v>
      </c>
      <c r="B46" t="s">
        <v>395</v>
      </c>
      <c r="C46">
        <v>80</v>
      </c>
      <c r="D46" t="s">
        <v>160</v>
      </c>
      <c r="E46" s="32">
        <v>2018</v>
      </c>
      <c r="F46" s="32">
        <v>2018</v>
      </c>
      <c r="G46" s="32">
        <v>2023</v>
      </c>
      <c r="H46" s="32">
        <v>2023</v>
      </c>
      <c r="I46" s="32">
        <v>2024</v>
      </c>
      <c r="J46" s="32" t="s">
        <v>272</v>
      </c>
      <c r="K46">
        <f>Table3[[#This Row],[Discharge Year]]-Table3[[#This Row],[Admission Year]]</f>
        <v>6</v>
      </c>
      <c r="L46">
        <f>Table3[[#This Row],[Diagnosis Year]]-Table3[[#This Row],[Admission Year]]</f>
        <v>0</v>
      </c>
      <c r="M46">
        <f>Table3[[#This Row],[Treatment Start Year]]-Table3[[#This Row],[Diagnosis Year]]</f>
        <v>5</v>
      </c>
    </row>
    <row r="47" spans="1:13" x14ac:dyDescent="0.2">
      <c r="A47" t="s">
        <v>400</v>
      </c>
      <c r="B47" t="s">
        <v>401</v>
      </c>
      <c r="C47">
        <v>61</v>
      </c>
      <c r="D47" t="s">
        <v>146</v>
      </c>
      <c r="E47" s="32">
        <v>2017</v>
      </c>
      <c r="F47" s="32">
        <v>2018</v>
      </c>
      <c r="G47" s="32">
        <v>2023</v>
      </c>
      <c r="H47" s="32">
        <v>2024</v>
      </c>
      <c r="I47" s="32">
        <v>2024</v>
      </c>
      <c r="J47" s="32" t="s">
        <v>272</v>
      </c>
      <c r="K47">
        <f>Table3[[#This Row],[Discharge Year]]-Table3[[#This Row],[Admission Year]]</f>
        <v>7</v>
      </c>
      <c r="L47">
        <f>Table3[[#This Row],[Diagnosis Year]]-Table3[[#This Row],[Admission Year]]</f>
        <v>1</v>
      </c>
      <c r="M47">
        <f>Table3[[#This Row],[Treatment Start Year]]-Table3[[#This Row],[Diagnosis Year]]</f>
        <v>5</v>
      </c>
    </row>
    <row r="48" spans="1:13" x14ac:dyDescent="0.2">
      <c r="A48" t="s">
        <v>405</v>
      </c>
      <c r="B48" t="s">
        <v>406</v>
      </c>
      <c r="C48">
        <v>79</v>
      </c>
      <c r="D48" t="s">
        <v>146</v>
      </c>
      <c r="E48" s="32">
        <v>2017</v>
      </c>
      <c r="F48" s="32">
        <v>2018</v>
      </c>
      <c r="G48" s="32">
        <v>2023</v>
      </c>
      <c r="H48" s="32">
        <v>2023</v>
      </c>
      <c r="I48" s="32">
        <v>2024</v>
      </c>
      <c r="J48" s="32">
        <v>2024</v>
      </c>
      <c r="K48">
        <f>Table3[[#This Row],[Discharge Year]]-Table3[[#This Row],[Admission Year]]</f>
        <v>7</v>
      </c>
      <c r="L48">
        <f>Table3[[#This Row],[Diagnosis Year]]-Table3[[#This Row],[Admission Year]]</f>
        <v>1</v>
      </c>
      <c r="M48">
        <f>Table3[[#This Row],[Treatment Start Year]]-Table3[[#This Row],[Diagnosis Year]]</f>
        <v>5</v>
      </c>
    </row>
    <row r="49" spans="1:13" x14ac:dyDescent="0.2">
      <c r="A49" t="s">
        <v>410</v>
      </c>
      <c r="B49" t="s">
        <v>411</v>
      </c>
      <c r="C49">
        <v>34</v>
      </c>
      <c r="D49" t="s">
        <v>160</v>
      </c>
      <c r="E49" s="32">
        <v>2017</v>
      </c>
      <c r="F49" s="32">
        <v>2023</v>
      </c>
      <c r="G49" s="32">
        <v>2023</v>
      </c>
      <c r="H49" s="32">
        <v>2023</v>
      </c>
      <c r="I49" s="32">
        <v>2023</v>
      </c>
      <c r="J49" s="32">
        <v>2024</v>
      </c>
      <c r="K49">
        <f>Table3[[#This Row],[Discharge Year]]-Table3[[#This Row],[Admission Year]]</f>
        <v>6</v>
      </c>
      <c r="L49">
        <f>Table3[[#This Row],[Diagnosis Year]]-Table3[[#This Row],[Admission Year]]</f>
        <v>6</v>
      </c>
      <c r="M49">
        <f>Table3[[#This Row],[Treatment Start Year]]-Table3[[#This Row],[Diagnosis Year]]</f>
        <v>0</v>
      </c>
    </row>
    <row r="50" spans="1:13" x14ac:dyDescent="0.2">
      <c r="A50" t="s">
        <v>416</v>
      </c>
      <c r="B50" t="s">
        <v>417</v>
      </c>
      <c r="C50">
        <v>81</v>
      </c>
      <c r="D50" t="s">
        <v>160</v>
      </c>
      <c r="E50" s="32">
        <v>2017</v>
      </c>
      <c r="F50" s="32">
        <v>2018</v>
      </c>
      <c r="G50" s="32">
        <v>2023</v>
      </c>
      <c r="H50" s="32">
        <v>2023</v>
      </c>
      <c r="I50" s="32">
        <v>2023</v>
      </c>
      <c r="J50" s="32" t="s">
        <v>272</v>
      </c>
      <c r="K50">
        <f>Table3[[#This Row],[Discharge Year]]-Table3[[#This Row],[Admission Year]]</f>
        <v>6</v>
      </c>
      <c r="L50">
        <f>Table3[[#This Row],[Diagnosis Year]]-Table3[[#This Row],[Admission Year]]</f>
        <v>1</v>
      </c>
      <c r="M50">
        <f>Table3[[#This Row],[Treatment Start Year]]-Table3[[#This Row],[Diagnosis Year]]</f>
        <v>5</v>
      </c>
    </row>
    <row r="51" spans="1:13" x14ac:dyDescent="0.2">
      <c r="A51" t="s">
        <v>421</v>
      </c>
      <c r="B51" t="s">
        <v>958</v>
      </c>
      <c r="C51">
        <v>81</v>
      </c>
      <c r="D51" t="s">
        <v>160</v>
      </c>
      <c r="E51" s="32">
        <v>2017</v>
      </c>
      <c r="F51" s="32">
        <v>2018</v>
      </c>
      <c r="G51" s="32">
        <v>2022</v>
      </c>
      <c r="H51" s="32">
        <v>2023</v>
      </c>
      <c r="I51" s="32">
        <v>2023</v>
      </c>
      <c r="J51" s="32">
        <v>2024</v>
      </c>
      <c r="K51">
        <f>Table3[[#This Row],[Discharge Year]]-Table3[[#This Row],[Admission Year]]</f>
        <v>6</v>
      </c>
      <c r="L51">
        <f>Table3[[#This Row],[Diagnosis Year]]-Table3[[#This Row],[Admission Year]]</f>
        <v>1</v>
      </c>
      <c r="M51">
        <f>Table3[[#This Row],[Treatment Start Year]]-Table3[[#This Row],[Diagnosis Year]]</f>
        <v>4</v>
      </c>
    </row>
    <row r="52" spans="1:13" x14ac:dyDescent="0.2">
      <c r="A52" t="s">
        <v>425</v>
      </c>
      <c r="B52" t="s">
        <v>426</v>
      </c>
      <c r="C52">
        <v>66</v>
      </c>
      <c r="D52" t="s">
        <v>160</v>
      </c>
      <c r="E52" s="32">
        <v>2019</v>
      </c>
      <c r="F52" s="32">
        <v>2019</v>
      </c>
      <c r="G52" s="32">
        <v>2022</v>
      </c>
      <c r="H52" s="32">
        <v>2023</v>
      </c>
      <c r="I52" s="32">
        <v>2023</v>
      </c>
      <c r="J52" s="32" t="s">
        <v>272</v>
      </c>
      <c r="K52">
        <f>Table3[[#This Row],[Discharge Year]]-Table3[[#This Row],[Admission Year]]</f>
        <v>4</v>
      </c>
      <c r="L52">
        <f>Table3[[#This Row],[Diagnosis Year]]-Table3[[#This Row],[Admission Year]]</f>
        <v>0</v>
      </c>
      <c r="M52">
        <f>Table3[[#This Row],[Treatment Start Year]]-Table3[[#This Row],[Diagnosis Year]]</f>
        <v>3</v>
      </c>
    </row>
    <row r="53" spans="1:13" x14ac:dyDescent="0.2">
      <c r="A53" t="s">
        <v>431</v>
      </c>
      <c r="B53" t="s">
        <v>432</v>
      </c>
      <c r="C53">
        <v>81</v>
      </c>
      <c r="D53" t="s">
        <v>146</v>
      </c>
      <c r="E53" s="32">
        <v>2016</v>
      </c>
      <c r="F53" s="32">
        <v>2019</v>
      </c>
      <c r="G53" s="32">
        <v>2022</v>
      </c>
      <c r="H53" s="32">
        <v>2023</v>
      </c>
      <c r="I53" s="32">
        <v>2023</v>
      </c>
      <c r="J53" s="32">
        <v>2023</v>
      </c>
      <c r="K53">
        <f>Table3[[#This Row],[Discharge Year]]-Table3[[#This Row],[Admission Year]]</f>
        <v>7</v>
      </c>
      <c r="L53">
        <f>Table3[[#This Row],[Diagnosis Year]]-Table3[[#This Row],[Admission Year]]</f>
        <v>3</v>
      </c>
      <c r="M53">
        <f>Table3[[#This Row],[Treatment Start Year]]-Table3[[#This Row],[Diagnosis Year]]</f>
        <v>3</v>
      </c>
    </row>
    <row r="54" spans="1:13" x14ac:dyDescent="0.2">
      <c r="A54" t="s">
        <v>437</v>
      </c>
      <c r="B54" t="s">
        <v>438</v>
      </c>
      <c r="C54">
        <v>70</v>
      </c>
      <c r="D54" t="s">
        <v>160</v>
      </c>
      <c r="E54" s="32">
        <v>2018</v>
      </c>
      <c r="F54" s="32">
        <v>2019</v>
      </c>
      <c r="G54" s="32">
        <v>2022</v>
      </c>
      <c r="H54" s="32">
        <v>2023</v>
      </c>
      <c r="I54" s="32">
        <v>2023</v>
      </c>
      <c r="J54" s="32">
        <v>2023</v>
      </c>
      <c r="K54">
        <f>Table3[[#This Row],[Discharge Year]]-Table3[[#This Row],[Admission Year]]</f>
        <v>5</v>
      </c>
      <c r="L54">
        <f>Table3[[#This Row],[Diagnosis Year]]-Table3[[#This Row],[Admission Year]]</f>
        <v>1</v>
      </c>
      <c r="M54">
        <f>Table3[[#This Row],[Treatment Start Year]]-Table3[[#This Row],[Diagnosis Year]]</f>
        <v>3</v>
      </c>
    </row>
    <row r="55" spans="1:13" x14ac:dyDescent="0.2">
      <c r="A55" t="s">
        <v>443</v>
      </c>
      <c r="B55" t="s">
        <v>444</v>
      </c>
      <c r="C55">
        <v>74</v>
      </c>
      <c r="D55" t="s">
        <v>146</v>
      </c>
      <c r="E55" s="32">
        <v>2018</v>
      </c>
      <c r="F55" s="32">
        <v>2022</v>
      </c>
      <c r="G55" s="32">
        <v>2023</v>
      </c>
      <c r="H55" s="32">
        <v>2023</v>
      </c>
      <c r="I55" s="32">
        <v>2023</v>
      </c>
      <c r="J55" s="32">
        <v>2025</v>
      </c>
      <c r="K55">
        <f>Table3[[#This Row],[Discharge Year]]-Table3[[#This Row],[Admission Year]]</f>
        <v>5</v>
      </c>
      <c r="L55">
        <f>Table3[[#This Row],[Diagnosis Year]]-Table3[[#This Row],[Admission Year]]</f>
        <v>4</v>
      </c>
      <c r="M55">
        <f>Table3[[#This Row],[Treatment Start Year]]-Table3[[#This Row],[Diagnosis Year]]</f>
        <v>1</v>
      </c>
    </row>
    <row r="56" spans="1:13" x14ac:dyDescent="0.2">
      <c r="A56" t="s">
        <v>450</v>
      </c>
      <c r="B56" t="s">
        <v>959</v>
      </c>
      <c r="C56">
        <v>83</v>
      </c>
      <c r="D56" t="s">
        <v>160</v>
      </c>
      <c r="E56" s="32">
        <v>2018</v>
      </c>
      <c r="F56" s="32">
        <v>2018</v>
      </c>
      <c r="G56" s="32">
        <v>2023</v>
      </c>
      <c r="H56" s="32">
        <v>2023</v>
      </c>
      <c r="I56" s="32">
        <v>2023</v>
      </c>
      <c r="J56" s="32">
        <v>2024</v>
      </c>
      <c r="K56">
        <f>Table3[[#This Row],[Discharge Year]]-Table3[[#This Row],[Admission Year]]</f>
        <v>5</v>
      </c>
      <c r="L56">
        <f>Table3[[#This Row],[Diagnosis Year]]-Table3[[#This Row],[Admission Year]]</f>
        <v>0</v>
      </c>
      <c r="M56">
        <f>Table3[[#This Row],[Treatment Start Year]]-Table3[[#This Row],[Diagnosis Year]]</f>
        <v>5</v>
      </c>
    </row>
    <row r="57" spans="1:13" x14ac:dyDescent="0.2">
      <c r="A57" t="s">
        <v>453</v>
      </c>
      <c r="B57" t="s">
        <v>454</v>
      </c>
      <c r="C57">
        <v>40</v>
      </c>
      <c r="D57" t="s">
        <v>146</v>
      </c>
      <c r="E57" s="32">
        <v>2018</v>
      </c>
      <c r="F57" s="32">
        <v>2023</v>
      </c>
      <c r="G57" s="32">
        <v>2023</v>
      </c>
      <c r="H57" s="32">
        <v>2023</v>
      </c>
      <c r="I57" s="32">
        <v>2024</v>
      </c>
      <c r="J57" s="32" t="s">
        <v>272</v>
      </c>
      <c r="K57">
        <f>Table3[[#This Row],[Discharge Year]]-Table3[[#This Row],[Admission Year]]</f>
        <v>6</v>
      </c>
      <c r="L57">
        <f>Table3[[#This Row],[Diagnosis Year]]-Table3[[#This Row],[Admission Year]]</f>
        <v>5</v>
      </c>
      <c r="M57">
        <f>Table3[[#This Row],[Treatment Start Year]]-Table3[[#This Row],[Diagnosis Year]]</f>
        <v>0</v>
      </c>
    </row>
    <row r="58" spans="1:13" x14ac:dyDescent="0.2">
      <c r="A58" t="s">
        <v>458</v>
      </c>
      <c r="B58" t="s">
        <v>459</v>
      </c>
      <c r="C58">
        <v>22</v>
      </c>
      <c r="D58" t="s">
        <v>146</v>
      </c>
      <c r="E58" s="32">
        <v>2018</v>
      </c>
      <c r="F58" s="32">
        <v>2023</v>
      </c>
      <c r="G58" s="32">
        <v>2023</v>
      </c>
      <c r="H58" s="32">
        <v>2024</v>
      </c>
      <c r="I58" s="32">
        <v>2024</v>
      </c>
      <c r="J58" s="32" t="s">
        <v>272</v>
      </c>
      <c r="K58">
        <f>Table3[[#This Row],[Discharge Year]]-Table3[[#This Row],[Admission Year]]</f>
        <v>6</v>
      </c>
      <c r="L58">
        <f>Table3[[#This Row],[Diagnosis Year]]-Table3[[#This Row],[Admission Year]]</f>
        <v>5</v>
      </c>
      <c r="M58">
        <f>Table3[[#This Row],[Treatment Start Year]]-Table3[[#This Row],[Diagnosis Year]]</f>
        <v>0</v>
      </c>
    </row>
    <row r="59" spans="1:13" x14ac:dyDescent="0.2">
      <c r="A59" t="s">
        <v>462</v>
      </c>
      <c r="B59" t="s">
        <v>463</v>
      </c>
      <c r="C59">
        <v>70</v>
      </c>
      <c r="D59" t="s">
        <v>160</v>
      </c>
      <c r="E59" s="32">
        <v>2003</v>
      </c>
      <c r="F59" s="32">
        <v>2018</v>
      </c>
      <c r="G59" s="32">
        <v>2023</v>
      </c>
      <c r="H59" s="32">
        <v>2023</v>
      </c>
      <c r="I59" s="32">
        <v>2023</v>
      </c>
      <c r="J59" s="32" t="s">
        <v>272</v>
      </c>
      <c r="K59">
        <f>Table3[[#This Row],[Discharge Year]]-Table3[[#This Row],[Admission Year]]</f>
        <v>20</v>
      </c>
      <c r="L59">
        <f>Table3[[#This Row],[Diagnosis Year]]-Table3[[#This Row],[Admission Year]]</f>
        <v>15</v>
      </c>
      <c r="M59">
        <f>Table3[[#This Row],[Treatment Start Year]]-Table3[[#This Row],[Diagnosis Year]]</f>
        <v>5</v>
      </c>
    </row>
    <row r="60" spans="1:13" x14ac:dyDescent="0.2">
      <c r="A60" t="s">
        <v>466</v>
      </c>
      <c r="B60" t="s">
        <v>960</v>
      </c>
      <c r="C60">
        <v>26</v>
      </c>
      <c r="D60" t="s">
        <v>160</v>
      </c>
      <c r="E60" s="32">
        <v>2003</v>
      </c>
      <c r="F60" s="32">
        <v>2017</v>
      </c>
      <c r="G60" s="32">
        <v>2023</v>
      </c>
      <c r="H60" s="32">
        <v>2024</v>
      </c>
      <c r="I60" s="32">
        <v>2024</v>
      </c>
      <c r="J60" s="32" t="s">
        <v>272</v>
      </c>
      <c r="K60">
        <f>Table3[[#This Row],[Discharge Year]]-Table3[[#This Row],[Admission Year]]</f>
        <v>21</v>
      </c>
      <c r="L60">
        <f>Table3[[#This Row],[Diagnosis Year]]-Table3[[#This Row],[Admission Year]]</f>
        <v>14</v>
      </c>
      <c r="M60">
        <f>Table3[[#This Row],[Treatment Start Year]]-Table3[[#This Row],[Diagnosis Year]]</f>
        <v>6</v>
      </c>
    </row>
    <row r="61" spans="1:13" x14ac:dyDescent="0.2">
      <c r="A61" t="s">
        <v>471</v>
      </c>
      <c r="B61" t="s">
        <v>472</v>
      </c>
      <c r="C61">
        <v>40</v>
      </c>
      <c r="D61" t="s">
        <v>160</v>
      </c>
      <c r="E61" s="32">
        <v>2017</v>
      </c>
      <c r="F61" s="32">
        <v>2023</v>
      </c>
      <c r="G61" s="32">
        <v>2023</v>
      </c>
      <c r="H61" s="32">
        <v>2023</v>
      </c>
      <c r="I61" s="32">
        <v>2024</v>
      </c>
      <c r="J61" s="32">
        <v>2024</v>
      </c>
      <c r="K61">
        <f>Table3[[#This Row],[Discharge Year]]-Table3[[#This Row],[Admission Year]]</f>
        <v>7</v>
      </c>
      <c r="L61">
        <f>Table3[[#This Row],[Diagnosis Year]]-Table3[[#This Row],[Admission Year]]</f>
        <v>6</v>
      </c>
      <c r="M61">
        <f>Table3[[#This Row],[Treatment Start Year]]-Table3[[#This Row],[Diagnosis Year]]</f>
        <v>0</v>
      </c>
    </row>
    <row r="62" spans="1:13" ht="14.25" customHeight="1" x14ac:dyDescent="0.2">
      <c r="A62" t="s">
        <v>475</v>
      </c>
      <c r="B62" t="s">
        <v>476</v>
      </c>
      <c r="C62">
        <v>58</v>
      </c>
      <c r="D62" t="s">
        <v>160</v>
      </c>
      <c r="E62" s="32">
        <v>2017</v>
      </c>
      <c r="F62" s="32">
        <v>2022</v>
      </c>
      <c r="G62" s="32">
        <v>2023</v>
      </c>
      <c r="H62" s="32">
        <v>2024</v>
      </c>
      <c r="I62" s="32" t="s">
        <v>272</v>
      </c>
      <c r="J62" s="32" t="s">
        <v>272</v>
      </c>
      <c r="K62" t="e">
        <f>Table3[[#This Row],[Discharge Year]]-Table3[[#This Row],[Admission Year]]</f>
        <v>#VALUE!</v>
      </c>
      <c r="L62">
        <f>Table3[[#This Row],[Diagnosis Year]]-Table3[[#This Row],[Admission Year]]</f>
        <v>5</v>
      </c>
      <c r="M62">
        <f>Table3[[#This Row],[Treatment Start Year]]-Table3[[#This Row],[Diagnosis Year]]</f>
        <v>1</v>
      </c>
    </row>
    <row r="63" spans="1:13" x14ac:dyDescent="0.2">
      <c r="A63" t="s">
        <v>478</v>
      </c>
      <c r="B63" t="s">
        <v>479</v>
      </c>
      <c r="C63">
        <v>37</v>
      </c>
      <c r="D63" t="s">
        <v>146</v>
      </c>
      <c r="E63" s="32">
        <v>2019</v>
      </c>
      <c r="F63" s="32">
        <v>2022</v>
      </c>
      <c r="G63" s="32">
        <v>2023</v>
      </c>
      <c r="H63" s="32">
        <v>2024</v>
      </c>
      <c r="I63" s="32">
        <v>2024</v>
      </c>
      <c r="J63" s="32">
        <v>2024</v>
      </c>
      <c r="K63">
        <f>Table3[[#This Row],[Discharge Year]]-Table3[[#This Row],[Admission Year]]</f>
        <v>5</v>
      </c>
      <c r="L63">
        <f>Table3[[#This Row],[Diagnosis Year]]-Table3[[#This Row],[Admission Year]]</f>
        <v>3</v>
      </c>
      <c r="M63">
        <f>Table3[[#This Row],[Treatment Start Year]]-Table3[[#This Row],[Diagnosis Year]]</f>
        <v>1</v>
      </c>
    </row>
    <row r="64" spans="1:13" x14ac:dyDescent="0.2">
      <c r="A64" t="s">
        <v>484</v>
      </c>
      <c r="B64" t="s">
        <v>485</v>
      </c>
      <c r="C64">
        <v>23</v>
      </c>
      <c r="D64" t="s">
        <v>160</v>
      </c>
      <c r="E64" s="32">
        <v>2019</v>
      </c>
      <c r="F64" s="32">
        <v>2023</v>
      </c>
      <c r="G64" s="32">
        <v>2023</v>
      </c>
      <c r="H64" s="32">
        <v>2023</v>
      </c>
      <c r="I64" s="32">
        <v>2024</v>
      </c>
      <c r="J64" s="32" t="s">
        <v>272</v>
      </c>
      <c r="K64">
        <f>Table3[[#This Row],[Discharge Year]]-Table3[[#This Row],[Admission Year]]</f>
        <v>5</v>
      </c>
      <c r="L64">
        <f>Table3[[#This Row],[Diagnosis Year]]-Table3[[#This Row],[Admission Year]]</f>
        <v>4</v>
      </c>
      <c r="M64">
        <f>Table3[[#This Row],[Treatment Start Year]]-Table3[[#This Row],[Diagnosis Year]]</f>
        <v>0</v>
      </c>
    </row>
    <row r="65" spans="1:13" x14ac:dyDescent="0.2">
      <c r="A65" t="s">
        <v>488</v>
      </c>
      <c r="B65" t="s">
        <v>489</v>
      </c>
      <c r="C65">
        <v>79</v>
      </c>
      <c r="D65" t="s">
        <v>146</v>
      </c>
      <c r="E65" s="32">
        <v>2003</v>
      </c>
      <c r="F65" s="32">
        <v>2019</v>
      </c>
      <c r="G65" s="32">
        <v>2023</v>
      </c>
      <c r="H65" s="32">
        <v>2023</v>
      </c>
      <c r="I65" s="32">
        <v>2024</v>
      </c>
      <c r="J65" s="32">
        <v>2024</v>
      </c>
      <c r="K65">
        <f>Table3[[#This Row],[Discharge Year]]-Table3[[#This Row],[Admission Year]]</f>
        <v>21</v>
      </c>
      <c r="L65">
        <f>Table3[[#This Row],[Diagnosis Year]]-Table3[[#This Row],[Admission Year]]</f>
        <v>16</v>
      </c>
      <c r="M65">
        <f>Table3[[#This Row],[Treatment Start Year]]-Table3[[#This Row],[Diagnosis Year]]</f>
        <v>4</v>
      </c>
    </row>
    <row r="66" spans="1:13" x14ac:dyDescent="0.2">
      <c r="A66" t="s">
        <v>494</v>
      </c>
      <c r="B66" t="s">
        <v>961</v>
      </c>
      <c r="C66">
        <v>33</v>
      </c>
      <c r="D66" t="s">
        <v>146</v>
      </c>
      <c r="E66" s="32">
        <v>2017</v>
      </c>
      <c r="F66" s="32">
        <v>2023</v>
      </c>
      <c r="G66" s="32">
        <v>2023</v>
      </c>
      <c r="H66" s="32">
        <v>2023</v>
      </c>
      <c r="I66" s="32">
        <v>2024</v>
      </c>
      <c r="J66" s="32" t="s">
        <v>272</v>
      </c>
      <c r="K66">
        <f>Table3[[#This Row],[Discharge Year]]-Table3[[#This Row],[Admission Year]]</f>
        <v>7</v>
      </c>
      <c r="L66">
        <f>Table3[[#This Row],[Diagnosis Year]]-Table3[[#This Row],[Admission Year]]</f>
        <v>6</v>
      </c>
      <c r="M66">
        <f>Table3[[#This Row],[Treatment Start Year]]-Table3[[#This Row],[Diagnosis Year]]</f>
        <v>0</v>
      </c>
    </row>
    <row r="67" spans="1:13" x14ac:dyDescent="0.2">
      <c r="A67" t="s">
        <v>499</v>
      </c>
      <c r="B67" t="s">
        <v>500</v>
      </c>
      <c r="C67">
        <v>28</v>
      </c>
      <c r="D67" t="s">
        <v>146</v>
      </c>
      <c r="E67" s="32">
        <v>2019</v>
      </c>
      <c r="F67" s="32">
        <v>2022</v>
      </c>
      <c r="G67" s="32">
        <v>2023</v>
      </c>
      <c r="H67" s="32">
        <v>2023</v>
      </c>
      <c r="I67" s="32">
        <v>2024</v>
      </c>
      <c r="J67" s="32" t="s">
        <v>272</v>
      </c>
      <c r="K67">
        <f>Table3[[#This Row],[Discharge Year]]-Table3[[#This Row],[Admission Year]]</f>
        <v>5</v>
      </c>
      <c r="L67">
        <f>Table3[[#This Row],[Diagnosis Year]]-Table3[[#This Row],[Admission Year]]</f>
        <v>3</v>
      </c>
      <c r="M67">
        <f>Table3[[#This Row],[Treatment Start Year]]-Table3[[#This Row],[Diagnosis Year]]</f>
        <v>1</v>
      </c>
    </row>
    <row r="68" spans="1:13" x14ac:dyDescent="0.2">
      <c r="A68" t="s">
        <v>503</v>
      </c>
      <c r="B68" t="s">
        <v>504</v>
      </c>
      <c r="C68">
        <v>43</v>
      </c>
      <c r="D68" t="s">
        <v>160</v>
      </c>
      <c r="E68" s="32">
        <v>2018</v>
      </c>
      <c r="F68" s="32">
        <v>2023</v>
      </c>
      <c r="G68" s="32">
        <v>2023</v>
      </c>
      <c r="H68" s="32">
        <v>2023</v>
      </c>
      <c r="I68" s="32">
        <v>2024</v>
      </c>
      <c r="J68" s="32">
        <v>2024</v>
      </c>
      <c r="K68">
        <f>Table3[[#This Row],[Discharge Year]]-Table3[[#This Row],[Admission Year]]</f>
        <v>6</v>
      </c>
      <c r="L68">
        <f>Table3[[#This Row],[Diagnosis Year]]-Table3[[#This Row],[Admission Year]]</f>
        <v>5</v>
      </c>
      <c r="M68">
        <f>Table3[[#This Row],[Treatment Start Year]]-Table3[[#This Row],[Diagnosis Year]]</f>
        <v>0</v>
      </c>
    </row>
    <row r="69" spans="1:13" ht="14.25" customHeight="1" x14ac:dyDescent="0.2">
      <c r="A69" t="s">
        <v>509</v>
      </c>
      <c r="B69" t="s">
        <v>510</v>
      </c>
      <c r="C69">
        <v>72</v>
      </c>
      <c r="D69" t="s">
        <v>146</v>
      </c>
      <c r="E69" s="32">
        <v>2018</v>
      </c>
      <c r="F69" s="32">
        <v>2023</v>
      </c>
      <c r="G69" s="32">
        <v>2024</v>
      </c>
      <c r="H69" s="32">
        <v>2024</v>
      </c>
      <c r="I69" s="32" t="s">
        <v>272</v>
      </c>
      <c r="J69" s="32" t="s">
        <v>272</v>
      </c>
      <c r="K69" t="e">
        <f>Table3[[#This Row],[Discharge Year]]-Table3[[#This Row],[Admission Year]]</f>
        <v>#VALUE!</v>
      </c>
      <c r="L69">
        <f>Table3[[#This Row],[Diagnosis Year]]-Table3[[#This Row],[Admission Year]]</f>
        <v>5</v>
      </c>
      <c r="M69">
        <f>Table3[[#This Row],[Treatment Start Year]]-Table3[[#This Row],[Diagnosis Year]]</f>
        <v>1</v>
      </c>
    </row>
    <row r="70" spans="1:13" x14ac:dyDescent="0.2">
      <c r="A70" t="s">
        <v>515</v>
      </c>
      <c r="B70" t="s">
        <v>516</v>
      </c>
      <c r="C70">
        <v>21</v>
      </c>
      <c r="D70" t="s">
        <v>160</v>
      </c>
      <c r="E70" s="32">
        <v>2016</v>
      </c>
      <c r="F70" s="32">
        <v>2022</v>
      </c>
      <c r="G70" s="32">
        <v>2023</v>
      </c>
      <c r="H70" s="32">
        <v>2023</v>
      </c>
      <c r="I70" s="32">
        <v>2024</v>
      </c>
      <c r="J70" s="32">
        <v>2024</v>
      </c>
      <c r="K70">
        <f>Table3[[#This Row],[Discharge Year]]-Table3[[#This Row],[Admission Year]]</f>
        <v>8</v>
      </c>
      <c r="L70">
        <f>Table3[[#This Row],[Diagnosis Year]]-Table3[[#This Row],[Admission Year]]</f>
        <v>6</v>
      </c>
      <c r="M70">
        <f>Table3[[#This Row],[Treatment Start Year]]-Table3[[#This Row],[Diagnosis Year]]</f>
        <v>1</v>
      </c>
    </row>
    <row r="71" spans="1:13" x14ac:dyDescent="0.2">
      <c r="A71" t="s">
        <v>519</v>
      </c>
      <c r="B71" t="s">
        <v>520</v>
      </c>
      <c r="C71">
        <v>79</v>
      </c>
      <c r="D71" t="s">
        <v>146</v>
      </c>
      <c r="E71" s="32">
        <v>2016</v>
      </c>
      <c r="F71" s="32">
        <v>2023</v>
      </c>
      <c r="G71" s="32">
        <v>2023</v>
      </c>
      <c r="H71" s="32">
        <v>2023</v>
      </c>
      <c r="I71" s="32">
        <v>2024</v>
      </c>
      <c r="J71" s="32">
        <v>2024</v>
      </c>
      <c r="K71">
        <f>Table3[[#This Row],[Discharge Year]]-Table3[[#This Row],[Admission Year]]</f>
        <v>8</v>
      </c>
      <c r="L71">
        <f>Table3[[#This Row],[Diagnosis Year]]-Table3[[#This Row],[Admission Year]]</f>
        <v>7</v>
      </c>
      <c r="M71">
        <f>Table3[[#This Row],[Treatment Start Year]]-Table3[[#This Row],[Diagnosis Year]]</f>
        <v>0</v>
      </c>
    </row>
    <row r="72" spans="1:13" x14ac:dyDescent="0.2">
      <c r="A72" t="s">
        <v>524</v>
      </c>
      <c r="B72" t="s">
        <v>962</v>
      </c>
      <c r="C72">
        <v>63</v>
      </c>
      <c r="D72" t="s">
        <v>146</v>
      </c>
      <c r="E72" s="32">
        <v>2016</v>
      </c>
      <c r="F72" s="32">
        <v>2017</v>
      </c>
      <c r="G72" s="32">
        <v>2020</v>
      </c>
      <c r="H72" s="32">
        <v>2023</v>
      </c>
      <c r="I72" s="32">
        <v>2024</v>
      </c>
      <c r="J72" s="32" t="s">
        <v>272</v>
      </c>
      <c r="K72">
        <f>Table3[[#This Row],[Discharge Year]]-Table3[[#This Row],[Admission Year]]</f>
        <v>8</v>
      </c>
      <c r="L72">
        <f>Table3[[#This Row],[Diagnosis Year]]-Table3[[#This Row],[Admission Year]]</f>
        <v>1</v>
      </c>
      <c r="M72">
        <f>Table3[[#This Row],[Treatment Start Year]]-Table3[[#This Row],[Diagnosis Year]]</f>
        <v>3</v>
      </c>
    </row>
    <row r="73" spans="1:13" x14ac:dyDescent="0.2">
      <c r="A73" t="s">
        <v>528</v>
      </c>
      <c r="B73" t="s">
        <v>529</v>
      </c>
      <c r="C73">
        <v>27</v>
      </c>
      <c r="D73" t="s">
        <v>146</v>
      </c>
      <c r="E73" s="32">
        <v>2016</v>
      </c>
      <c r="F73" s="32">
        <v>2022</v>
      </c>
      <c r="G73" s="32">
        <v>2023</v>
      </c>
      <c r="H73" s="32">
        <v>2024</v>
      </c>
      <c r="I73" s="32">
        <v>2024</v>
      </c>
      <c r="J73" s="32" t="s">
        <v>272</v>
      </c>
      <c r="K73">
        <f>Table3[[#This Row],[Discharge Year]]-Table3[[#This Row],[Admission Year]]</f>
        <v>8</v>
      </c>
      <c r="L73">
        <f>Table3[[#This Row],[Diagnosis Year]]-Table3[[#This Row],[Admission Year]]</f>
        <v>6</v>
      </c>
      <c r="M73">
        <f>Table3[[#This Row],[Treatment Start Year]]-Table3[[#This Row],[Diagnosis Year]]</f>
        <v>1</v>
      </c>
    </row>
    <row r="74" spans="1:13" ht="14.25" customHeight="1" x14ac:dyDescent="0.2">
      <c r="A74" t="s">
        <v>533</v>
      </c>
      <c r="B74" t="s">
        <v>534</v>
      </c>
      <c r="C74">
        <v>66</v>
      </c>
      <c r="D74" t="s">
        <v>160</v>
      </c>
      <c r="E74" s="32">
        <v>2017</v>
      </c>
      <c r="F74" s="32">
        <v>2022</v>
      </c>
      <c r="G74" s="32">
        <v>2023</v>
      </c>
      <c r="H74" s="32">
        <v>2023</v>
      </c>
      <c r="I74" s="32" t="s">
        <v>272</v>
      </c>
      <c r="J74" s="32" t="s">
        <v>272</v>
      </c>
      <c r="K74" t="e">
        <f>Table3[[#This Row],[Discharge Year]]-Table3[[#This Row],[Admission Year]]</f>
        <v>#VALUE!</v>
      </c>
      <c r="L74">
        <f>Table3[[#This Row],[Diagnosis Year]]-Table3[[#This Row],[Admission Year]]</f>
        <v>5</v>
      </c>
      <c r="M74">
        <f>Table3[[#This Row],[Treatment Start Year]]-Table3[[#This Row],[Diagnosis Year]]</f>
        <v>1</v>
      </c>
    </row>
    <row r="75" spans="1:13" x14ac:dyDescent="0.2">
      <c r="A75" t="s">
        <v>537</v>
      </c>
      <c r="B75" t="s">
        <v>538</v>
      </c>
      <c r="C75">
        <v>54</v>
      </c>
      <c r="D75" t="s">
        <v>160</v>
      </c>
      <c r="E75" s="32">
        <v>2017</v>
      </c>
      <c r="F75" s="32">
        <v>2023</v>
      </c>
      <c r="G75" s="32">
        <v>2023</v>
      </c>
      <c r="H75" s="32">
        <v>2023</v>
      </c>
      <c r="I75" s="32">
        <v>2023</v>
      </c>
      <c r="J75" s="32">
        <v>2024</v>
      </c>
      <c r="K75">
        <f>Table3[[#This Row],[Discharge Year]]-Table3[[#This Row],[Admission Year]]</f>
        <v>6</v>
      </c>
      <c r="L75">
        <f>Table3[[#This Row],[Diagnosis Year]]-Table3[[#This Row],[Admission Year]]</f>
        <v>6</v>
      </c>
      <c r="M75">
        <f>Table3[[#This Row],[Treatment Start Year]]-Table3[[#This Row],[Diagnosis Year]]</f>
        <v>0</v>
      </c>
    </row>
    <row r="76" spans="1:13" x14ac:dyDescent="0.2">
      <c r="A76" t="s">
        <v>543</v>
      </c>
      <c r="B76" t="s">
        <v>544</v>
      </c>
      <c r="C76">
        <v>55</v>
      </c>
      <c r="D76" t="s">
        <v>160</v>
      </c>
      <c r="E76" s="32">
        <v>2018</v>
      </c>
      <c r="F76" s="32">
        <v>2020</v>
      </c>
      <c r="G76" s="32">
        <v>2023</v>
      </c>
      <c r="H76" s="32">
        <v>2024</v>
      </c>
      <c r="I76" s="32">
        <v>2024</v>
      </c>
      <c r="J76" s="32">
        <v>2024</v>
      </c>
      <c r="K76">
        <f>Table3[[#This Row],[Discharge Year]]-Table3[[#This Row],[Admission Year]]</f>
        <v>6</v>
      </c>
      <c r="L76">
        <f>Table3[[#This Row],[Diagnosis Year]]-Table3[[#This Row],[Admission Year]]</f>
        <v>2</v>
      </c>
      <c r="M76">
        <f>Table3[[#This Row],[Treatment Start Year]]-Table3[[#This Row],[Diagnosis Year]]</f>
        <v>3</v>
      </c>
    </row>
    <row r="77" spans="1:13" x14ac:dyDescent="0.2">
      <c r="A77" t="s">
        <v>548</v>
      </c>
      <c r="B77" t="s">
        <v>549</v>
      </c>
      <c r="C77">
        <v>69</v>
      </c>
      <c r="D77" t="s">
        <v>160</v>
      </c>
      <c r="E77" s="32">
        <v>2018</v>
      </c>
      <c r="F77" s="32">
        <v>2023</v>
      </c>
      <c r="G77" s="32">
        <v>2023</v>
      </c>
      <c r="H77" s="32">
        <v>2024</v>
      </c>
      <c r="I77" s="32">
        <v>2024</v>
      </c>
      <c r="J77" s="32">
        <v>2024</v>
      </c>
      <c r="K77">
        <f>Table3[[#This Row],[Discharge Year]]-Table3[[#This Row],[Admission Year]]</f>
        <v>6</v>
      </c>
      <c r="L77">
        <f>Table3[[#This Row],[Diagnosis Year]]-Table3[[#This Row],[Admission Year]]</f>
        <v>5</v>
      </c>
      <c r="M77">
        <f>Table3[[#This Row],[Treatment Start Year]]-Table3[[#This Row],[Diagnosis Year]]</f>
        <v>0</v>
      </c>
    </row>
    <row r="78" spans="1:13" x14ac:dyDescent="0.2">
      <c r="A78" t="s">
        <v>553</v>
      </c>
      <c r="B78" t="s">
        <v>554</v>
      </c>
      <c r="C78">
        <v>23</v>
      </c>
      <c r="D78" t="s">
        <v>146</v>
      </c>
      <c r="E78" s="32">
        <v>2018</v>
      </c>
      <c r="F78" s="32">
        <v>2023</v>
      </c>
      <c r="G78" s="32">
        <v>2023</v>
      </c>
      <c r="H78" s="32">
        <v>2024</v>
      </c>
      <c r="I78" s="32">
        <v>2024</v>
      </c>
      <c r="J78" s="32" t="s">
        <v>272</v>
      </c>
      <c r="K78">
        <f>Table3[[#This Row],[Discharge Year]]-Table3[[#This Row],[Admission Year]]</f>
        <v>6</v>
      </c>
      <c r="L78">
        <f>Table3[[#This Row],[Diagnosis Year]]-Table3[[#This Row],[Admission Year]]</f>
        <v>5</v>
      </c>
      <c r="M78">
        <f>Table3[[#This Row],[Treatment Start Year]]-Table3[[#This Row],[Diagnosis Year]]</f>
        <v>0</v>
      </c>
    </row>
    <row r="79" spans="1:13" x14ac:dyDescent="0.2">
      <c r="A79" t="s">
        <v>559</v>
      </c>
      <c r="B79" t="s">
        <v>560</v>
      </c>
      <c r="C79">
        <v>22</v>
      </c>
      <c r="D79" t="s">
        <v>146</v>
      </c>
      <c r="E79" s="32">
        <v>2018</v>
      </c>
      <c r="F79" s="32">
        <v>2023</v>
      </c>
      <c r="G79" s="32">
        <v>2024</v>
      </c>
      <c r="H79" s="32">
        <v>2024</v>
      </c>
      <c r="I79" s="32">
        <v>2024</v>
      </c>
      <c r="J79" s="32" t="s">
        <v>272</v>
      </c>
      <c r="K79">
        <f>Table3[[#This Row],[Discharge Year]]-Table3[[#This Row],[Admission Year]]</f>
        <v>6</v>
      </c>
      <c r="L79">
        <f>Table3[[#This Row],[Diagnosis Year]]-Table3[[#This Row],[Admission Year]]</f>
        <v>5</v>
      </c>
      <c r="M79">
        <f>Table3[[#This Row],[Treatment Start Year]]-Table3[[#This Row],[Diagnosis Year]]</f>
        <v>1</v>
      </c>
    </row>
    <row r="80" spans="1:13" x14ac:dyDescent="0.2">
      <c r="A80" t="s">
        <v>563</v>
      </c>
      <c r="B80" t="s">
        <v>963</v>
      </c>
      <c r="C80">
        <v>21</v>
      </c>
      <c r="D80" t="s">
        <v>146</v>
      </c>
      <c r="E80" s="32">
        <v>2018</v>
      </c>
      <c r="F80" s="32">
        <v>2023</v>
      </c>
      <c r="G80" s="32">
        <v>2024</v>
      </c>
      <c r="H80" s="32">
        <v>2024</v>
      </c>
      <c r="I80" s="32">
        <v>2024</v>
      </c>
      <c r="J80" s="32">
        <v>2024</v>
      </c>
      <c r="K80">
        <f>Table3[[#This Row],[Discharge Year]]-Table3[[#This Row],[Admission Year]]</f>
        <v>6</v>
      </c>
      <c r="L80">
        <f>Table3[[#This Row],[Diagnosis Year]]-Table3[[#This Row],[Admission Year]]</f>
        <v>5</v>
      </c>
      <c r="M80">
        <f>Table3[[#This Row],[Treatment Start Year]]-Table3[[#This Row],[Diagnosis Year]]</f>
        <v>1</v>
      </c>
    </row>
    <row r="81" spans="1:13" x14ac:dyDescent="0.2">
      <c r="A81" t="s">
        <v>569</v>
      </c>
      <c r="B81" t="s">
        <v>570</v>
      </c>
      <c r="C81">
        <v>25</v>
      </c>
      <c r="D81" t="s">
        <v>160</v>
      </c>
      <c r="E81" s="32">
        <v>2016</v>
      </c>
      <c r="F81" s="32">
        <v>2022</v>
      </c>
      <c r="G81" s="32">
        <v>2023</v>
      </c>
      <c r="H81" s="32">
        <v>2023</v>
      </c>
      <c r="I81" s="32">
        <v>2023</v>
      </c>
      <c r="J81" s="32">
        <v>2024</v>
      </c>
      <c r="K81">
        <f>Table3[[#This Row],[Discharge Year]]-Table3[[#This Row],[Admission Year]]</f>
        <v>7</v>
      </c>
      <c r="L81">
        <f>Table3[[#This Row],[Diagnosis Year]]-Table3[[#This Row],[Admission Year]]</f>
        <v>6</v>
      </c>
      <c r="M81">
        <f>Table3[[#This Row],[Treatment Start Year]]-Table3[[#This Row],[Diagnosis Year]]</f>
        <v>1</v>
      </c>
    </row>
    <row r="82" spans="1:13" x14ac:dyDescent="0.2">
      <c r="A82" t="s">
        <v>574</v>
      </c>
      <c r="B82" t="s">
        <v>575</v>
      </c>
      <c r="C82">
        <v>73</v>
      </c>
      <c r="D82" t="s">
        <v>146</v>
      </c>
      <c r="E82" s="32">
        <v>2016</v>
      </c>
      <c r="F82" s="32">
        <v>2020</v>
      </c>
      <c r="G82" s="32">
        <v>2023</v>
      </c>
      <c r="H82" s="32">
        <v>2024</v>
      </c>
      <c r="I82" s="32">
        <v>2024</v>
      </c>
      <c r="J82" s="32" t="s">
        <v>272</v>
      </c>
      <c r="K82">
        <f>Table3[[#This Row],[Discharge Year]]-Table3[[#This Row],[Admission Year]]</f>
        <v>8</v>
      </c>
      <c r="L82">
        <f>Table3[[#This Row],[Diagnosis Year]]-Table3[[#This Row],[Admission Year]]</f>
        <v>4</v>
      </c>
      <c r="M82">
        <f>Table3[[#This Row],[Treatment Start Year]]-Table3[[#This Row],[Diagnosis Year]]</f>
        <v>3</v>
      </c>
    </row>
    <row r="83" spans="1:13" ht="14.25" customHeight="1" x14ac:dyDescent="0.2">
      <c r="A83" t="s">
        <v>579</v>
      </c>
      <c r="B83" t="s">
        <v>580</v>
      </c>
      <c r="C83">
        <v>23</v>
      </c>
      <c r="D83" t="s">
        <v>146</v>
      </c>
      <c r="E83" s="32">
        <v>2019</v>
      </c>
      <c r="F83" s="32">
        <v>2023</v>
      </c>
      <c r="G83" s="32">
        <v>2023</v>
      </c>
      <c r="H83" s="32">
        <v>2024</v>
      </c>
      <c r="I83" s="32" t="s">
        <v>272</v>
      </c>
      <c r="J83" s="32" t="s">
        <v>272</v>
      </c>
      <c r="K83" t="e">
        <f>Table3[[#This Row],[Discharge Year]]-Table3[[#This Row],[Admission Year]]</f>
        <v>#VALUE!</v>
      </c>
      <c r="L83">
        <f>Table3[[#This Row],[Diagnosis Year]]-Table3[[#This Row],[Admission Year]]</f>
        <v>4</v>
      </c>
      <c r="M83">
        <f>Table3[[#This Row],[Treatment Start Year]]-Table3[[#This Row],[Diagnosis Year]]</f>
        <v>0</v>
      </c>
    </row>
    <row r="84" spans="1:13" x14ac:dyDescent="0.2">
      <c r="A84" t="s">
        <v>583</v>
      </c>
      <c r="B84" t="s">
        <v>584</v>
      </c>
      <c r="C84">
        <v>73</v>
      </c>
      <c r="D84" t="s">
        <v>146</v>
      </c>
      <c r="E84" s="32">
        <v>2017</v>
      </c>
      <c r="F84" s="32">
        <v>2019</v>
      </c>
      <c r="G84" s="32">
        <v>2023</v>
      </c>
      <c r="H84" s="32">
        <v>2023</v>
      </c>
      <c r="I84" s="32">
        <v>2024</v>
      </c>
      <c r="J84" s="32">
        <v>2024</v>
      </c>
      <c r="K84">
        <f>Table3[[#This Row],[Discharge Year]]-Table3[[#This Row],[Admission Year]]</f>
        <v>7</v>
      </c>
      <c r="L84">
        <f>Table3[[#This Row],[Diagnosis Year]]-Table3[[#This Row],[Admission Year]]</f>
        <v>2</v>
      </c>
      <c r="M84">
        <f>Table3[[#This Row],[Treatment Start Year]]-Table3[[#This Row],[Diagnosis Year]]</f>
        <v>4</v>
      </c>
    </row>
    <row r="85" spans="1:13" x14ac:dyDescent="0.2">
      <c r="A85" t="s">
        <v>588</v>
      </c>
      <c r="B85" t="s">
        <v>589</v>
      </c>
      <c r="C85">
        <v>82</v>
      </c>
      <c r="D85" t="s">
        <v>160</v>
      </c>
      <c r="E85" s="32">
        <v>2016</v>
      </c>
      <c r="F85" s="32">
        <v>2018</v>
      </c>
      <c r="G85" s="32">
        <v>2023</v>
      </c>
      <c r="H85" s="32">
        <v>2024</v>
      </c>
      <c r="I85" s="32">
        <v>2024</v>
      </c>
      <c r="J85" s="32" t="s">
        <v>272</v>
      </c>
      <c r="K85">
        <f>Table3[[#This Row],[Discharge Year]]-Table3[[#This Row],[Admission Year]]</f>
        <v>8</v>
      </c>
      <c r="L85">
        <f>Table3[[#This Row],[Diagnosis Year]]-Table3[[#This Row],[Admission Year]]</f>
        <v>2</v>
      </c>
      <c r="M85">
        <f>Table3[[#This Row],[Treatment Start Year]]-Table3[[#This Row],[Diagnosis Year]]</f>
        <v>5</v>
      </c>
    </row>
    <row r="86" spans="1:13" x14ac:dyDescent="0.2">
      <c r="A86" t="s">
        <v>593</v>
      </c>
      <c r="B86" t="s">
        <v>594</v>
      </c>
      <c r="C86">
        <v>37</v>
      </c>
      <c r="D86" t="s">
        <v>160</v>
      </c>
      <c r="E86" s="32">
        <v>2018</v>
      </c>
      <c r="F86" s="32">
        <v>2023</v>
      </c>
      <c r="G86" s="32">
        <v>2023</v>
      </c>
      <c r="H86" s="32">
        <v>2023</v>
      </c>
      <c r="I86" s="32">
        <v>2023</v>
      </c>
      <c r="J86" s="32">
        <v>2024</v>
      </c>
      <c r="K86">
        <f>Table3[[#This Row],[Discharge Year]]-Table3[[#This Row],[Admission Year]]</f>
        <v>5</v>
      </c>
      <c r="L86">
        <f>Table3[[#This Row],[Diagnosis Year]]-Table3[[#This Row],[Admission Year]]</f>
        <v>5</v>
      </c>
      <c r="M86">
        <f>Table3[[#This Row],[Treatment Start Year]]-Table3[[#This Row],[Diagnosis Year]]</f>
        <v>0</v>
      </c>
    </row>
    <row r="87" spans="1:13" x14ac:dyDescent="0.2">
      <c r="A87" t="s">
        <v>598</v>
      </c>
      <c r="B87" t="s">
        <v>599</v>
      </c>
      <c r="C87">
        <v>63</v>
      </c>
      <c r="D87" t="s">
        <v>146</v>
      </c>
      <c r="E87" s="32">
        <v>2019</v>
      </c>
      <c r="F87" s="32">
        <v>2023</v>
      </c>
      <c r="G87" s="32">
        <v>2023</v>
      </c>
      <c r="H87" s="32">
        <v>2023</v>
      </c>
      <c r="I87" s="32">
        <v>2023</v>
      </c>
      <c r="J87" s="32" t="s">
        <v>272</v>
      </c>
      <c r="K87">
        <f>Table3[[#This Row],[Discharge Year]]-Table3[[#This Row],[Admission Year]]</f>
        <v>4</v>
      </c>
      <c r="L87">
        <f>Table3[[#This Row],[Diagnosis Year]]-Table3[[#This Row],[Admission Year]]</f>
        <v>4</v>
      </c>
      <c r="M87">
        <f>Table3[[#This Row],[Treatment Start Year]]-Table3[[#This Row],[Diagnosis Year]]</f>
        <v>0</v>
      </c>
    </row>
    <row r="88" spans="1:13" x14ac:dyDescent="0.2">
      <c r="A88" t="s">
        <v>602</v>
      </c>
      <c r="B88" t="s">
        <v>603</v>
      </c>
      <c r="C88">
        <v>53</v>
      </c>
      <c r="D88" t="s">
        <v>160</v>
      </c>
      <c r="E88" s="32">
        <v>2019</v>
      </c>
      <c r="F88" s="32">
        <v>2022</v>
      </c>
      <c r="G88" s="32">
        <v>2023</v>
      </c>
      <c r="H88" s="32">
        <v>2023</v>
      </c>
      <c r="I88" s="32">
        <v>2024</v>
      </c>
      <c r="J88" s="32">
        <v>2024</v>
      </c>
      <c r="K88">
        <f>Table3[[#This Row],[Discharge Year]]-Table3[[#This Row],[Admission Year]]</f>
        <v>5</v>
      </c>
      <c r="L88">
        <f>Table3[[#This Row],[Diagnosis Year]]-Table3[[#This Row],[Admission Year]]</f>
        <v>3</v>
      </c>
      <c r="M88">
        <f>Table3[[#This Row],[Treatment Start Year]]-Table3[[#This Row],[Diagnosis Year]]</f>
        <v>1</v>
      </c>
    </row>
    <row r="89" spans="1:13" x14ac:dyDescent="0.2">
      <c r="A89" t="s">
        <v>607</v>
      </c>
      <c r="B89" t="s">
        <v>608</v>
      </c>
      <c r="C89">
        <v>81</v>
      </c>
      <c r="D89" t="s">
        <v>160</v>
      </c>
      <c r="E89" s="32">
        <v>2019</v>
      </c>
      <c r="F89" s="32">
        <v>2023</v>
      </c>
      <c r="G89" s="32">
        <v>2023</v>
      </c>
      <c r="H89" s="32">
        <v>2023</v>
      </c>
      <c r="I89" s="32">
        <v>2024</v>
      </c>
      <c r="J89" s="32">
        <v>2024</v>
      </c>
      <c r="K89">
        <f>Table3[[#This Row],[Discharge Year]]-Table3[[#This Row],[Admission Year]]</f>
        <v>5</v>
      </c>
      <c r="L89">
        <f>Table3[[#This Row],[Diagnosis Year]]-Table3[[#This Row],[Admission Year]]</f>
        <v>4</v>
      </c>
      <c r="M89">
        <f>Table3[[#This Row],[Treatment Start Year]]-Table3[[#This Row],[Diagnosis Year]]</f>
        <v>0</v>
      </c>
    </row>
    <row r="90" spans="1:13" x14ac:dyDescent="0.2">
      <c r="A90" t="s">
        <v>612</v>
      </c>
      <c r="B90" t="s">
        <v>964</v>
      </c>
      <c r="C90">
        <v>41</v>
      </c>
      <c r="D90" t="s">
        <v>146</v>
      </c>
      <c r="E90" s="32">
        <v>2018</v>
      </c>
      <c r="F90" s="32">
        <v>2018</v>
      </c>
      <c r="G90" s="32">
        <v>2020</v>
      </c>
      <c r="H90" s="32">
        <v>2023</v>
      </c>
      <c r="I90" s="32">
        <v>2023</v>
      </c>
      <c r="J90" s="32">
        <v>2024</v>
      </c>
      <c r="K90">
        <f>Table3[[#This Row],[Discharge Year]]-Table3[[#This Row],[Admission Year]]</f>
        <v>5</v>
      </c>
      <c r="L90">
        <f>Table3[[#This Row],[Diagnosis Year]]-Table3[[#This Row],[Admission Year]]</f>
        <v>0</v>
      </c>
      <c r="M90">
        <f>Table3[[#This Row],[Treatment Start Year]]-Table3[[#This Row],[Diagnosis Year]]</f>
        <v>2</v>
      </c>
    </row>
    <row r="91" spans="1:13" x14ac:dyDescent="0.2">
      <c r="A91" t="s">
        <v>616</v>
      </c>
      <c r="B91" t="s">
        <v>617</v>
      </c>
      <c r="C91">
        <v>33</v>
      </c>
      <c r="D91" t="s">
        <v>160</v>
      </c>
      <c r="E91" s="32">
        <v>2018</v>
      </c>
      <c r="F91" s="32">
        <v>2023</v>
      </c>
      <c r="G91" s="32">
        <v>2023</v>
      </c>
      <c r="H91" s="32">
        <v>2023</v>
      </c>
      <c r="I91" s="32">
        <v>2024</v>
      </c>
      <c r="J91" s="32">
        <v>2024</v>
      </c>
      <c r="K91">
        <f>Table3[[#This Row],[Discharge Year]]-Table3[[#This Row],[Admission Year]]</f>
        <v>6</v>
      </c>
      <c r="L91">
        <f>Table3[[#This Row],[Diagnosis Year]]-Table3[[#This Row],[Admission Year]]</f>
        <v>5</v>
      </c>
      <c r="M91">
        <f>Table3[[#This Row],[Treatment Start Year]]-Table3[[#This Row],[Diagnosis Year]]</f>
        <v>0</v>
      </c>
    </row>
    <row r="92" spans="1:13" x14ac:dyDescent="0.2">
      <c r="A92" t="s">
        <v>622</v>
      </c>
      <c r="B92" t="s">
        <v>623</v>
      </c>
      <c r="C92">
        <v>67</v>
      </c>
      <c r="D92" t="s">
        <v>160</v>
      </c>
      <c r="E92" s="32">
        <v>2003</v>
      </c>
      <c r="F92" s="32">
        <v>2018</v>
      </c>
      <c r="G92" s="32">
        <v>2023</v>
      </c>
      <c r="H92" s="32">
        <v>2023</v>
      </c>
      <c r="I92" s="32">
        <v>2024</v>
      </c>
      <c r="J92" s="32" t="s">
        <v>272</v>
      </c>
      <c r="K92">
        <f>Table3[[#This Row],[Discharge Year]]-Table3[[#This Row],[Admission Year]]</f>
        <v>21</v>
      </c>
      <c r="L92">
        <f>Table3[[#This Row],[Diagnosis Year]]-Table3[[#This Row],[Admission Year]]</f>
        <v>15</v>
      </c>
      <c r="M92">
        <f>Table3[[#This Row],[Treatment Start Year]]-Table3[[#This Row],[Diagnosis Year]]</f>
        <v>5</v>
      </c>
    </row>
    <row r="93" spans="1:13" x14ac:dyDescent="0.2">
      <c r="A93" t="s">
        <v>627</v>
      </c>
      <c r="B93" t="s">
        <v>628</v>
      </c>
      <c r="C93">
        <v>34</v>
      </c>
      <c r="D93" t="s">
        <v>160</v>
      </c>
      <c r="E93" s="32">
        <v>2016</v>
      </c>
      <c r="F93" s="32">
        <v>2018</v>
      </c>
      <c r="G93" s="32">
        <v>2023</v>
      </c>
      <c r="H93" s="32">
        <v>2023</v>
      </c>
      <c r="I93" s="32">
        <v>2023</v>
      </c>
      <c r="J93" s="32" t="s">
        <v>272</v>
      </c>
      <c r="K93">
        <f>Table3[[#This Row],[Discharge Year]]-Table3[[#This Row],[Admission Year]]</f>
        <v>7</v>
      </c>
      <c r="L93">
        <f>Table3[[#This Row],[Diagnosis Year]]-Table3[[#This Row],[Admission Year]]</f>
        <v>2</v>
      </c>
      <c r="M93">
        <f>Table3[[#This Row],[Treatment Start Year]]-Table3[[#This Row],[Diagnosis Year]]</f>
        <v>5</v>
      </c>
    </row>
    <row r="94" spans="1:13" x14ac:dyDescent="0.2">
      <c r="A94" t="s">
        <v>631</v>
      </c>
      <c r="B94" t="s">
        <v>632</v>
      </c>
      <c r="C94">
        <v>81</v>
      </c>
      <c r="D94" t="s">
        <v>146</v>
      </c>
      <c r="E94" s="32">
        <v>2018</v>
      </c>
      <c r="F94" s="32">
        <v>2023</v>
      </c>
      <c r="G94" s="32">
        <v>2023</v>
      </c>
      <c r="H94" s="32">
        <v>2024</v>
      </c>
      <c r="I94" s="32">
        <v>2024</v>
      </c>
      <c r="J94" s="32" t="s">
        <v>272</v>
      </c>
      <c r="K94">
        <f>Table3[[#This Row],[Discharge Year]]-Table3[[#This Row],[Admission Year]]</f>
        <v>6</v>
      </c>
      <c r="L94">
        <f>Table3[[#This Row],[Diagnosis Year]]-Table3[[#This Row],[Admission Year]]</f>
        <v>5</v>
      </c>
      <c r="M94">
        <f>Table3[[#This Row],[Treatment Start Year]]-Table3[[#This Row],[Diagnosis Year]]</f>
        <v>0</v>
      </c>
    </row>
    <row r="95" spans="1:13" x14ac:dyDescent="0.2">
      <c r="A95" t="s">
        <v>636</v>
      </c>
      <c r="B95" t="s">
        <v>637</v>
      </c>
      <c r="C95">
        <v>59</v>
      </c>
      <c r="D95" t="s">
        <v>160</v>
      </c>
      <c r="E95" s="32">
        <v>2018</v>
      </c>
      <c r="F95" s="32">
        <v>2021</v>
      </c>
      <c r="G95" s="32">
        <v>2023</v>
      </c>
      <c r="H95" s="32">
        <v>2023</v>
      </c>
      <c r="I95" s="32">
        <v>2023</v>
      </c>
      <c r="J95" s="32">
        <v>2024</v>
      </c>
      <c r="K95">
        <f>Table3[[#This Row],[Discharge Year]]-Table3[[#This Row],[Admission Year]]</f>
        <v>5</v>
      </c>
      <c r="L95">
        <f>Table3[[#This Row],[Diagnosis Year]]-Table3[[#This Row],[Admission Year]]</f>
        <v>3</v>
      </c>
      <c r="M95">
        <f>Table3[[#This Row],[Treatment Start Year]]-Table3[[#This Row],[Diagnosis Year]]</f>
        <v>2</v>
      </c>
    </row>
    <row r="96" spans="1:13" x14ac:dyDescent="0.2">
      <c r="A96" t="s">
        <v>641</v>
      </c>
      <c r="B96" t="s">
        <v>642</v>
      </c>
      <c r="C96">
        <v>72</v>
      </c>
      <c r="D96" t="s">
        <v>146</v>
      </c>
      <c r="E96" s="32">
        <v>2016</v>
      </c>
      <c r="F96" s="32">
        <v>2018</v>
      </c>
      <c r="G96" s="32">
        <v>2023</v>
      </c>
      <c r="H96" s="32">
        <v>2024</v>
      </c>
      <c r="I96" s="32">
        <v>2024</v>
      </c>
      <c r="J96" s="32" t="s">
        <v>272</v>
      </c>
      <c r="K96">
        <f>Table3[[#This Row],[Discharge Year]]-Table3[[#This Row],[Admission Year]]</f>
        <v>8</v>
      </c>
      <c r="L96">
        <f>Table3[[#This Row],[Diagnosis Year]]-Table3[[#This Row],[Admission Year]]</f>
        <v>2</v>
      </c>
      <c r="M96">
        <f>Table3[[#This Row],[Treatment Start Year]]-Table3[[#This Row],[Diagnosis Year]]</f>
        <v>5</v>
      </c>
    </row>
    <row r="97" spans="1:13" x14ac:dyDescent="0.2">
      <c r="A97" t="s">
        <v>646</v>
      </c>
      <c r="B97" t="s">
        <v>647</v>
      </c>
      <c r="C97">
        <v>43</v>
      </c>
      <c r="D97" t="s">
        <v>146</v>
      </c>
      <c r="E97" s="32">
        <v>2003</v>
      </c>
      <c r="F97" s="32">
        <v>2016</v>
      </c>
      <c r="G97" s="32">
        <v>2018</v>
      </c>
      <c r="H97" s="32">
        <v>2023</v>
      </c>
      <c r="I97" s="32">
        <v>2024</v>
      </c>
      <c r="J97" s="32">
        <v>2024</v>
      </c>
      <c r="K97">
        <f>Table3[[#This Row],[Discharge Year]]-Table3[[#This Row],[Admission Year]]</f>
        <v>21</v>
      </c>
      <c r="L97">
        <f>Table3[[#This Row],[Diagnosis Year]]-Table3[[#This Row],[Admission Year]]</f>
        <v>13</v>
      </c>
      <c r="M97">
        <f>Table3[[#This Row],[Treatment Start Year]]-Table3[[#This Row],[Diagnosis Year]]</f>
        <v>2</v>
      </c>
    </row>
    <row r="98" spans="1:13" x14ac:dyDescent="0.2">
      <c r="A98" t="s">
        <v>650</v>
      </c>
      <c r="B98" t="s">
        <v>651</v>
      </c>
      <c r="C98">
        <v>45</v>
      </c>
      <c r="D98" t="s">
        <v>160</v>
      </c>
      <c r="E98" s="32">
        <v>2016</v>
      </c>
      <c r="F98" s="32">
        <v>2019</v>
      </c>
      <c r="G98" s="32">
        <v>2023</v>
      </c>
      <c r="H98" s="32">
        <v>2024</v>
      </c>
      <c r="I98" s="32">
        <v>2024</v>
      </c>
      <c r="J98" s="32" t="s">
        <v>272</v>
      </c>
      <c r="K98">
        <f>Table3[[#This Row],[Discharge Year]]-Table3[[#This Row],[Admission Year]]</f>
        <v>8</v>
      </c>
      <c r="L98">
        <f>Table3[[#This Row],[Diagnosis Year]]-Table3[[#This Row],[Admission Year]]</f>
        <v>3</v>
      </c>
      <c r="M98">
        <f>Table3[[#This Row],[Treatment Start Year]]-Table3[[#This Row],[Diagnosis Year]]</f>
        <v>4</v>
      </c>
    </row>
    <row r="99" spans="1:13" x14ac:dyDescent="0.2">
      <c r="A99" t="s">
        <v>655</v>
      </c>
      <c r="B99" t="s">
        <v>656</v>
      </c>
      <c r="C99">
        <v>79</v>
      </c>
      <c r="D99" t="s">
        <v>146</v>
      </c>
      <c r="E99" s="32">
        <v>2016</v>
      </c>
      <c r="F99" s="32">
        <v>2016</v>
      </c>
      <c r="G99" s="32">
        <v>2019</v>
      </c>
      <c r="H99" s="32">
        <v>2023</v>
      </c>
      <c r="I99" s="32">
        <v>2023</v>
      </c>
      <c r="J99" s="32" t="s">
        <v>272</v>
      </c>
      <c r="K99">
        <f>Table3[[#This Row],[Discharge Year]]-Table3[[#This Row],[Admission Year]]</f>
        <v>7</v>
      </c>
      <c r="L99">
        <f>Table3[[#This Row],[Diagnosis Year]]-Table3[[#This Row],[Admission Year]]</f>
        <v>0</v>
      </c>
      <c r="M99">
        <f>Table3[[#This Row],[Treatment Start Year]]-Table3[[#This Row],[Diagnosis Year]]</f>
        <v>3</v>
      </c>
    </row>
    <row r="100" spans="1:13" ht="14.25" customHeight="1" x14ac:dyDescent="0.2">
      <c r="A100" t="s">
        <v>659</v>
      </c>
      <c r="B100" t="s">
        <v>660</v>
      </c>
      <c r="C100">
        <v>60</v>
      </c>
      <c r="D100" t="s">
        <v>146</v>
      </c>
      <c r="E100" s="32">
        <v>2016</v>
      </c>
      <c r="F100" s="32">
        <v>2019</v>
      </c>
      <c r="G100" s="32">
        <v>2023</v>
      </c>
      <c r="H100" s="32">
        <v>2023</v>
      </c>
      <c r="I100" s="32" t="s">
        <v>272</v>
      </c>
      <c r="J100" s="32" t="s">
        <v>272</v>
      </c>
      <c r="K100" t="e">
        <f>Table3[[#This Row],[Discharge Year]]-Table3[[#This Row],[Admission Year]]</f>
        <v>#VALUE!</v>
      </c>
      <c r="L100">
        <f>Table3[[#This Row],[Diagnosis Year]]-Table3[[#This Row],[Admission Year]]</f>
        <v>3</v>
      </c>
      <c r="M100">
        <f>Table3[[#This Row],[Treatment Start Year]]-Table3[[#This Row],[Diagnosis Year]]</f>
        <v>4</v>
      </c>
    </row>
    <row r="101" spans="1:13" x14ac:dyDescent="0.2">
      <c r="A101" t="s">
        <v>663</v>
      </c>
      <c r="B101" t="s">
        <v>664</v>
      </c>
      <c r="C101">
        <v>72</v>
      </c>
      <c r="D101" t="s">
        <v>146</v>
      </c>
      <c r="E101" s="32">
        <v>2016</v>
      </c>
      <c r="F101" s="32">
        <v>2018</v>
      </c>
      <c r="G101" s="32">
        <v>2019</v>
      </c>
      <c r="H101" s="32">
        <v>2022</v>
      </c>
      <c r="I101" s="32">
        <v>2023</v>
      </c>
      <c r="J101" s="32" t="s">
        <v>272</v>
      </c>
      <c r="K101">
        <f>Table3[[#This Row],[Discharge Year]]-Table3[[#This Row],[Admission Year]]</f>
        <v>7</v>
      </c>
      <c r="L101">
        <f>Table3[[#This Row],[Diagnosis Year]]-Table3[[#This Row],[Admission Year]]</f>
        <v>2</v>
      </c>
      <c r="M101">
        <f>Table3[[#This Row],[Treatment Start Year]]-Table3[[#This Row],[Diagnosis Year]]</f>
        <v>1</v>
      </c>
    </row>
    <row r="102" spans="1:13" x14ac:dyDescent="0.2">
      <c r="A102" t="s">
        <v>669</v>
      </c>
      <c r="B102" t="s">
        <v>670</v>
      </c>
      <c r="C102">
        <v>48</v>
      </c>
      <c r="D102" t="s">
        <v>146</v>
      </c>
      <c r="E102" s="32">
        <v>2016</v>
      </c>
      <c r="F102" s="32">
        <v>2017</v>
      </c>
      <c r="G102" s="32">
        <v>2023</v>
      </c>
      <c r="H102" s="32">
        <v>2023</v>
      </c>
      <c r="I102" s="32">
        <v>2023</v>
      </c>
      <c r="J102" s="32">
        <v>2024</v>
      </c>
      <c r="K102">
        <f>Table3[[#This Row],[Discharge Year]]-Table3[[#This Row],[Admission Year]]</f>
        <v>7</v>
      </c>
      <c r="L102">
        <f>Table3[[#This Row],[Diagnosis Year]]-Table3[[#This Row],[Admission Year]]</f>
        <v>1</v>
      </c>
      <c r="M102">
        <f>Table3[[#This Row],[Treatment Start Year]]-Table3[[#This Row],[Diagnosis Year]]</f>
        <v>6</v>
      </c>
    </row>
    <row r="103" spans="1:13" x14ac:dyDescent="0.2">
      <c r="A103" t="s">
        <v>675</v>
      </c>
      <c r="B103" t="s">
        <v>676</v>
      </c>
      <c r="C103">
        <v>34</v>
      </c>
      <c r="D103" t="s">
        <v>160</v>
      </c>
      <c r="E103" s="32">
        <v>2016</v>
      </c>
      <c r="F103" s="32">
        <v>2017</v>
      </c>
      <c r="G103" s="32">
        <v>2023</v>
      </c>
      <c r="H103" s="32">
        <v>2023</v>
      </c>
      <c r="I103" s="32">
        <v>2024</v>
      </c>
      <c r="J103" s="32">
        <v>2024</v>
      </c>
      <c r="K103">
        <f>Table3[[#This Row],[Discharge Year]]-Table3[[#This Row],[Admission Year]]</f>
        <v>8</v>
      </c>
      <c r="L103">
        <f>Table3[[#This Row],[Diagnosis Year]]-Table3[[#This Row],[Admission Year]]</f>
        <v>1</v>
      </c>
      <c r="M103">
        <f>Table3[[#This Row],[Treatment Start Year]]-Table3[[#This Row],[Diagnosis Year]]</f>
        <v>6</v>
      </c>
    </row>
    <row r="104" spans="1:13" x14ac:dyDescent="0.2">
      <c r="A104" t="s">
        <v>683</v>
      </c>
      <c r="B104" t="s">
        <v>684</v>
      </c>
      <c r="C104">
        <v>64</v>
      </c>
      <c r="D104" t="s">
        <v>160</v>
      </c>
      <c r="E104" s="32">
        <v>2003</v>
      </c>
      <c r="F104" s="32">
        <v>2016</v>
      </c>
      <c r="G104" s="32">
        <v>2018</v>
      </c>
      <c r="H104" s="32">
        <v>2023</v>
      </c>
      <c r="I104" s="32">
        <v>2024</v>
      </c>
      <c r="J104" s="32" t="s">
        <v>272</v>
      </c>
      <c r="K104">
        <f>Table3[[#This Row],[Discharge Year]]-Table3[[#This Row],[Admission Year]]</f>
        <v>21</v>
      </c>
      <c r="L104">
        <f>Table3[[#This Row],[Diagnosis Year]]-Table3[[#This Row],[Admission Year]]</f>
        <v>13</v>
      </c>
      <c r="M104">
        <f>Table3[[#This Row],[Treatment Start Year]]-Table3[[#This Row],[Diagnosis Year]]</f>
        <v>2</v>
      </c>
    </row>
    <row r="105" spans="1:13" ht="14.25" customHeight="1" x14ac:dyDescent="0.2">
      <c r="A105" t="s">
        <v>688</v>
      </c>
      <c r="B105" t="s">
        <v>689</v>
      </c>
      <c r="C105">
        <v>84</v>
      </c>
      <c r="D105" t="s">
        <v>146</v>
      </c>
      <c r="E105" s="32">
        <v>2023</v>
      </c>
      <c r="F105" s="32">
        <v>2023</v>
      </c>
      <c r="G105" s="32">
        <v>2024</v>
      </c>
      <c r="H105" s="32">
        <v>2024</v>
      </c>
      <c r="I105" s="32" t="s">
        <v>272</v>
      </c>
      <c r="J105" s="32" t="s">
        <v>272</v>
      </c>
      <c r="K105" t="e">
        <f>Table3[[#This Row],[Discharge Year]]-Table3[[#This Row],[Admission Year]]</f>
        <v>#VALUE!</v>
      </c>
      <c r="L105">
        <f>Table3[[#This Row],[Diagnosis Year]]-Table3[[#This Row],[Admission Year]]</f>
        <v>0</v>
      </c>
      <c r="M105">
        <f>Table3[[#This Row],[Treatment Start Year]]-Table3[[#This Row],[Diagnosis Year]]</f>
        <v>1</v>
      </c>
    </row>
    <row r="106" spans="1:13" x14ac:dyDescent="0.2">
      <c r="A106" t="s">
        <v>693</v>
      </c>
      <c r="B106" t="s">
        <v>694</v>
      </c>
      <c r="C106">
        <v>28</v>
      </c>
      <c r="D106" t="s">
        <v>160</v>
      </c>
      <c r="E106" s="32">
        <v>2022</v>
      </c>
      <c r="F106" s="32">
        <v>2023</v>
      </c>
      <c r="G106" s="32">
        <v>2023</v>
      </c>
      <c r="H106" s="32">
        <v>2024</v>
      </c>
      <c r="I106" s="32">
        <v>2024</v>
      </c>
      <c r="J106" s="32">
        <v>2024</v>
      </c>
      <c r="K106">
        <f>Table3[[#This Row],[Discharge Year]]-Table3[[#This Row],[Admission Year]]</f>
        <v>2</v>
      </c>
      <c r="L106">
        <f>Table3[[#This Row],[Diagnosis Year]]-Table3[[#This Row],[Admission Year]]</f>
        <v>1</v>
      </c>
      <c r="M106">
        <f>Table3[[#This Row],[Treatment Start Year]]-Table3[[#This Row],[Diagnosis Year]]</f>
        <v>0</v>
      </c>
    </row>
    <row r="107" spans="1:13" x14ac:dyDescent="0.2">
      <c r="A107" t="s">
        <v>698</v>
      </c>
      <c r="B107" t="s">
        <v>699</v>
      </c>
      <c r="C107">
        <v>20</v>
      </c>
      <c r="D107" t="s">
        <v>160</v>
      </c>
      <c r="E107" s="32">
        <v>2016</v>
      </c>
      <c r="F107" s="32">
        <v>2023</v>
      </c>
      <c r="G107" s="32">
        <v>2023</v>
      </c>
      <c r="H107" s="32">
        <v>2024</v>
      </c>
      <c r="I107" s="32">
        <v>2024</v>
      </c>
      <c r="J107" s="32" t="s">
        <v>272</v>
      </c>
      <c r="K107">
        <f>Table3[[#This Row],[Discharge Year]]-Table3[[#This Row],[Admission Year]]</f>
        <v>8</v>
      </c>
      <c r="L107">
        <f>Table3[[#This Row],[Diagnosis Year]]-Table3[[#This Row],[Admission Year]]</f>
        <v>7</v>
      </c>
      <c r="M107">
        <f>Table3[[#This Row],[Treatment Start Year]]-Table3[[#This Row],[Diagnosis Year]]</f>
        <v>0</v>
      </c>
    </row>
    <row r="108" spans="1:13" ht="14.25" customHeight="1" x14ac:dyDescent="0.2">
      <c r="A108" t="s">
        <v>703</v>
      </c>
      <c r="B108" t="s">
        <v>704</v>
      </c>
      <c r="C108">
        <v>27</v>
      </c>
      <c r="D108" t="s">
        <v>160</v>
      </c>
      <c r="E108" s="32">
        <v>2016</v>
      </c>
      <c r="F108" s="32">
        <v>2023</v>
      </c>
      <c r="G108" s="32">
        <v>2024</v>
      </c>
      <c r="H108" s="32">
        <v>2024</v>
      </c>
      <c r="I108" s="32" t="s">
        <v>272</v>
      </c>
      <c r="J108" s="32" t="s">
        <v>272</v>
      </c>
      <c r="K108" t="e">
        <f>Table3[[#This Row],[Discharge Year]]-Table3[[#This Row],[Admission Year]]</f>
        <v>#VALUE!</v>
      </c>
      <c r="L108">
        <f>Table3[[#This Row],[Diagnosis Year]]-Table3[[#This Row],[Admission Year]]</f>
        <v>7</v>
      </c>
      <c r="M108">
        <f>Table3[[#This Row],[Treatment Start Year]]-Table3[[#This Row],[Diagnosis Year]]</f>
        <v>1</v>
      </c>
    </row>
    <row r="109" spans="1:13" x14ac:dyDescent="0.2">
      <c r="A109" t="s">
        <v>708</v>
      </c>
      <c r="B109" t="s">
        <v>709</v>
      </c>
      <c r="C109">
        <v>82</v>
      </c>
      <c r="D109" t="s">
        <v>160</v>
      </c>
      <c r="E109" s="32">
        <v>2016</v>
      </c>
      <c r="F109" s="32">
        <v>2022</v>
      </c>
      <c r="G109" s="32">
        <v>2023</v>
      </c>
      <c r="H109" s="32">
        <v>2023</v>
      </c>
      <c r="I109" s="32">
        <v>2023</v>
      </c>
      <c r="J109" s="32">
        <v>2024</v>
      </c>
      <c r="K109">
        <f>Table3[[#This Row],[Discharge Year]]-Table3[[#This Row],[Admission Year]]</f>
        <v>7</v>
      </c>
      <c r="L109">
        <f>Table3[[#This Row],[Diagnosis Year]]-Table3[[#This Row],[Admission Year]]</f>
        <v>6</v>
      </c>
      <c r="M109">
        <f>Table3[[#This Row],[Treatment Start Year]]-Table3[[#This Row],[Diagnosis Year]]</f>
        <v>1</v>
      </c>
    </row>
    <row r="110" spans="1:13" x14ac:dyDescent="0.2">
      <c r="A110" t="s">
        <v>713</v>
      </c>
      <c r="B110" t="s">
        <v>714</v>
      </c>
      <c r="C110">
        <v>30</v>
      </c>
      <c r="D110" t="s">
        <v>146</v>
      </c>
      <c r="E110" s="32">
        <v>2016</v>
      </c>
      <c r="F110" s="32">
        <v>2016</v>
      </c>
      <c r="G110" s="32">
        <v>2023</v>
      </c>
      <c r="H110" s="32">
        <v>2023</v>
      </c>
      <c r="I110" s="32">
        <v>2023</v>
      </c>
      <c r="J110" s="32">
        <v>2024</v>
      </c>
      <c r="K110">
        <f>Table3[[#This Row],[Discharge Year]]-Table3[[#This Row],[Admission Year]]</f>
        <v>7</v>
      </c>
      <c r="L110">
        <f>Table3[[#This Row],[Diagnosis Year]]-Table3[[#This Row],[Admission Year]]</f>
        <v>0</v>
      </c>
      <c r="M110">
        <f>Table3[[#This Row],[Treatment Start Year]]-Table3[[#This Row],[Diagnosis Year]]</f>
        <v>7</v>
      </c>
    </row>
    <row r="111" spans="1:13" ht="14.25" customHeight="1" x14ac:dyDescent="0.2">
      <c r="A111" t="s">
        <v>719</v>
      </c>
      <c r="B111" t="s">
        <v>720</v>
      </c>
      <c r="C111">
        <v>27</v>
      </c>
      <c r="D111" t="s">
        <v>146</v>
      </c>
      <c r="E111" s="32">
        <v>2016</v>
      </c>
      <c r="F111" s="32">
        <v>2023</v>
      </c>
      <c r="G111" s="32">
        <v>2024</v>
      </c>
      <c r="H111" s="32">
        <v>2024</v>
      </c>
      <c r="I111" s="32" t="s">
        <v>272</v>
      </c>
      <c r="J111" s="32" t="s">
        <v>272</v>
      </c>
      <c r="K111" t="e">
        <f>Table3[[#This Row],[Discharge Year]]-Table3[[#This Row],[Admission Year]]</f>
        <v>#VALUE!</v>
      </c>
      <c r="L111">
        <f>Table3[[#This Row],[Diagnosis Year]]-Table3[[#This Row],[Admission Year]]</f>
        <v>7</v>
      </c>
      <c r="M111">
        <f>Table3[[#This Row],[Treatment Start Year]]-Table3[[#This Row],[Diagnosis Year]]</f>
        <v>1</v>
      </c>
    </row>
    <row r="112" spans="1:13" x14ac:dyDescent="0.2">
      <c r="A112" t="s">
        <v>723</v>
      </c>
      <c r="B112" t="s">
        <v>724</v>
      </c>
      <c r="C112">
        <v>21</v>
      </c>
      <c r="D112" t="s">
        <v>146</v>
      </c>
      <c r="E112" s="32">
        <v>2016</v>
      </c>
      <c r="F112" s="32">
        <v>2017</v>
      </c>
      <c r="G112" s="32">
        <v>2023</v>
      </c>
      <c r="H112" s="32">
        <v>2023</v>
      </c>
      <c r="I112" s="32">
        <v>2023</v>
      </c>
      <c r="J112" s="32">
        <v>2024</v>
      </c>
      <c r="K112">
        <f>Table3[[#This Row],[Discharge Year]]-Table3[[#This Row],[Admission Year]]</f>
        <v>7</v>
      </c>
      <c r="L112">
        <f>Table3[[#This Row],[Diagnosis Year]]-Table3[[#This Row],[Admission Year]]</f>
        <v>1</v>
      </c>
      <c r="M112">
        <f>Table3[[#This Row],[Treatment Start Year]]-Table3[[#This Row],[Diagnosis Year]]</f>
        <v>6</v>
      </c>
    </row>
    <row r="113" spans="1:13" x14ac:dyDescent="0.2">
      <c r="A113" t="s">
        <v>729</v>
      </c>
      <c r="B113" t="s">
        <v>730</v>
      </c>
      <c r="C113">
        <v>54</v>
      </c>
      <c r="D113" t="s">
        <v>160</v>
      </c>
      <c r="E113" s="32">
        <v>2016</v>
      </c>
      <c r="F113" s="32">
        <v>2023</v>
      </c>
      <c r="G113" s="32">
        <v>2023</v>
      </c>
      <c r="H113" s="32">
        <v>2023</v>
      </c>
      <c r="I113" s="32">
        <v>2023</v>
      </c>
      <c r="J113" s="32" t="s">
        <v>272</v>
      </c>
      <c r="K113">
        <f>Table3[[#This Row],[Discharge Year]]-Table3[[#This Row],[Admission Year]]</f>
        <v>7</v>
      </c>
      <c r="L113">
        <f>Table3[[#This Row],[Diagnosis Year]]-Table3[[#This Row],[Admission Year]]</f>
        <v>7</v>
      </c>
      <c r="M113">
        <f>Table3[[#This Row],[Treatment Start Year]]-Table3[[#This Row],[Diagnosis Year]]</f>
        <v>0</v>
      </c>
    </row>
    <row r="114" spans="1:13" x14ac:dyDescent="0.2">
      <c r="A114" t="s">
        <v>734</v>
      </c>
      <c r="B114" t="s">
        <v>735</v>
      </c>
      <c r="C114">
        <v>54</v>
      </c>
      <c r="D114" t="s">
        <v>160</v>
      </c>
      <c r="E114" s="32">
        <v>2016</v>
      </c>
      <c r="F114" s="32">
        <v>2017</v>
      </c>
      <c r="G114" s="32">
        <v>2023</v>
      </c>
      <c r="H114" s="32">
        <v>2023</v>
      </c>
      <c r="I114" s="32">
        <v>2023</v>
      </c>
      <c r="J114" s="32">
        <v>2024</v>
      </c>
      <c r="K114">
        <f>Table3[[#This Row],[Discharge Year]]-Table3[[#This Row],[Admission Year]]</f>
        <v>7</v>
      </c>
      <c r="L114">
        <f>Table3[[#This Row],[Diagnosis Year]]-Table3[[#This Row],[Admission Year]]</f>
        <v>1</v>
      </c>
      <c r="M114">
        <f>Table3[[#This Row],[Treatment Start Year]]-Table3[[#This Row],[Diagnosis Year]]</f>
        <v>6</v>
      </c>
    </row>
    <row r="115" spans="1:13" x14ac:dyDescent="0.2">
      <c r="A115" t="s">
        <v>738</v>
      </c>
      <c r="B115" t="s">
        <v>739</v>
      </c>
      <c r="C115">
        <v>52</v>
      </c>
      <c r="D115" t="s">
        <v>146</v>
      </c>
      <c r="E115" s="32">
        <v>2016</v>
      </c>
      <c r="F115" s="32">
        <v>2017</v>
      </c>
      <c r="G115" s="32">
        <v>2022</v>
      </c>
      <c r="H115" s="32">
        <v>2023</v>
      </c>
      <c r="I115" s="32">
        <v>2023</v>
      </c>
      <c r="J115" s="32">
        <v>2024</v>
      </c>
      <c r="K115">
        <f>Table3[[#This Row],[Discharge Year]]-Table3[[#This Row],[Admission Year]]</f>
        <v>7</v>
      </c>
      <c r="L115">
        <f>Table3[[#This Row],[Diagnosis Year]]-Table3[[#This Row],[Admission Year]]</f>
        <v>1</v>
      </c>
      <c r="M115">
        <f>Table3[[#This Row],[Treatment Start Year]]-Table3[[#This Row],[Diagnosis Year]]</f>
        <v>5</v>
      </c>
    </row>
    <row r="116" spans="1:13" x14ac:dyDescent="0.2">
      <c r="A116" t="s">
        <v>743</v>
      </c>
      <c r="B116" t="s">
        <v>744</v>
      </c>
      <c r="C116">
        <v>24</v>
      </c>
      <c r="D116" t="s">
        <v>146</v>
      </c>
      <c r="E116" s="32">
        <v>2017</v>
      </c>
      <c r="F116" s="32">
        <v>2023</v>
      </c>
      <c r="G116" s="32">
        <v>2023</v>
      </c>
      <c r="H116" s="32">
        <v>2023</v>
      </c>
      <c r="I116" s="32">
        <v>2024</v>
      </c>
      <c r="J116" s="32">
        <v>2024</v>
      </c>
      <c r="K116">
        <f>Table3[[#This Row],[Discharge Year]]-Table3[[#This Row],[Admission Year]]</f>
        <v>7</v>
      </c>
      <c r="L116">
        <f>Table3[[#This Row],[Diagnosis Year]]-Table3[[#This Row],[Admission Year]]</f>
        <v>6</v>
      </c>
      <c r="M116">
        <f>Table3[[#This Row],[Treatment Start Year]]-Table3[[#This Row],[Diagnosis Year]]</f>
        <v>0</v>
      </c>
    </row>
    <row r="117" spans="1:13" x14ac:dyDescent="0.2">
      <c r="A117" t="s">
        <v>748</v>
      </c>
      <c r="B117" t="s">
        <v>749</v>
      </c>
      <c r="C117">
        <v>60</v>
      </c>
      <c r="D117" t="s">
        <v>160</v>
      </c>
      <c r="E117" s="32">
        <v>2017</v>
      </c>
      <c r="F117" s="32">
        <v>2023</v>
      </c>
      <c r="G117" s="32">
        <v>2023</v>
      </c>
      <c r="H117" s="32">
        <v>2023</v>
      </c>
      <c r="I117" s="32">
        <v>2024</v>
      </c>
      <c r="J117" s="32" t="s">
        <v>272</v>
      </c>
      <c r="K117">
        <f>Table3[[#This Row],[Discharge Year]]-Table3[[#This Row],[Admission Year]]</f>
        <v>7</v>
      </c>
      <c r="L117">
        <f>Table3[[#This Row],[Diagnosis Year]]-Table3[[#This Row],[Admission Year]]</f>
        <v>6</v>
      </c>
      <c r="M117">
        <f>Table3[[#This Row],[Treatment Start Year]]-Table3[[#This Row],[Diagnosis Year]]</f>
        <v>0</v>
      </c>
    </row>
    <row r="118" spans="1:13" x14ac:dyDescent="0.2">
      <c r="A118" t="s">
        <v>753</v>
      </c>
      <c r="B118" t="s">
        <v>754</v>
      </c>
      <c r="C118">
        <v>47</v>
      </c>
      <c r="D118" t="s">
        <v>146</v>
      </c>
      <c r="E118" s="32">
        <v>2017</v>
      </c>
      <c r="F118" s="32">
        <v>2020</v>
      </c>
      <c r="G118" s="32">
        <v>2022</v>
      </c>
      <c r="H118" s="32">
        <v>2023</v>
      </c>
      <c r="I118" s="32">
        <v>2024</v>
      </c>
      <c r="J118" s="32" t="s">
        <v>272</v>
      </c>
      <c r="K118">
        <f>Table3[[#This Row],[Discharge Year]]-Table3[[#This Row],[Admission Year]]</f>
        <v>7</v>
      </c>
      <c r="L118">
        <f>Table3[[#This Row],[Diagnosis Year]]-Table3[[#This Row],[Admission Year]]</f>
        <v>3</v>
      </c>
      <c r="M118">
        <f>Table3[[#This Row],[Treatment Start Year]]-Table3[[#This Row],[Diagnosis Year]]</f>
        <v>2</v>
      </c>
    </row>
    <row r="119" spans="1:13" x14ac:dyDescent="0.2">
      <c r="A119" t="s">
        <v>758</v>
      </c>
      <c r="B119" t="s">
        <v>759</v>
      </c>
      <c r="C119">
        <v>26</v>
      </c>
      <c r="D119" t="s">
        <v>160</v>
      </c>
      <c r="E119" s="32">
        <v>2017</v>
      </c>
      <c r="F119" s="32">
        <v>2023</v>
      </c>
      <c r="G119" s="32">
        <v>2023</v>
      </c>
      <c r="H119" s="32">
        <v>2024</v>
      </c>
      <c r="I119" s="32">
        <v>2024</v>
      </c>
      <c r="J119" s="32" t="s">
        <v>272</v>
      </c>
      <c r="K119">
        <f>Table3[[#This Row],[Discharge Year]]-Table3[[#This Row],[Admission Year]]</f>
        <v>7</v>
      </c>
      <c r="L119">
        <f>Table3[[#This Row],[Diagnosis Year]]-Table3[[#This Row],[Admission Year]]</f>
        <v>6</v>
      </c>
      <c r="M119">
        <f>Table3[[#This Row],[Treatment Start Year]]-Table3[[#This Row],[Diagnosis Year]]</f>
        <v>0</v>
      </c>
    </row>
    <row r="120" spans="1:13" ht="14.25" customHeight="1" x14ac:dyDescent="0.2">
      <c r="A120" t="s">
        <v>763</v>
      </c>
      <c r="B120" t="s">
        <v>764</v>
      </c>
      <c r="C120">
        <v>31</v>
      </c>
      <c r="D120" t="s">
        <v>160</v>
      </c>
      <c r="E120" s="32">
        <v>2017</v>
      </c>
      <c r="F120" s="32">
        <v>2024</v>
      </c>
      <c r="G120" s="32">
        <v>2024</v>
      </c>
      <c r="H120" s="32">
        <v>2024</v>
      </c>
      <c r="I120" s="32" t="s">
        <v>272</v>
      </c>
      <c r="J120" s="32" t="s">
        <v>272</v>
      </c>
      <c r="K120" t="e">
        <f>Table3[[#This Row],[Discharge Year]]-Table3[[#This Row],[Admission Year]]</f>
        <v>#VALUE!</v>
      </c>
      <c r="L120">
        <f>Table3[[#This Row],[Diagnosis Year]]-Table3[[#This Row],[Admission Year]]</f>
        <v>7</v>
      </c>
      <c r="M120">
        <f>Table3[[#This Row],[Treatment Start Year]]-Table3[[#This Row],[Diagnosis Year]]</f>
        <v>0</v>
      </c>
    </row>
    <row r="121" spans="1:13" x14ac:dyDescent="0.2">
      <c r="A121" t="s">
        <v>768</v>
      </c>
      <c r="B121" t="s">
        <v>769</v>
      </c>
      <c r="C121">
        <v>53</v>
      </c>
      <c r="D121" t="s">
        <v>146</v>
      </c>
      <c r="E121" s="32">
        <v>2017</v>
      </c>
      <c r="F121" s="32">
        <v>2020</v>
      </c>
      <c r="G121" s="32">
        <v>2023</v>
      </c>
      <c r="H121" s="32">
        <v>2024</v>
      </c>
      <c r="I121" s="32">
        <v>2024</v>
      </c>
      <c r="J121" s="32" t="s">
        <v>272</v>
      </c>
      <c r="K121">
        <f>Table3[[#This Row],[Discharge Year]]-Table3[[#This Row],[Admission Year]]</f>
        <v>7</v>
      </c>
      <c r="L121">
        <f>Table3[[#This Row],[Diagnosis Year]]-Table3[[#This Row],[Admission Year]]</f>
        <v>3</v>
      </c>
      <c r="M121">
        <f>Table3[[#This Row],[Treatment Start Year]]-Table3[[#This Row],[Diagnosis Year]]</f>
        <v>3</v>
      </c>
    </row>
    <row r="122" spans="1:13" x14ac:dyDescent="0.2">
      <c r="A122" t="s">
        <v>773</v>
      </c>
      <c r="B122" t="s">
        <v>774</v>
      </c>
      <c r="C122">
        <v>52</v>
      </c>
      <c r="D122" t="s">
        <v>146</v>
      </c>
      <c r="E122" s="32">
        <v>2017</v>
      </c>
      <c r="F122" s="32">
        <v>2019</v>
      </c>
      <c r="G122" s="32">
        <v>2023</v>
      </c>
      <c r="H122" s="32">
        <v>2024</v>
      </c>
      <c r="I122" s="32">
        <v>2024</v>
      </c>
      <c r="J122" s="32" t="s">
        <v>272</v>
      </c>
      <c r="K122">
        <f>Table3[[#This Row],[Discharge Year]]-Table3[[#This Row],[Admission Year]]</f>
        <v>7</v>
      </c>
      <c r="L122">
        <f>Table3[[#This Row],[Diagnosis Year]]-Table3[[#This Row],[Admission Year]]</f>
        <v>2</v>
      </c>
      <c r="M122">
        <f>Table3[[#This Row],[Treatment Start Year]]-Table3[[#This Row],[Diagnosis Year]]</f>
        <v>4</v>
      </c>
    </row>
    <row r="123" spans="1:13" x14ac:dyDescent="0.2">
      <c r="A123" t="s">
        <v>779</v>
      </c>
      <c r="B123" t="s">
        <v>780</v>
      </c>
      <c r="C123">
        <v>49</v>
      </c>
      <c r="D123" t="s">
        <v>160</v>
      </c>
      <c r="E123" s="32">
        <v>2017</v>
      </c>
      <c r="F123" s="32">
        <v>2017</v>
      </c>
      <c r="G123" s="32">
        <v>2020</v>
      </c>
      <c r="H123" s="32">
        <v>2023</v>
      </c>
      <c r="I123" s="32">
        <v>2023</v>
      </c>
      <c r="J123" s="32">
        <v>2023</v>
      </c>
      <c r="K123">
        <f>Table3[[#This Row],[Discharge Year]]-Table3[[#This Row],[Admission Year]]</f>
        <v>6</v>
      </c>
      <c r="L123">
        <f>Table3[[#This Row],[Diagnosis Year]]-Table3[[#This Row],[Admission Year]]</f>
        <v>0</v>
      </c>
      <c r="M123">
        <f>Table3[[#This Row],[Treatment Start Year]]-Table3[[#This Row],[Diagnosis Year]]</f>
        <v>3</v>
      </c>
    </row>
    <row r="124" spans="1:13" x14ac:dyDescent="0.2">
      <c r="A124" t="s">
        <v>784</v>
      </c>
      <c r="B124" t="s">
        <v>785</v>
      </c>
      <c r="C124">
        <v>67</v>
      </c>
      <c r="D124" t="s">
        <v>160</v>
      </c>
      <c r="E124" s="32">
        <v>2018</v>
      </c>
      <c r="F124" s="32">
        <v>2022</v>
      </c>
      <c r="G124" s="32">
        <v>2023</v>
      </c>
      <c r="H124" s="32">
        <v>2024</v>
      </c>
      <c r="I124" s="32">
        <v>2024</v>
      </c>
      <c r="J124" s="32" t="s">
        <v>272</v>
      </c>
      <c r="K124">
        <f>Table3[[#This Row],[Discharge Year]]-Table3[[#This Row],[Admission Year]]</f>
        <v>6</v>
      </c>
      <c r="L124">
        <f>Table3[[#This Row],[Diagnosis Year]]-Table3[[#This Row],[Admission Year]]</f>
        <v>4</v>
      </c>
      <c r="M124">
        <f>Table3[[#This Row],[Treatment Start Year]]-Table3[[#This Row],[Diagnosis Year]]</f>
        <v>1</v>
      </c>
    </row>
    <row r="125" spans="1:13" x14ac:dyDescent="0.2">
      <c r="A125" t="s">
        <v>787</v>
      </c>
      <c r="B125" t="s">
        <v>788</v>
      </c>
      <c r="C125">
        <v>42</v>
      </c>
      <c r="D125" t="s">
        <v>160</v>
      </c>
      <c r="E125" s="32">
        <v>2018</v>
      </c>
      <c r="F125" s="32">
        <v>2020</v>
      </c>
      <c r="G125" s="32">
        <v>2022</v>
      </c>
      <c r="H125" s="32">
        <v>2023</v>
      </c>
      <c r="I125" s="32">
        <v>2023</v>
      </c>
      <c r="J125" s="32">
        <v>2023</v>
      </c>
      <c r="K125">
        <f>Table3[[#This Row],[Discharge Year]]-Table3[[#This Row],[Admission Year]]</f>
        <v>5</v>
      </c>
      <c r="L125">
        <f>Table3[[#This Row],[Diagnosis Year]]-Table3[[#This Row],[Admission Year]]</f>
        <v>2</v>
      </c>
      <c r="M125">
        <f>Table3[[#This Row],[Treatment Start Year]]-Table3[[#This Row],[Diagnosis Year]]</f>
        <v>2</v>
      </c>
    </row>
    <row r="126" spans="1:13" ht="14.25" customHeight="1" x14ac:dyDescent="0.2">
      <c r="A126" t="s">
        <v>792</v>
      </c>
      <c r="B126" t="s">
        <v>793</v>
      </c>
      <c r="C126">
        <v>81</v>
      </c>
      <c r="D126" t="s">
        <v>146</v>
      </c>
      <c r="E126" s="32">
        <v>2018</v>
      </c>
      <c r="F126" s="32">
        <v>2023</v>
      </c>
      <c r="G126" s="32">
        <v>2023</v>
      </c>
      <c r="H126" s="32">
        <v>2024</v>
      </c>
      <c r="I126" s="32" t="s">
        <v>272</v>
      </c>
      <c r="J126" s="32" t="s">
        <v>272</v>
      </c>
      <c r="K126" t="e">
        <f>Table3[[#This Row],[Discharge Year]]-Table3[[#This Row],[Admission Year]]</f>
        <v>#VALUE!</v>
      </c>
      <c r="L126">
        <f>Table3[[#This Row],[Diagnosis Year]]-Table3[[#This Row],[Admission Year]]</f>
        <v>5</v>
      </c>
      <c r="M126">
        <f>Table3[[#This Row],[Treatment Start Year]]-Table3[[#This Row],[Diagnosis Year]]</f>
        <v>0</v>
      </c>
    </row>
    <row r="127" spans="1:13" ht="14.25" customHeight="1" x14ac:dyDescent="0.2">
      <c r="A127" t="s">
        <v>797</v>
      </c>
      <c r="B127" t="s">
        <v>798</v>
      </c>
      <c r="C127">
        <v>56</v>
      </c>
      <c r="D127" t="s">
        <v>160</v>
      </c>
      <c r="E127" s="32">
        <v>2018</v>
      </c>
      <c r="F127" s="32">
        <v>2020</v>
      </c>
      <c r="G127" s="32">
        <v>2023</v>
      </c>
      <c r="H127" s="32">
        <v>2024</v>
      </c>
      <c r="I127" s="32" t="s">
        <v>272</v>
      </c>
      <c r="J127" s="32" t="s">
        <v>272</v>
      </c>
      <c r="K127" t="e">
        <f>Table3[[#This Row],[Discharge Year]]-Table3[[#This Row],[Admission Year]]</f>
        <v>#VALUE!</v>
      </c>
      <c r="L127">
        <f>Table3[[#This Row],[Diagnosis Year]]-Table3[[#This Row],[Admission Year]]</f>
        <v>2</v>
      </c>
      <c r="M127">
        <f>Table3[[#This Row],[Treatment Start Year]]-Table3[[#This Row],[Diagnosis Year]]</f>
        <v>3</v>
      </c>
    </row>
    <row r="128" spans="1:13" ht="14.25" customHeight="1" x14ac:dyDescent="0.2">
      <c r="A128" t="s">
        <v>802</v>
      </c>
      <c r="B128" t="s">
        <v>803</v>
      </c>
      <c r="C128">
        <v>63</v>
      </c>
      <c r="D128" t="s">
        <v>146</v>
      </c>
      <c r="E128" s="32">
        <v>2018</v>
      </c>
      <c r="F128" s="32">
        <v>2024</v>
      </c>
      <c r="G128" s="32" t="s">
        <v>272</v>
      </c>
      <c r="H128" s="32" t="s">
        <v>272</v>
      </c>
      <c r="I128" s="32" t="s">
        <v>272</v>
      </c>
      <c r="J128" s="32" t="s">
        <v>272</v>
      </c>
      <c r="K128" t="e">
        <f>Table3[[#This Row],[Discharge Year]]-Table3[[#This Row],[Admission Year]]</f>
        <v>#VALUE!</v>
      </c>
      <c r="L128">
        <f>Table3[[#This Row],[Diagnosis Year]]-Table3[[#This Row],[Admission Year]]</f>
        <v>6</v>
      </c>
      <c r="M128" t="e">
        <f>Table3[[#This Row],[Treatment Start Year]]-Table3[[#This Row],[Diagnosis Year]]</f>
        <v>#VALUE!</v>
      </c>
    </row>
    <row r="129" spans="1:13" x14ac:dyDescent="0.2">
      <c r="A129" t="s">
        <v>805</v>
      </c>
      <c r="B129" t="s">
        <v>806</v>
      </c>
      <c r="C129">
        <v>54</v>
      </c>
      <c r="D129" t="s">
        <v>160</v>
      </c>
      <c r="E129" s="32">
        <v>2018</v>
      </c>
      <c r="F129" s="32">
        <v>2018</v>
      </c>
      <c r="G129" s="32">
        <v>2023</v>
      </c>
      <c r="H129" s="32">
        <v>2023</v>
      </c>
      <c r="I129" s="32">
        <v>2023</v>
      </c>
      <c r="J129" s="32">
        <v>2024</v>
      </c>
      <c r="K129">
        <f>Table3[[#This Row],[Discharge Year]]-Table3[[#This Row],[Admission Year]]</f>
        <v>5</v>
      </c>
      <c r="L129">
        <f>Table3[[#This Row],[Diagnosis Year]]-Table3[[#This Row],[Admission Year]]</f>
        <v>0</v>
      </c>
      <c r="M129">
        <f>Table3[[#This Row],[Treatment Start Year]]-Table3[[#This Row],[Diagnosis Year]]</f>
        <v>5</v>
      </c>
    </row>
    <row r="130" spans="1:13" x14ac:dyDescent="0.2">
      <c r="A130" t="s">
        <v>808</v>
      </c>
      <c r="B130" t="s">
        <v>809</v>
      </c>
      <c r="C130">
        <v>84</v>
      </c>
      <c r="D130" t="s">
        <v>146</v>
      </c>
      <c r="E130" s="32">
        <v>2017</v>
      </c>
      <c r="F130" s="32">
        <v>2018</v>
      </c>
      <c r="G130" s="32">
        <v>2023</v>
      </c>
      <c r="H130" s="32">
        <v>2024</v>
      </c>
      <c r="I130" s="32">
        <v>2024</v>
      </c>
      <c r="J130" s="32" t="s">
        <v>272</v>
      </c>
      <c r="K130">
        <f>Table3[[#This Row],[Discharge Year]]-Table3[[#This Row],[Admission Year]]</f>
        <v>7</v>
      </c>
      <c r="L130">
        <f>Table3[[#This Row],[Diagnosis Year]]-Table3[[#This Row],[Admission Year]]</f>
        <v>1</v>
      </c>
      <c r="M130">
        <f>Table3[[#This Row],[Treatment Start Year]]-Table3[[#This Row],[Diagnosis Year]]</f>
        <v>5</v>
      </c>
    </row>
    <row r="131" spans="1:13" ht="14.25" customHeight="1" x14ac:dyDescent="0.2">
      <c r="A131" t="s">
        <v>815</v>
      </c>
      <c r="B131" t="s">
        <v>816</v>
      </c>
      <c r="C131">
        <v>66</v>
      </c>
      <c r="D131" t="s">
        <v>146</v>
      </c>
      <c r="E131" s="32">
        <v>2017</v>
      </c>
      <c r="F131" s="32">
        <v>2018</v>
      </c>
      <c r="G131" s="32">
        <v>2024</v>
      </c>
      <c r="H131" s="32">
        <v>2024</v>
      </c>
      <c r="I131" s="32" t="s">
        <v>272</v>
      </c>
      <c r="J131" s="32" t="s">
        <v>272</v>
      </c>
      <c r="K131" t="e">
        <f>Table3[[#This Row],[Discharge Year]]-Table3[[#This Row],[Admission Year]]</f>
        <v>#VALUE!</v>
      </c>
      <c r="L131">
        <f>Table3[[#This Row],[Diagnosis Year]]-Table3[[#This Row],[Admission Year]]</f>
        <v>1</v>
      </c>
      <c r="M131">
        <f>Table3[[#This Row],[Treatment Start Year]]-Table3[[#This Row],[Diagnosis Year]]</f>
        <v>6</v>
      </c>
    </row>
    <row r="132" spans="1:13" x14ac:dyDescent="0.2">
      <c r="A132" t="s">
        <v>820</v>
      </c>
      <c r="B132" t="s">
        <v>821</v>
      </c>
      <c r="C132">
        <v>22</v>
      </c>
      <c r="D132" t="s">
        <v>146</v>
      </c>
      <c r="E132" s="32">
        <v>2016</v>
      </c>
      <c r="F132" s="32">
        <v>2018</v>
      </c>
      <c r="G132" s="32">
        <v>2024</v>
      </c>
      <c r="H132" s="32">
        <v>2024</v>
      </c>
      <c r="I132" s="32">
        <v>2026</v>
      </c>
      <c r="J132" s="32" t="s">
        <v>272</v>
      </c>
      <c r="K132">
        <f>Table3[[#This Row],[Discharge Year]]-Table3[[#This Row],[Admission Year]]</f>
        <v>10</v>
      </c>
      <c r="L132">
        <f>Table3[[#This Row],[Diagnosis Year]]-Table3[[#This Row],[Admission Year]]</f>
        <v>2</v>
      </c>
      <c r="M132">
        <f>Table3[[#This Row],[Treatment Start Year]]-Table3[[#This Row],[Diagnosis Year]]</f>
        <v>6</v>
      </c>
    </row>
    <row r="133" spans="1:13" x14ac:dyDescent="0.2">
      <c r="A133" t="s">
        <v>825</v>
      </c>
      <c r="B133" t="s">
        <v>826</v>
      </c>
      <c r="C133">
        <v>20</v>
      </c>
      <c r="D133" t="s">
        <v>160</v>
      </c>
      <c r="E133" s="32">
        <v>2003</v>
      </c>
      <c r="F133" s="32">
        <v>2018</v>
      </c>
      <c r="G133" s="32">
        <v>2023</v>
      </c>
      <c r="H133" s="32">
        <v>2023</v>
      </c>
      <c r="I133" s="32">
        <v>2024</v>
      </c>
      <c r="J133" s="32" t="s">
        <v>272</v>
      </c>
      <c r="K133">
        <f>Table3[[#This Row],[Discharge Year]]-Table3[[#This Row],[Admission Year]]</f>
        <v>21</v>
      </c>
      <c r="L133">
        <f>Table3[[#This Row],[Diagnosis Year]]-Table3[[#This Row],[Admission Year]]</f>
        <v>15</v>
      </c>
      <c r="M133">
        <f>Table3[[#This Row],[Treatment Start Year]]-Table3[[#This Row],[Diagnosis Year]]</f>
        <v>5</v>
      </c>
    </row>
  </sheetData>
  <pageMargins left="0.7" right="0.7" top="0.75" bottom="0.75" header="0.3" footer="0.3"/>
  <ignoredErrors>
    <ignoredError sqref="K100:M133 K28:K87" evalError="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20"/>
  <sheetViews>
    <sheetView topLeftCell="A81" workbookViewId="0">
      <selection activeCell="B84" sqref="B84"/>
    </sheetView>
  </sheetViews>
  <sheetFormatPr defaultRowHeight="14.25" x14ac:dyDescent="0.2"/>
  <cols>
    <col min="1" max="1" width="13.125" bestFit="1" customWidth="1"/>
    <col min="2" max="2" width="18.375" customWidth="1"/>
    <col min="3" max="3" width="23.625" bestFit="1" customWidth="1"/>
    <col min="4" max="4" width="20.25" bestFit="1" customWidth="1"/>
  </cols>
  <sheetData>
    <row r="2" spans="1:2" x14ac:dyDescent="0.2">
      <c r="A2" s="6" t="s">
        <v>138</v>
      </c>
    </row>
    <row r="3" spans="1:2" x14ac:dyDescent="0.2">
      <c r="A3" s="22" t="s">
        <v>1307</v>
      </c>
      <c r="B3" t="s">
        <v>1309</v>
      </c>
    </row>
    <row r="4" spans="1:2" x14ac:dyDescent="0.2">
      <c r="A4" s="23" t="s">
        <v>160</v>
      </c>
      <c r="B4" s="30">
        <v>67</v>
      </c>
    </row>
    <row r="5" spans="1:2" x14ac:dyDescent="0.2">
      <c r="A5" s="23" t="s">
        <v>146</v>
      </c>
      <c r="B5" s="30">
        <v>65</v>
      </c>
    </row>
    <row r="6" spans="1:2" x14ac:dyDescent="0.2">
      <c r="A6" s="23" t="s">
        <v>1308</v>
      </c>
      <c r="B6" s="30">
        <v>132</v>
      </c>
    </row>
    <row r="9" spans="1:2" x14ac:dyDescent="0.2">
      <c r="A9" s="6" t="s">
        <v>137</v>
      </c>
    </row>
    <row r="10" spans="1:2" x14ac:dyDescent="0.2">
      <c r="A10" s="22" t="s">
        <v>1307</v>
      </c>
      <c r="B10" t="s">
        <v>1309</v>
      </c>
    </row>
    <row r="11" spans="1:2" x14ac:dyDescent="0.2">
      <c r="A11" s="23" t="s">
        <v>1311</v>
      </c>
      <c r="B11" s="30">
        <v>26</v>
      </c>
    </row>
    <row r="12" spans="1:2" x14ac:dyDescent="0.2">
      <c r="A12" s="23" t="s">
        <v>1312</v>
      </c>
      <c r="B12" s="30">
        <v>14</v>
      </c>
    </row>
    <row r="13" spans="1:2" x14ac:dyDescent="0.2">
      <c r="A13" s="23" t="s">
        <v>1313</v>
      </c>
      <c r="B13" s="30">
        <v>19</v>
      </c>
    </row>
    <row r="14" spans="1:2" x14ac:dyDescent="0.2">
      <c r="A14" s="23" t="s">
        <v>1314</v>
      </c>
      <c r="B14" s="30">
        <v>16</v>
      </c>
    </row>
    <row r="15" spans="1:2" x14ac:dyDescent="0.2">
      <c r="A15" s="23" t="s">
        <v>1315</v>
      </c>
      <c r="B15" s="30">
        <v>19</v>
      </c>
    </row>
    <row r="16" spans="1:2" x14ac:dyDescent="0.2">
      <c r="A16" s="23" t="s">
        <v>1316</v>
      </c>
      <c r="B16" s="30">
        <v>20</v>
      </c>
    </row>
    <row r="17" spans="1:2" x14ac:dyDescent="0.2">
      <c r="A17" s="23" t="s">
        <v>1317</v>
      </c>
      <c r="B17" s="30">
        <v>18</v>
      </c>
    </row>
    <row r="18" spans="1:2" x14ac:dyDescent="0.2">
      <c r="A18" s="23" t="s">
        <v>1308</v>
      </c>
      <c r="B18" s="30">
        <v>132</v>
      </c>
    </row>
    <row r="21" spans="1:2" x14ac:dyDescent="0.2">
      <c r="A21" s="6" t="s">
        <v>1320</v>
      </c>
    </row>
    <row r="22" spans="1:2" x14ac:dyDescent="0.2">
      <c r="A22" s="22" t="s">
        <v>1307</v>
      </c>
      <c r="B22" t="s">
        <v>1309</v>
      </c>
    </row>
    <row r="23" spans="1:2" x14ac:dyDescent="0.2">
      <c r="A23" s="23">
        <v>2003</v>
      </c>
      <c r="B23" s="30">
        <v>10</v>
      </c>
    </row>
    <row r="24" spans="1:2" x14ac:dyDescent="0.2">
      <c r="A24" s="23">
        <v>2016</v>
      </c>
      <c r="B24" s="30">
        <v>38</v>
      </c>
    </row>
    <row r="25" spans="1:2" x14ac:dyDescent="0.2">
      <c r="A25" s="23">
        <v>2017</v>
      </c>
      <c r="B25" s="30">
        <v>32</v>
      </c>
    </row>
    <row r="26" spans="1:2" x14ac:dyDescent="0.2">
      <c r="A26" s="23">
        <v>2018</v>
      </c>
      <c r="B26" s="30">
        <v>36</v>
      </c>
    </row>
    <row r="27" spans="1:2" x14ac:dyDescent="0.2">
      <c r="A27" s="23">
        <v>2019</v>
      </c>
      <c r="B27" s="30">
        <v>14</v>
      </c>
    </row>
    <row r="28" spans="1:2" x14ac:dyDescent="0.2">
      <c r="A28" s="23">
        <v>2022</v>
      </c>
      <c r="B28" s="30">
        <v>1</v>
      </c>
    </row>
    <row r="29" spans="1:2" x14ac:dyDescent="0.2">
      <c r="A29" s="23">
        <v>2023</v>
      </c>
      <c r="B29" s="30">
        <v>1</v>
      </c>
    </row>
    <row r="30" spans="1:2" x14ac:dyDescent="0.2">
      <c r="A30" s="23" t="s">
        <v>1308</v>
      </c>
      <c r="B30" s="30">
        <v>132</v>
      </c>
    </row>
    <row r="33" spans="1:2" x14ac:dyDescent="0.2">
      <c r="A33" s="6" t="s">
        <v>1343</v>
      </c>
    </row>
    <row r="34" spans="1:2" x14ac:dyDescent="0.2">
      <c r="A34" s="22" t="s">
        <v>1307</v>
      </c>
      <c r="B34" t="s">
        <v>1309</v>
      </c>
    </row>
    <row r="35" spans="1:2" x14ac:dyDescent="0.2">
      <c r="A35" s="23">
        <v>2016</v>
      </c>
      <c r="B35" s="30">
        <v>6</v>
      </c>
    </row>
    <row r="36" spans="1:2" x14ac:dyDescent="0.2">
      <c r="A36" s="23">
        <v>2017</v>
      </c>
      <c r="B36" s="30">
        <v>12</v>
      </c>
    </row>
    <row r="37" spans="1:2" x14ac:dyDescent="0.2">
      <c r="A37" s="23">
        <v>2018</v>
      </c>
      <c r="B37" s="30">
        <v>28</v>
      </c>
    </row>
    <row r="38" spans="1:2" x14ac:dyDescent="0.2">
      <c r="A38" s="23">
        <v>2019</v>
      </c>
      <c r="B38" s="30">
        <v>12</v>
      </c>
    </row>
    <row r="39" spans="1:2" x14ac:dyDescent="0.2">
      <c r="A39" s="23">
        <v>2020</v>
      </c>
      <c r="B39" s="30">
        <v>7</v>
      </c>
    </row>
    <row r="40" spans="1:2" x14ac:dyDescent="0.2">
      <c r="A40" s="23">
        <v>2021</v>
      </c>
      <c r="B40" s="30">
        <v>1</v>
      </c>
    </row>
    <row r="41" spans="1:2" x14ac:dyDescent="0.2">
      <c r="A41" s="23">
        <v>2022</v>
      </c>
      <c r="B41" s="30">
        <v>19</v>
      </c>
    </row>
    <row r="42" spans="1:2" x14ac:dyDescent="0.2">
      <c r="A42" s="23">
        <v>2023</v>
      </c>
      <c r="B42" s="30">
        <v>45</v>
      </c>
    </row>
    <row r="43" spans="1:2" x14ac:dyDescent="0.2">
      <c r="A43" s="23">
        <v>2024</v>
      </c>
      <c r="B43" s="30">
        <v>2</v>
      </c>
    </row>
    <row r="44" spans="1:2" x14ac:dyDescent="0.2">
      <c r="A44" s="23" t="s">
        <v>1308</v>
      </c>
      <c r="B44" s="30">
        <v>132</v>
      </c>
    </row>
    <row r="47" spans="1:2" x14ac:dyDescent="0.2">
      <c r="A47" s="6" t="s">
        <v>1344</v>
      </c>
    </row>
    <row r="48" spans="1:2" x14ac:dyDescent="0.2">
      <c r="A48" s="22" t="s">
        <v>1307</v>
      </c>
      <c r="B48" t="s">
        <v>1309</v>
      </c>
    </row>
    <row r="49" spans="1:2" x14ac:dyDescent="0.2">
      <c r="A49" s="23">
        <v>2017</v>
      </c>
      <c r="B49" s="30">
        <v>1</v>
      </c>
    </row>
    <row r="50" spans="1:2" x14ac:dyDescent="0.2">
      <c r="A50" s="23">
        <v>2018</v>
      </c>
      <c r="B50" s="30">
        <v>3</v>
      </c>
    </row>
    <row r="51" spans="1:2" x14ac:dyDescent="0.2">
      <c r="A51" s="23">
        <v>2019</v>
      </c>
      <c r="B51" s="30">
        <v>2</v>
      </c>
    </row>
    <row r="52" spans="1:2" x14ac:dyDescent="0.2">
      <c r="A52" s="23">
        <v>2020</v>
      </c>
      <c r="B52" s="30">
        <v>4</v>
      </c>
    </row>
    <row r="53" spans="1:2" x14ac:dyDescent="0.2">
      <c r="A53" s="23">
        <v>2021</v>
      </c>
      <c r="B53" s="30">
        <v>1</v>
      </c>
    </row>
    <row r="54" spans="1:2" x14ac:dyDescent="0.2">
      <c r="A54" s="23">
        <v>2022</v>
      </c>
      <c r="B54" s="30">
        <v>11</v>
      </c>
    </row>
    <row r="55" spans="1:2" x14ac:dyDescent="0.2">
      <c r="A55" s="23">
        <v>2023</v>
      </c>
      <c r="B55" s="30">
        <v>95</v>
      </c>
    </row>
    <row r="56" spans="1:2" x14ac:dyDescent="0.2">
      <c r="A56" s="23">
        <v>2024</v>
      </c>
      <c r="B56" s="30">
        <v>14</v>
      </c>
    </row>
    <row r="57" spans="1:2" x14ac:dyDescent="0.2">
      <c r="A57" s="23" t="s">
        <v>272</v>
      </c>
      <c r="B57" s="30">
        <v>1</v>
      </c>
    </row>
    <row r="58" spans="1:2" x14ac:dyDescent="0.2">
      <c r="A58" s="23" t="s">
        <v>1308</v>
      </c>
      <c r="B58" s="30">
        <v>132</v>
      </c>
    </row>
    <row r="60" spans="1:2" x14ac:dyDescent="0.2">
      <c r="A60" s="6" t="s">
        <v>1345</v>
      </c>
    </row>
    <row r="61" spans="1:2" x14ac:dyDescent="0.2">
      <c r="A61" s="22" t="s">
        <v>1307</v>
      </c>
      <c r="B61" t="s">
        <v>1309</v>
      </c>
    </row>
    <row r="62" spans="1:2" x14ac:dyDescent="0.2">
      <c r="A62" s="23">
        <v>2018</v>
      </c>
      <c r="B62" s="30">
        <v>1</v>
      </c>
    </row>
    <row r="63" spans="1:2" x14ac:dyDescent="0.2">
      <c r="A63" s="23">
        <v>2022</v>
      </c>
      <c r="B63" s="30">
        <v>3</v>
      </c>
    </row>
    <row r="64" spans="1:2" x14ac:dyDescent="0.2">
      <c r="A64" s="23">
        <v>2023</v>
      </c>
      <c r="B64" s="30">
        <v>79</v>
      </c>
    </row>
    <row r="65" spans="1:2" x14ac:dyDescent="0.2">
      <c r="A65" s="23">
        <v>2024</v>
      </c>
      <c r="B65" s="30">
        <v>46</v>
      </c>
    </row>
    <row r="66" spans="1:2" x14ac:dyDescent="0.2">
      <c r="A66" s="23">
        <v>2026</v>
      </c>
      <c r="B66" s="30">
        <v>1</v>
      </c>
    </row>
    <row r="67" spans="1:2" x14ac:dyDescent="0.2">
      <c r="A67" s="23" t="s">
        <v>272</v>
      </c>
      <c r="B67" s="30">
        <v>2</v>
      </c>
    </row>
    <row r="68" spans="1:2" x14ac:dyDescent="0.2">
      <c r="A68" s="23" t="s">
        <v>1308</v>
      </c>
      <c r="B68" s="30">
        <v>132</v>
      </c>
    </row>
    <row r="70" spans="1:2" x14ac:dyDescent="0.2">
      <c r="A70" s="6" t="s">
        <v>1346</v>
      </c>
    </row>
    <row r="71" spans="1:2" x14ac:dyDescent="0.2">
      <c r="A71" s="22" t="s">
        <v>1307</v>
      </c>
      <c r="B71" t="s">
        <v>1309</v>
      </c>
    </row>
    <row r="72" spans="1:2" x14ac:dyDescent="0.2">
      <c r="A72" s="23">
        <v>2022</v>
      </c>
      <c r="B72" s="30">
        <v>1</v>
      </c>
    </row>
    <row r="73" spans="1:2" x14ac:dyDescent="0.2">
      <c r="A73" s="23">
        <v>2023</v>
      </c>
      <c r="B73" s="30">
        <v>44</v>
      </c>
    </row>
    <row r="74" spans="1:2" x14ac:dyDescent="0.2">
      <c r="A74" s="23">
        <v>2024</v>
      </c>
      <c r="B74" s="30">
        <v>70</v>
      </c>
    </row>
    <row r="75" spans="1:2" x14ac:dyDescent="0.2">
      <c r="A75" s="23">
        <v>2025</v>
      </c>
      <c r="B75" s="30">
        <v>1</v>
      </c>
    </row>
    <row r="76" spans="1:2" x14ac:dyDescent="0.2">
      <c r="A76" s="23">
        <v>2026</v>
      </c>
      <c r="B76" s="30">
        <v>1</v>
      </c>
    </row>
    <row r="77" spans="1:2" x14ac:dyDescent="0.2">
      <c r="A77" s="23" t="s">
        <v>272</v>
      </c>
      <c r="B77" s="30">
        <v>15</v>
      </c>
    </row>
    <row r="78" spans="1:2" x14ac:dyDescent="0.2">
      <c r="A78" s="23" t="s">
        <v>1308</v>
      </c>
      <c r="B78" s="30">
        <v>132</v>
      </c>
    </row>
    <row r="80" spans="1:2" x14ac:dyDescent="0.2">
      <c r="A80" s="6" t="s">
        <v>1347</v>
      </c>
    </row>
    <row r="81" spans="1:2" x14ac:dyDescent="0.2">
      <c r="A81" s="22" t="s">
        <v>1307</v>
      </c>
      <c r="B81" t="s">
        <v>1309</v>
      </c>
    </row>
    <row r="82" spans="1:2" x14ac:dyDescent="0.2">
      <c r="A82" s="23">
        <v>2023</v>
      </c>
      <c r="B82" s="30">
        <v>8</v>
      </c>
    </row>
    <row r="83" spans="1:2" x14ac:dyDescent="0.2">
      <c r="A83" s="23">
        <v>2024</v>
      </c>
      <c r="B83" s="30">
        <v>62</v>
      </c>
    </row>
    <row r="84" spans="1:2" x14ac:dyDescent="0.2">
      <c r="A84" s="23">
        <v>2025</v>
      </c>
      <c r="B84" s="30">
        <v>3</v>
      </c>
    </row>
    <row r="85" spans="1:2" x14ac:dyDescent="0.2">
      <c r="A85" s="23" t="s">
        <v>272</v>
      </c>
      <c r="B85" s="30">
        <v>59</v>
      </c>
    </row>
    <row r="86" spans="1:2" x14ac:dyDescent="0.2">
      <c r="A86" s="23" t="s">
        <v>1308</v>
      </c>
      <c r="B86" s="30">
        <v>132</v>
      </c>
    </row>
    <row r="88" spans="1:2" x14ac:dyDescent="0.2">
      <c r="A88" s="6" t="s">
        <v>1350</v>
      </c>
    </row>
    <row r="89" spans="1:2" x14ac:dyDescent="0.2">
      <c r="A89" s="22" t="s">
        <v>1307</v>
      </c>
      <c r="B89" t="s">
        <v>1353</v>
      </c>
    </row>
    <row r="90" spans="1:2" x14ac:dyDescent="0.2">
      <c r="A90" s="23" t="s">
        <v>1311</v>
      </c>
      <c r="B90" s="30">
        <v>26</v>
      </c>
    </row>
    <row r="91" spans="1:2" x14ac:dyDescent="0.2">
      <c r="A91" s="23" t="s">
        <v>1312</v>
      </c>
      <c r="B91" s="30">
        <v>14</v>
      </c>
    </row>
    <row r="92" spans="1:2" x14ac:dyDescent="0.2">
      <c r="A92" s="23" t="s">
        <v>1313</v>
      </c>
      <c r="B92" s="30">
        <v>19</v>
      </c>
    </row>
    <row r="93" spans="1:2" x14ac:dyDescent="0.2">
      <c r="A93" s="23" t="s">
        <v>1314</v>
      </c>
      <c r="B93" s="30">
        <v>16</v>
      </c>
    </row>
    <row r="94" spans="1:2" x14ac:dyDescent="0.2">
      <c r="A94" s="23" t="s">
        <v>1315</v>
      </c>
      <c r="B94" s="30">
        <v>19</v>
      </c>
    </row>
    <row r="95" spans="1:2" x14ac:dyDescent="0.2">
      <c r="A95" s="23" t="s">
        <v>1316</v>
      </c>
      <c r="B95" s="30">
        <v>20</v>
      </c>
    </row>
    <row r="96" spans="1:2" x14ac:dyDescent="0.2">
      <c r="A96" s="23" t="s">
        <v>1317</v>
      </c>
      <c r="B96" s="30">
        <v>18</v>
      </c>
    </row>
    <row r="97" spans="1:2" x14ac:dyDescent="0.2">
      <c r="A97" s="23" t="s">
        <v>1308</v>
      </c>
      <c r="B97" s="30">
        <v>132</v>
      </c>
    </row>
    <row r="100" spans="1:2" x14ac:dyDescent="0.2">
      <c r="A100" s="31" t="s">
        <v>1348</v>
      </c>
    </row>
    <row r="101" spans="1:2" x14ac:dyDescent="0.2">
      <c r="A101" s="22" t="s">
        <v>1307</v>
      </c>
      <c r="B101" t="s">
        <v>1351</v>
      </c>
    </row>
    <row r="102" spans="1:2" x14ac:dyDescent="0.2">
      <c r="A102" s="23">
        <v>2016</v>
      </c>
      <c r="B102" s="30">
        <v>8.6666666666666661</v>
      </c>
    </row>
    <row r="103" spans="1:2" x14ac:dyDescent="0.2">
      <c r="A103" s="23">
        <v>2019</v>
      </c>
      <c r="B103" s="30">
        <v>4.25</v>
      </c>
    </row>
    <row r="104" spans="1:2" x14ac:dyDescent="0.2">
      <c r="A104" s="23">
        <v>2022</v>
      </c>
      <c r="B104" s="30">
        <v>4.2105263157894735</v>
      </c>
    </row>
    <row r="105" spans="1:2" x14ac:dyDescent="0.2">
      <c r="A105" s="23">
        <v>2023</v>
      </c>
      <c r="B105" s="30">
        <v>5.4</v>
      </c>
    </row>
    <row r="106" spans="1:2" x14ac:dyDescent="0.2">
      <c r="A106" s="23">
        <v>2024</v>
      </c>
      <c r="B106" s="30">
        <v>6.5</v>
      </c>
    </row>
    <row r="107" spans="1:2" x14ac:dyDescent="0.2">
      <c r="A107" s="23" t="s">
        <v>1308</v>
      </c>
      <c r="B107" s="30">
        <v>5.2261904761904763</v>
      </c>
    </row>
    <row r="110" spans="1:2" x14ac:dyDescent="0.2">
      <c r="A110" s="6" t="s">
        <v>1349</v>
      </c>
    </row>
    <row r="111" spans="1:2" x14ac:dyDescent="0.2">
      <c r="A111" s="22" t="s">
        <v>1307</v>
      </c>
      <c r="B111" t="s">
        <v>1352</v>
      </c>
    </row>
    <row r="112" spans="1:2" x14ac:dyDescent="0.2">
      <c r="A112" s="23">
        <v>2017</v>
      </c>
      <c r="B112" s="30">
        <v>1</v>
      </c>
    </row>
    <row r="113" spans="1:2" x14ac:dyDescent="0.2">
      <c r="A113" s="23">
        <v>2018</v>
      </c>
      <c r="B113" s="30">
        <v>2</v>
      </c>
    </row>
    <row r="114" spans="1:2" x14ac:dyDescent="0.2">
      <c r="A114" s="23">
        <v>2019</v>
      </c>
      <c r="B114" s="30">
        <v>2</v>
      </c>
    </row>
    <row r="115" spans="1:2" x14ac:dyDescent="0.2">
      <c r="A115" s="23">
        <v>2020</v>
      </c>
      <c r="B115" s="30">
        <v>2.5</v>
      </c>
    </row>
    <row r="116" spans="1:2" x14ac:dyDescent="0.2">
      <c r="A116" s="23">
        <v>2021</v>
      </c>
      <c r="B116" s="30">
        <v>2</v>
      </c>
    </row>
    <row r="117" spans="1:2" x14ac:dyDescent="0.2">
      <c r="A117" s="23">
        <v>2022</v>
      </c>
      <c r="B117" s="30">
        <v>3.4545454545454546</v>
      </c>
    </row>
    <row r="118" spans="1:2" x14ac:dyDescent="0.2">
      <c r="A118" s="23">
        <v>2023</v>
      </c>
      <c r="B118" s="30">
        <v>2.2210526315789472</v>
      </c>
    </row>
    <row r="119" spans="1:2" x14ac:dyDescent="0.2">
      <c r="A119" s="23">
        <v>2024</v>
      </c>
      <c r="B119" s="30">
        <v>2.2142857142857144</v>
      </c>
    </row>
    <row r="120" spans="1:2" x14ac:dyDescent="0.2">
      <c r="A120" s="23" t="s">
        <v>1308</v>
      </c>
      <c r="B120" s="30">
        <v>2.3129770992366412</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22"/>
  <sheetViews>
    <sheetView showGridLines="0" showRowColHeaders="0" topLeftCell="B1" zoomScaleNormal="100" workbookViewId="0">
      <selection activeCell="O6" sqref="O6"/>
    </sheetView>
  </sheetViews>
  <sheetFormatPr defaultRowHeight="14.25" x14ac:dyDescent="0.2"/>
  <sheetData>
    <row r="22" spans="16:16" x14ac:dyDescent="0.2">
      <c r="P22"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49BD3A-5255-44B3-87F5-E0DCD2D055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Understanding the Data</vt:lpstr>
      <vt:lpstr>Cleaning the Data</vt:lpstr>
      <vt:lpstr>Incorrect Sequence</vt:lpstr>
      <vt:lpstr>Fixing Incorrect Sequence</vt:lpstr>
      <vt:lpstr>Corrected Sequence</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Infinix X6531B</dc:creator>
  <cp:lastModifiedBy>LENOVO</cp:lastModifiedBy>
  <cp:lastPrinted>2025-12-06T18:44:44Z</cp:lastPrinted>
  <dcterms:created xsi:type="dcterms:W3CDTF">2025-11-21T04:03:14Z</dcterms:created>
  <dcterms:modified xsi:type="dcterms:W3CDTF">2025-12-24T14:34:19Z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66fd44322c01481d92bd41d4aeb0d272</vt:lpwstr>
  </property>
</Properties>
</file>